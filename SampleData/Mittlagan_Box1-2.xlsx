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codeName="ThisWorkbook"/>
  <xr:revisionPtr revIDLastSave="0" documentId="13_ncr:1_{12DE91CF-C0B1-450F-A746-2A8612B0201F}" xr6:coauthVersionLast="47" xr6:coauthVersionMax="47" xr10:uidLastSave="{00000000-0000-0000-0000-000000000000}"/>
  <bookViews>
    <workbookView xWindow="3400" yWindow="-20890" windowWidth="22420" windowHeight="18480" xr2:uid="{00000000-000D-0000-FFFF-FFFF00000000}"/>
  </bookViews>
  <sheets>
    <sheet name="Box 1-2" sheetId="32" r:id="rId1"/>
    <sheet name="Blad1" sheetId="33" r:id="rId2"/>
  </sheets>
  <definedNames>
    <definedName name="_xlnm._FilterDatabase" localSheetId="0" hidden="1">'Box 1-2'!$A$1:$AX$1027201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7" i="32" l="1"/>
  <c r="BB52" i="32" l="1"/>
  <c r="BA52" i="32"/>
  <c r="BA51" i="32"/>
  <c r="BA50" i="32"/>
  <c r="BA49" i="32"/>
  <c r="BA48" i="32"/>
  <c r="BA47" i="32"/>
  <c r="BA46" i="32"/>
  <c r="BA45" i="32"/>
  <c r="BB33" i="32"/>
  <c r="BW3" i="32" a="1"/>
  <c r="AZ42" i="32" l="1"/>
  <c r="BA44" i="32"/>
  <c r="BA42" i="32"/>
  <c r="BA43" i="32"/>
  <c r="BW3" i="32"/>
  <c r="AZ41" i="32" s="1"/>
  <c r="BA41" i="32"/>
  <c r="BK31" i="32" l="1"/>
  <c r="BK28" i="32"/>
  <c r="BK25" i="32"/>
  <c r="BK22" i="32"/>
  <c r="BK19" i="32"/>
  <c r="BK16" i="32"/>
  <c r="BJ4" i="32"/>
  <c r="BJ31" i="32"/>
  <c r="BJ28" i="32"/>
  <c r="BJ25" i="32"/>
  <c r="BJ22" i="32"/>
  <c r="BJ19" i="32"/>
  <c r="BJ16" i="32"/>
  <c r="BJ13" i="32"/>
  <c r="BJ10" i="32"/>
  <c r="BH3" i="32"/>
  <c r="BI31" i="32"/>
  <c r="BI28" i="32"/>
  <c r="BI25" i="32"/>
  <c r="BI22" i="32"/>
  <c r="BI19" i="32"/>
  <c r="BI16" i="32"/>
  <c r="BI13" i="32"/>
  <c r="BI10" i="32"/>
  <c r="BI7" i="32"/>
  <c r="BI4" i="32"/>
  <c r="BC15" i="32"/>
  <c r="BH10" i="32"/>
  <c r="BH7" i="32"/>
  <c r="BH4" i="32"/>
  <c r="BC5" i="32"/>
  <c r="BH31" i="32"/>
  <c r="BD30" i="32"/>
  <c r="BH28" i="32"/>
  <c r="BC27" i="32"/>
  <c r="BH25" i="32"/>
  <c r="BC24" i="32"/>
  <c r="BH22" i="32"/>
  <c r="BC21" i="32"/>
  <c r="BH19" i="32"/>
  <c r="BC18" i="32"/>
  <c r="BH16" i="32"/>
  <c r="BH13" i="32"/>
  <c r="BC12" i="32"/>
  <c r="BC9" i="32"/>
  <c r="BC6" i="32"/>
  <c r="BK6" i="32"/>
  <c r="BJ7" i="32"/>
  <c r="BK32" i="32"/>
  <c r="BK29" i="32"/>
  <c r="BK26" i="32"/>
  <c r="BK23" i="32"/>
  <c r="BK20" i="32"/>
  <c r="BK17" i="32"/>
  <c r="BK14" i="32"/>
  <c r="BK11" i="32"/>
  <c r="BK8" i="32"/>
  <c r="BK5" i="32"/>
  <c r="BI5" i="32"/>
  <c r="BH20" i="32"/>
  <c r="BC13" i="32"/>
  <c r="BH8" i="32"/>
  <c r="BK15" i="32"/>
  <c r="BJ32" i="32"/>
  <c r="BJ29" i="32"/>
  <c r="BJ26" i="32"/>
  <c r="BJ23" i="32"/>
  <c r="BJ20" i="32"/>
  <c r="BJ17" i="32"/>
  <c r="BJ14" i="32"/>
  <c r="BJ11" i="32"/>
  <c r="BJ8" i="32"/>
  <c r="BJ5" i="32"/>
  <c r="BC3" i="32"/>
  <c r="BC22" i="32"/>
  <c r="BC16" i="32"/>
  <c r="BH11" i="32"/>
  <c r="BD7" i="32"/>
  <c r="BK12" i="32"/>
  <c r="BJ3" i="32"/>
  <c r="BI32" i="32"/>
  <c r="BI29" i="32"/>
  <c r="BI26" i="32"/>
  <c r="BI23" i="32"/>
  <c r="BI20" i="32"/>
  <c r="BI17" i="32"/>
  <c r="BI14" i="32"/>
  <c r="BI11" i="32"/>
  <c r="BI8" i="32"/>
  <c r="BD25" i="32"/>
  <c r="BH17" i="32"/>
  <c r="BH5" i="32"/>
  <c r="BK9" i="32"/>
  <c r="BK13" i="32"/>
  <c r="BH32" i="32"/>
  <c r="BD31" i="32"/>
  <c r="BH29" i="32"/>
  <c r="BD28" i="32"/>
  <c r="BH26" i="32"/>
  <c r="BH23" i="32"/>
  <c r="BC19" i="32"/>
  <c r="BH14" i="32"/>
  <c r="BC10" i="32"/>
  <c r="BD4" i="32"/>
  <c r="BJ6" i="32"/>
  <c r="BK30" i="32"/>
  <c r="BK27" i="32"/>
  <c r="BK24" i="32"/>
  <c r="BK21" i="32"/>
  <c r="BK18" i="32"/>
  <c r="BJ9" i="32"/>
  <c r="BK4" i="32"/>
  <c r="BJ30" i="32"/>
  <c r="BJ27" i="32"/>
  <c r="BJ24" i="32"/>
  <c r="BJ21" i="32"/>
  <c r="BJ18" i="32"/>
  <c r="BJ15" i="32"/>
  <c r="BJ12" i="32"/>
  <c r="BK10" i="32"/>
  <c r="BK34" i="32"/>
  <c r="BI30" i="32"/>
  <c r="BI27" i="32"/>
  <c r="BI24" i="32"/>
  <c r="BI21" i="32"/>
  <c r="BI18" i="32"/>
  <c r="BI15" i="32"/>
  <c r="BI12" i="32"/>
  <c r="BI9" i="32"/>
  <c r="BI6" i="32"/>
  <c r="BK3" i="32"/>
  <c r="BC14" i="32"/>
  <c r="BC11" i="32"/>
  <c r="BC8" i="32"/>
  <c r="BI3" i="32"/>
  <c r="BJ34" i="32"/>
  <c r="BD32" i="32"/>
  <c r="BH30" i="32"/>
  <c r="BC29" i="32"/>
  <c r="BH27" i="32"/>
  <c r="BC26" i="32"/>
  <c r="BH24" i="32"/>
  <c r="BC23" i="32"/>
  <c r="BH21" i="32"/>
  <c r="BD20" i="32"/>
  <c r="BH18" i="32"/>
  <c r="BH15" i="32"/>
  <c r="BH12" i="32"/>
  <c r="BH9" i="32"/>
  <c r="BH6" i="32"/>
  <c r="BK7" i="32"/>
  <c r="BE27" i="32" l="1"/>
  <c r="BE23" i="32"/>
  <c r="BE6" i="32"/>
  <c r="BP37" i="32"/>
  <c r="BS36" i="32"/>
  <c r="BE31" i="32"/>
  <c r="BE26" i="32"/>
  <c r="BE9" i="32"/>
  <c r="BE30" i="32"/>
  <c r="BE14" i="32"/>
  <c r="BB34" i="32"/>
  <c r="BE4" i="32"/>
  <c r="BP34" i="32"/>
  <c r="BE12" i="32"/>
  <c r="BE29" i="32"/>
  <c r="BE10" i="32"/>
  <c r="BE5" i="32"/>
  <c r="BE20" i="32"/>
  <c r="BE25" i="32"/>
  <c r="BS34" i="32"/>
  <c r="BE7" i="32"/>
  <c r="BP36" i="32"/>
  <c r="BS35" i="32"/>
  <c r="BE32" i="32"/>
  <c r="BE19" i="32"/>
  <c r="BE18" i="32"/>
  <c r="BE16" i="32"/>
  <c r="BE17" i="32"/>
  <c r="BE22" i="32"/>
  <c r="BE21" i="32"/>
  <c r="BP35" i="32"/>
  <c r="BE15" i="32"/>
  <c r="BE8" i="32"/>
  <c r="BE28" i="32"/>
  <c r="BE3" i="32"/>
  <c r="BE11" i="32"/>
  <c r="BE13" i="32"/>
  <c r="BE24" i="32"/>
  <c r="BG24" i="32" l="1"/>
  <c r="BF24" i="32"/>
  <c r="BG18" i="32"/>
  <c r="BF18" i="32"/>
  <c r="BF12" i="32"/>
  <c r="BG12" i="32"/>
  <c r="BG23" i="32"/>
  <c r="BF23" i="32"/>
  <c r="BG13" i="32"/>
  <c r="BF13" i="32"/>
  <c r="BG19" i="32"/>
  <c r="BF19" i="32"/>
  <c r="BG27" i="32"/>
  <c r="BF27" i="32"/>
  <c r="BG11" i="32"/>
  <c r="BF11" i="32"/>
  <c r="BG32" i="32"/>
  <c r="BF32" i="32"/>
  <c r="BG4" i="32"/>
  <c r="BF4" i="32"/>
  <c r="BG3" i="32"/>
  <c r="BF3" i="32"/>
  <c r="BG34" i="32"/>
  <c r="BF34" i="32"/>
  <c r="BG28" i="32"/>
  <c r="BF28" i="32"/>
  <c r="BG14" i="32"/>
  <c r="BF14" i="32"/>
  <c r="BG8" i="32"/>
  <c r="BF8" i="32"/>
  <c r="BG7" i="32"/>
  <c r="BF7" i="32"/>
  <c r="BG30" i="32"/>
  <c r="BF30" i="32"/>
  <c r="BF15" i="32"/>
  <c r="BG15" i="32"/>
  <c r="BF9" i="32"/>
  <c r="BG9" i="32"/>
  <c r="BG25" i="32"/>
  <c r="BF25" i="32"/>
  <c r="BG26" i="32"/>
  <c r="BF26" i="32"/>
  <c r="BG21" i="32"/>
  <c r="BF21" i="32"/>
  <c r="BG20" i="32"/>
  <c r="BF20" i="32"/>
  <c r="BG31" i="32"/>
  <c r="BF31" i="32"/>
  <c r="BG22" i="32"/>
  <c r="BF22" i="32"/>
  <c r="BF5" i="32"/>
  <c r="BG5" i="32"/>
  <c r="BG17" i="32"/>
  <c r="BF17" i="32"/>
  <c r="BG10" i="32"/>
  <c r="BF10" i="32"/>
  <c r="BG16" i="32"/>
  <c r="BF16" i="32"/>
  <c r="BG29" i="32"/>
  <c r="BF29" i="32"/>
  <c r="BF6" i="32"/>
  <c r="BG6"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tc={CBF2E4DA-95E0-4610-99D9-5B80F4F9E931}</author>
    <author>tc={51C6D2D2-F69A-472E-879D-77D7373E9D89}</author>
  </authors>
  <commentList>
    <comment ref="AY2" authorId="0" shapeId="0" xr:uid="{CBF2E4DA-95E0-4610-99D9-5B80F4F9E931}">
      <text>
        <t xml:space="preserve">[Trådad kommentar]
I din version av Excel kan du läsa den här trådade kommentaren, men eventuella ändringar i den tas bort om filen öppnas i en senare version av Excel. Läs mer: https://go.microsoft.com/fwlink/?linkid=870924
Kommentar:
    Dessa celler fr o m här t o m "Matrisversion" kopierar du och klistrar in i det excelark du skapar utifrån den csv-fil med defaultnamn "meta" som du får ut av Kaleidoscope. Klistra in cellerna på samma plats, i kolumn W, ett snäpp till vänster om artbestämningarna </t>
      </text>
    </comment>
    <comment ref="AY33" authorId="1" shapeId="0" xr:uid="{51C6D2D2-F69A-472E-879D-77D7373E9D89}">
      <text>
        <t>[Trådad kommentar]
I din version av Excel kan du läsa den här trådade kommentaren, men eventuella ändringar i den tas bort om filen öppnas i en senare version av Excel. Läs mer: https://go.microsoft.com/fwlink/?linkid=870924
Kommentar:
    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12368-5724-423B-989B-BD3ACF4ECF35}" keepAlive="1" name="Fråga - meta" description="Anslutning till meta-frågan i arbetsboken." type="5" refreshedVersion="8" background="1" saveData="1">
    <dbPr connection="Provider=Microsoft.Mashup.OleDb.1;Data Source=$Workbook$;Location=meta;Extended Properties=&quot;&quot;" command="SELECT * FROM [meta]"/>
  </connection>
  <connection id="2" xr16:uid="{87471FA4-6FE4-431E-88E9-1D4CD6F0434D}" keepAlive="1" name="Fråga - meta (10)" description="Anslutning till meta (10)-frågan i arbetsboken." type="5" refreshedVersion="8" background="1" saveData="1">
    <dbPr connection="Provider=Microsoft.Mashup.OleDb.1;Data Source=$Workbook$;Location=&quot;meta (10)&quot;;Extended Properties=&quot;&quot;" command="SELECT * FROM [meta (10)]"/>
  </connection>
  <connection id="3" xr16:uid="{3D7B8369-2E83-4AD7-BAE6-E40DB6ACE6EC}" keepAlive="1" name="Fråga - meta (11)" description="Anslutning till meta (11)-frågan i arbetsboken." type="5" refreshedVersion="8" background="1" saveData="1">
    <dbPr connection="Provider=Microsoft.Mashup.OleDb.1;Data Source=$Workbook$;Location=&quot;meta (11)&quot;;Extended Properties=&quot;&quot;" command="SELECT * FROM [meta (11)]"/>
  </connection>
  <connection id="4" xr16:uid="{DB3F54AD-D7CF-4D83-BF3B-14BC29630BBC}" keepAlive="1" name="Fråga - meta (12)" description="Anslutning till meta (12)-frågan i arbetsboken." type="5" refreshedVersion="8" background="1" saveData="1">
    <dbPr connection="Provider=Microsoft.Mashup.OleDb.1;Data Source=$Workbook$;Location=&quot;meta (12)&quot;;Extended Properties=&quot;&quot;" command="SELECT * FROM [meta (12)]"/>
  </connection>
  <connection id="5" xr16:uid="{83DEA4BC-478E-42DF-9772-B63E6E12779D}" keepAlive="1" name="Fråga - meta (13)" description="Anslutning till meta (13)-frågan i arbetsboken." type="5" refreshedVersion="8" background="1" saveData="1">
    <dbPr connection="Provider=Microsoft.Mashup.OleDb.1;Data Source=$Workbook$;Location=&quot;meta (13)&quot;;Extended Properties=&quot;&quot;" command="SELECT * FROM [meta (13)]"/>
  </connection>
  <connection id="6" xr16:uid="{75CC9260-8365-4A6E-8695-5DFE7D473A1F}" keepAlive="1" name="Fråga - meta (14)" description="Anslutning till meta (14)-frågan i arbetsboken." type="5" refreshedVersion="8" background="1" saveData="1">
    <dbPr connection="Provider=Microsoft.Mashup.OleDb.1;Data Source=$Workbook$;Location=&quot;meta (14)&quot;;Extended Properties=&quot;&quot;" command="SELECT * FROM [meta (14)]"/>
  </connection>
  <connection id="7" xr16:uid="{27471D75-CFCF-4AEA-9DC9-FABB9CB986F1}" keepAlive="1" name="Fråga - meta (15)" description="Anslutning till meta (15)-frågan i arbetsboken." type="5" refreshedVersion="8" background="1" saveData="1">
    <dbPr connection="Provider=Microsoft.Mashup.OleDb.1;Data Source=$Workbook$;Location=&quot;meta (15)&quot;;Extended Properties=&quot;&quot;" command="SELECT * FROM [meta (15)]"/>
  </connection>
  <connection id="8" xr16:uid="{5DC134FB-9B07-4A8B-8CE2-E0B628A820BD}" keepAlive="1" name="Fråga - meta (16)" description="Anslutning till meta (16)-frågan i arbetsboken." type="5" refreshedVersion="8" background="1" saveData="1">
    <dbPr connection="Provider=Microsoft.Mashup.OleDb.1;Data Source=$Workbook$;Location=&quot;meta (16)&quot;;Extended Properties=&quot;&quot;" command="SELECT * FROM [meta (16)]"/>
  </connection>
  <connection id="9" xr16:uid="{214F01C6-75CD-4417-A5A7-546CB7F457C8}" keepAlive="1" name="Fråga - meta (17)" description="Anslutning till meta (17)-frågan i arbetsboken." type="5" refreshedVersion="8" background="1" saveData="1">
    <dbPr connection="Provider=Microsoft.Mashup.OleDb.1;Data Source=$Workbook$;Location=&quot;meta (17)&quot;;Extended Properties=&quot;&quot;" command="SELECT * FROM [meta (17)]"/>
  </connection>
  <connection id="10" xr16:uid="{95CDAE07-BF0B-44CB-B83B-813B90B5252D}" keepAlive="1" name="Fråga - meta (2)" description="Anslutning till meta (2)-frågan i arbetsboken." type="5" refreshedVersion="8" background="1" saveData="1">
    <dbPr connection="Provider=Microsoft.Mashup.OleDb.1;Data Source=$Workbook$;Location=&quot;meta (2)&quot;;Extended Properties=&quot;&quot;" command="SELECT * FROM [meta (2)]"/>
  </connection>
  <connection id="11" xr16:uid="{BB4B02CD-A19B-41FF-A8CB-108386BD39C7}" keepAlive="1" name="Fråga - meta (3)" description="Anslutning till meta (3)-frågan i arbetsboken." type="5" refreshedVersion="8" background="1" saveData="1">
    <dbPr connection="Provider=Microsoft.Mashup.OleDb.1;Data Source=$Workbook$;Location=&quot;meta (3)&quot;;Extended Properties=&quot;&quot;" command="SELECT * FROM [meta (3)]"/>
  </connection>
  <connection id="12" xr16:uid="{EA1D239D-7D45-48CE-9E28-45BECF131C67}" keepAlive="1" name="Fråga - meta (4)" description="Anslutning till meta (4)-frågan i arbetsboken." type="5" refreshedVersion="8" background="1" saveData="1">
    <dbPr connection="Provider=Microsoft.Mashup.OleDb.1;Data Source=$Workbook$;Location=&quot;meta (4)&quot;;Extended Properties=&quot;&quot;" command="SELECT * FROM [meta (4)]"/>
  </connection>
  <connection id="13" xr16:uid="{34498443-BA00-4A8E-8D8B-C5CA2AC26038}" keepAlive="1" name="Fråga - meta (5)" description="Anslutning till meta (5)-frågan i arbetsboken." type="5" refreshedVersion="8" background="1" saveData="1">
    <dbPr connection="Provider=Microsoft.Mashup.OleDb.1;Data Source=$Workbook$;Location=&quot;meta (5)&quot;;Extended Properties=&quot;&quot;" command="SELECT * FROM [meta (5)]"/>
  </connection>
  <connection id="14" xr16:uid="{265DCF87-EE81-41D2-A588-834FA4F3D9F1}" keepAlive="1" name="Fråga - meta (6)" description="Anslutning till meta (6)-frågan i arbetsboken." type="5" refreshedVersion="8" background="1" saveData="1">
    <dbPr connection="Provider=Microsoft.Mashup.OleDb.1;Data Source=$Workbook$;Location=&quot;meta (6)&quot;;Extended Properties=&quot;&quot;" command="SELECT * FROM [meta (6)]"/>
  </connection>
  <connection id="15" xr16:uid="{6BEA96D8-D84C-43A2-94F4-1F694CD81108}" keepAlive="1" name="Fråga - meta (7)" description="Anslutning till meta (7)-frågan i arbetsboken." type="5" refreshedVersion="8" background="1" saveData="1">
    <dbPr connection="Provider=Microsoft.Mashup.OleDb.1;Data Source=$Workbook$;Location=&quot;meta (7)&quot;;Extended Properties=&quot;&quot;" command="SELECT * FROM [meta (7)]"/>
  </connection>
  <connection id="16" xr16:uid="{17F5F706-C163-4ABE-B9AF-98777A986AF6}" keepAlive="1" name="Fråga - meta (8)" description="Anslutning till meta (8)-frågan i arbetsboken." type="5" refreshedVersion="8" background="1" saveData="1">
    <dbPr connection="Provider=Microsoft.Mashup.OleDb.1;Data Source=$Workbook$;Location=&quot;meta (8)&quot;;Extended Properties=&quot;&quot;" command="SELECT * FROM [meta (8)]"/>
  </connection>
  <connection id="17" xr16:uid="{4B78CA1E-F5AF-436C-A5EE-AE9C84686F3F}" keepAlive="1" name="Fråga - meta (9)" description="Anslutning till meta (9)-frågan i arbetsboken." type="5" refreshedVersion="8" background="1" saveData="1">
    <dbPr connection="Provider=Microsoft.Mashup.OleDb.1;Data Source=$Workbook$;Location=&quot;meta (9)&quot;;Extended Properties=&quot;&quot;" command="SELECT * FROM [meta (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<sst xmlns="http://schemas.openxmlformats.org/spreadsheetml/2006/main" count="2039" uniqueCount="783">
  <si>
    <t>INDIR</t>
  </si>
  <si>
    <t>FOLDER</t>
  </si>
  <si>
    <t>IN FILE</t>
  </si>
  <si>
    <t>DURATION</t>
  </si>
  <si>
    <t>DATE</t>
  </si>
  <si>
    <t>TIME</t>
  </si>
  <si>
    <t>HOUR</t>
  </si>
  <si>
    <t>DATE-12</t>
  </si>
  <si>
    <t>TIME-12</t>
  </si>
  <si>
    <t>HOUR-12</t>
  </si>
  <si>
    <t>LATITUDE</t>
  </si>
  <si>
    <t>LONGITUDE</t>
  </si>
  <si>
    <t>MODEL</t>
  </si>
  <si>
    <t>SERIAL NO</t>
  </si>
  <si>
    <t>FIRMWARE</t>
  </si>
  <si>
    <t>PREFIX</t>
  </si>
  <si>
    <t>NOTES</t>
  </si>
  <si>
    <t>AUTO ID</t>
  </si>
  <si>
    <t>PULSES</t>
  </si>
  <si>
    <t>MATCHING</t>
  </si>
  <si>
    <t>MATCH RATIO</t>
  </si>
  <si>
    <t>MARGIN</t>
  </si>
  <si>
    <t>FILES</t>
  </si>
  <si>
    <t>MANUAL ID</t>
  </si>
  <si>
    <t>ORGID</t>
  </si>
  <si>
    <t>USERID</t>
  </si>
  <si>
    <t>REVIEW ORGID</t>
  </si>
  <si>
    <t>REVIEW USERID</t>
  </si>
  <si>
    <t>INPATHMD5</t>
  </si>
  <si>
    <t>Nyctalus noctula</t>
  </si>
  <si>
    <t>Myotis mystacinus/brandtii</t>
  </si>
  <si>
    <t>Chiroptera</t>
  </si>
  <si>
    <t>Myotis daubentonii</t>
  </si>
  <si>
    <t>Pipistrellus pygmaeus</t>
  </si>
  <si>
    <t>Generellt jaktbeteende</t>
  </si>
  <si>
    <t>Svenskt namn art</t>
  </si>
  <si>
    <t>Taxon</t>
  </si>
  <si>
    <t>Taxongrupp</t>
  </si>
  <si>
    <t>Antal ljudfiler art</t>
  </si>
  <si>
    <t>Antal ljudfiler grupp</t>
  </si>
  <si>
    <t>Andel av obsar</t>
  </si>
  <si>
    <t>Aktivitet per natt</t>
  </si>
  <si>
    <t>Aktivitet per timme</t>
  </si>
  <si>
    <t>Första obs nattklocka</t>
  </si>
  <si>
    <t>Sista obs nattklocka</t>
  </si>
  <si>
    <t>Födosöksbeteende</t>
  </si>
  <si>
    <t>Socialt beteende</t>
  </si>
  <si>
    <t>Artfakta risk</t>
  </si>
  <si>
    <t>Vindval risk</t>
  </si>
  <si>
    <t>Rödlista 2020</t>
  </si>
  <si>
    <t>Rödlistan 2020</t>
  </si>
  <si>
    <t>ÅGP</t>
  </si>
  <si>
    <t>Typiska arter 
Natura 2000</t>
  </si>
  <si>
    <t>Art- och
 habitatdirektivet</t>
  </si>
  <si>
    <t>Artskyddsförordningen
(för fåglar enligt Naturvårdsverkets urval)</t>
  </si>
  <si>
    <t>Skyddsklass (fynduppgifter)</t>
  </si>
  <si>
    <t>Information</t>
  </si>
  <si>
    <t>Juridisk vikt (J-tal)</t>
  </si>
  <si>
    <t>Foldrar</t>
  </si>
  <si>
    <t>Påverkas av vägen som barriär enligt TRV</t>
  </si>
  <si>
    <t>Använder gärna holkar enligt TRV</t>
  </si>
  <si>
    <t>S</t>
  </si>
  <si>
    <t>barbastell</t>
  </si>
  <si>
    <t>Barbastella barbastellus</t>
  </si>
  <si>
    <t>F</t>
  </si>
  <si>
    <t>NT</t>
  </si>
  <si>
    <t>Nära hotad (NT)</t>
  </si>
  <si>
    <t>x</t>
  </si>
  <si>
    <t>II, IV</t>
  </si>
  <si>
    <t>4 §, 5 §</t>
  </si>
  <si>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</si>
  <si>
    <t>Ja</t>
  </si>
  <si>
    <t>Barbastella sp TOT</t>
  </si>
  <si>
    <t>B</t>
  </si>
  <si>
    <t>nordfladdermus</t>
  </si>
  <si>
    <t>Eptesicus nilssonii</t>
  </si>
  <si>
    <t>K</t>
  </si>
  <si>
    <t>KK</t>
  </si>
  <si>
    <t>IV</t>
  </si>
  <si>
    <t>Rödlistekriterium 2020: A2bc
Arten finns upptagen i bilaga 4 till art- och habitatdirektivet därför att den kräver noggrant skydd.</t>
  </si>
  <si>
    <t>Nej</t>
  </si>
  <si>
    <t>sydfladdermus</t>
  </si>
  <si>
    <t>Eptesicus serotinus</t>
  </si>
  <si>
    <t>(K)</t>
  </si>
  <si>
    <t>NT°</t>
  </si>
  <si>
    <t>Nära hotad (NT°)</t>
  </si>
  <si>
    <t>Arten finns upptagen i bilaga 4 till art- och habitatdirektivet därför att den kräver noggrant skydd.</t>
  </si>
  <si>
    <t>Eptesicus sp TOT</t>
  </si>
  <si>
    <t>nymffladdermus</t>
  </si>
  <si>
    <t>Myotis alcathoe</t>
  </si>
  <si>
    <t>EN</t>
  </si>
  <si>
    <t>Starkt hotad (EN)</t>
  </si>
  <si>
    <t>Rödlistekriterium 2020: D
Arten kräver noggrant skydd enligt art- och habitatdirektivet. Arten finns upptagen i bilaga 4 till art- och habitatdirektivet.</t>
  </si>
  <si>
    <t>?</t>
  </si>
  <si>
    <t>Bechsteins fladdermus</t>
  </si>
  <si>
    <t>Myotis bechsteinii</t>
  </si>
  <si>
    <t>5x5</t>
  </si>
  <si>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</si>
  <si>
    <t>tajgafladdermus</t>
  </si>
  <si>
    <t>Myotis brandtii</t>
  </si>
  <si>
    <t>LC</t>
  </si>
  <si>
    <t>Grottor (8310)
Arten finns upptagen i bilaga 4 till art- och habitatdirektivet därför att den kräver noggrant skydd.</t>
  </si>
  <si>
    <t>V</t>
  </si>
  <si>
    <t>dammfladdermus</t>
  </si>
  <si>
    <t>Myotis dasycneme</t>
  </si>
  <si>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</si>
  <si>
    <t>vattenfladdermus</t>
  </si>
  <si>
    <t>större musöra</t>
  </si>
  <si>
    <t>Myotis myotis</t>
  </si>
  <si>
    <t>Rödlistekriterium 2020: D
Arten är listad i bilaga 2 till art- och habitatdirektivet eftersom den har sådant unionsintresse att särskilda bevarandeområden behöver utses. Arten finns upptagen i bilaga 4 till art- och habitatdirektivet därför att den kräver noggrant skydd.</t>
  </si>
  <si>
    <t>mustaschfladdermus</t>
  </si>
  <si>
    <t>Myotis mystacinus</t>
  </si>
  <si>
    <t>fransfladdermus</t>
  </si>
  <si>
    <t>Myotis nattereri</t>
  </si>
  <si>
    <t>mustasch/tajgafladdermus*</t>
  </si>
  <si>
    <t>Myotis sp TOT</t>
  </si>
  <si>
    <t>L</t>
  </si>
  <si>
    <t>mindre brunfladdermus</t>
  </si>
  <si>
    <t>Nyctalus leisleri</t>
  </si>
  <si>
    <t>VU</t>
  </si>
  <si>
    <t>Sårbar (VU)</t>
  </si>
  <si>
    <t>Rödlistekriterium 2020: D1
Arten finns upptagen i bilaga 4 till art- och habitatdirektivet därför att den kräver noggrant skydd.</t>
  </si>
  <si>
    <t>större brunfladdermus</t>
  </si>
  <si>
    <t>Nyctalus sp TOT</t>
  </si>
  <si>
    <t>parkpipistrell</t>
  </si>
  <si>
    <t>Pipistrellus kuhlii</t>
  </si>
  <si>
    <t>I</t>
  </si>
  <si>
    <t>-</t>
  </si>
  <si>
    <t>trollpipistrell</t>
  </si>
  <si>
    <t>Pipistrellus nathusii</t>
  </si>
  <si>
    <t>sydpipistrell</t>
  </si>
  <si>
    <t>Pipistrellus pipistrellus</t>
  </si>
  <si>
    <t>dvärgpipistrell</t>
  </si>
  <si>
    <t>Pipistrellus sp TOT</t>
  </si>
  <si>
    <t>brunlångöra</t>
  </si>
  <si>
    <t>Plecotus auritus</t>
  </si>
  <si>
    <t>Rödlistekriterium 2020: A2bc
Grottor (8310)
Arten finns upptagen i bilaga 4 till art- och habitatdirektivet därför att den kräver noggrant skydd.</t>
  </si>
  <si>
    <t>grålångöra</t>
  </si>
  <si>
    <t>Plecotus austriacus</t>
  </si>
  <si>
    <t>CR</t>
  </si>
  <si>
    <t>Akut hotad (CR)</t>
  </si>
  <si>
    <t>Rödlistekriterium 2020: D
Arten finns upptagen i bilaga 4 till art- och habitatdirektivet därför att den kräver noggrant skydd.</t>
  </si>
  <si>
    <t>Plecotus sp TOT</t>
  </si>
  <si>
    <t>gråskimlig fladdermus</t>
  </si>
  <si>
    <t>Vespertilio murinus</t>
  </si>
  <si>
    <t>Vespertilio sp TOT</t>
  </si>
  <si>
    <t>oidentifierad 23-35 kHZ</t>
  </si>
  <si>
    <t>inom gruppen Nyctaloid**</t>
  </si>
  <si>
    <t>Nyctaloid</t>
  </si>
  <si>
    <t>o</t>
  </si>
  <si>
    <t>oidentifierad fladdermus</t>
  </si>
  <si>
    <t>autoboxar</t>
  </si>
  <si>
    <t>Totalt antal ljud:</t>
  </si>
  <si>
    <t>Antal fladdermusljud per riskkategori Artfakta</t>
  </si>
  <si>
    <t>Antal fladdermusljud per riskkategori Vindval</t>
  </si>
  <si>
    <t>nätter</t>
  </si>
  <si>
    <t>Fladdermusregistreringar:</t>
  </si>
  <si>
    <t>Fragmentering</t>
  </si>
  <si>
    <t>Direkt kroppsskada viss risk</t>
  </si>
  <si>
    <t>timmar/natt</t>
  </si>
  <si>
    <t>/natt</t>
  </si>
  <si>
    <t>/tim</t>
  </si>
  <si>
    <t>fod</t>
  </si>
  <si>
    <t>soc</t>
  </si>
  <si>
    <t>Igenväxning</t>
  </si>
  <si>
    <t>Direkt kroppsskada hög risk</t>
  </si>
  <si>
    <t>*Artkollektiv av mustasch/tajgafladdermus. ** Artkollektiv av gråskimlig/nord/syd/större brun/mindre brunfladdermus/barbastell.</t>
  </si>
  <si>
    <t>Direkt kroppsskada</t>
  </si>
  <si>
    <t>Övriga arter</t>
  </si>
  <si>
    <t>Jaktbeteende: S = skogsjagande B = brynjagande V = vattenjagande L = lufthavsjagande o = okänt</t>
  </si>
  <si>
    <t>okänt</t>
  </si>
  <si>
    <t>LC = livskraftig NT = nära hotad VU = sårbar EN = starkt hotad CR = akut hotad</t>
  </si>
  <si>
    <t>Risk: F = fragmentering I = igenväxning K = direkt kroppsskada o = okänt</t>
  </si>
  <si>
    <t>KK = hög risk (K) = potentiell risk kroppsskada</t>
  </si>
  <si>
    <t>Datum</t>
  </si>
  <si>
    <t>Matrisversion 2025-07-08</t>
  </si>
  <si>
    <t>D:\202507 Fladdermöss Mittlagan\Halmstad Box 1-2 2407 269</t>
  </si>
  <si>
    <t>M000089.WAV</t>
  </si>
  <si>
    <t>4.99968</t>
  </si>
  <si>
    <t>Noise</t>
  </si>
  <si>
    <t>apln4PuBvwW3WdzjShkdVQ==</t>
  </si>
  <si>
    <t>M000126.WAV</t>
  </si>
  <si>
    <t>EPTNIL</t>
  </si>
  <si>
    <t>0.848398</t>
  </si>
  <si>
    <t>tgwWwEIoTd7j5RYhtMgPMA==</t>
  </si>
  <si>
    <t>M000161.WAV</t>
  </si>
  <si>
    <t>0.75309</t>
  </si>
  <si>
    <t>TyvgcqefLAy6dlLlO9DKrA==</t>
  </si>
  <si>
    <t>M000160.WAV</t>
  </si>
  <si>
    <t>EPTSER</t>
  </si>
  <si>
    <t>BARBAR</t>
  </si>
  <si>
    <t>0.833</t>
  </si>
  <si>
    <t>0.639385</t>
  </si>
  <si>
    <t>c+zETc/qV3K09oK53pHjGw==</t>
  </si>
  <si>
    <t>M000222.WAV</t>
  </si>
  <si>
    <t>NYCLEI</t>
  </si>
  <si>
    <t>0.769</t>
  </si>
  <si>
    <t>0.529352</t>
  </si>
  <si>
    <t>zGLvV+OTYmjJAbWBsoy6YA==</t>
  </si>
  <si>
    <t>M000223.WAV</t>
  </si>
  <si>
    <t>NoID</t>
  </si>
  <si>
    <t>OzrdLtLN3TZHpf0qRVylJw==</t>
  </si>
  <si>
    <t>M000152.WAV</t>
  </si>
  <si>
    <t>6rTu9WDeLtIQ+5jKjvJDiA==</t>
  </si>
  <si>
    <t>M000145.WAV</t>
  </si>
  <si>
    <t>0.714</t>
  </si>
  <si>
    <t>0.391038</t>
  </si>
  <si>
    <t>Eptesicus nilssonii FOD</t>
  </si>
  <si>
    <t>WGyYkwZxDqfnLUBx9rRQYg==</t>
  </si>
  <si>
    <t>M000140.WAV</t>
  </si>
  <si>
    <t>0.815575</t>
  </si>
  <si>
    <t>Eptesicus nilssonii SOC</t>
  </si>
  <si>
    <t>PpduIi4Zld+7IA8ltglC+w==</t>
  </si>
  <si>
    <t>M000196.WAV</t>
  </si>
  <si>
    <t>MYODAU</t>
  </si>
  <si>
    <t>MYOBEC</t>
  </si>
  <si>
    <t>MYODAS</t>
  </si>
  <si>
    <t>0.5</t>
  </si>
  <si>
    <t>0.290758</t>
  </si>
  <si>
    <t>A87hjCYFKTcERpq71fjpGQ==</t>
  </si>
  <si>
    <t>M000079.WAV</t>
  </si>
  <si>
    <t>0.619285</t>
  </si>
  <si>
    <t>KrbwzHQS9uA+2FY+chUREA==</t>
  </si>
  <si>
    <t>M000043.WAV</t>
  </si>
  <si>
    <t>0.889</t>
  </si>
  <si>
    <t>0.503729</t>
  </si>
  <si>
    <t>LxzsiUXVCXnYcQ7KzV4bqg==</t>
  </si>
  <si>
    <t>M000236.WAV</t>
  </si>
  <si>
    <t>0.81</t>
  </si>
  <si>
    <t>0.467087</t>
  </si>
  <si>
    <t>B00fvFDyO07HD/GwevQ6ug==</t>
  </si>
  <si>
    <t>M000189.WAV</t>
  </si>
  <si>
    <t>MYOMYS</t>
  </si>
  <si>
    <t>MYOBRA</t>
  </si>
  <si>
    <t>0.462152</t>
  </si>
  <si>
    <t>3FOZdVskszv0lTrez3RJOg==</t>
  </si>
  <si>
    <t>M000237.WAV</t>
  </si>
  <si>
    <t>0.328361</t>
  </si>
  <si>
    <t>ecObuRV8barxEFC+9NseBg==</t>
  </si>
  <si>
    <t>M000044.WAV</t>
  </si>
  <si>
    <t>0.545</t>
  </si>
  <si>
    <t>0.245544</t>
  </si>
  <si>
    <t>BGnBinA7a9J9+VISAPAxEg==</t>
  </si>
  <si>
    <t>M000058.WAV</t>
  </si>
  <si>
    <t>0.448</t>
  </si>
  <si>
    <t>0.196676</t>
  </si>
  <si>
    <t>mzZMKVhcI7qy4ljnxWmxfw==</t>
  </si>
  <si>
    <t>M000088.WAV</t>
  </si>
  <si>
    <t>0.7</t>
  </si>
  <si>
    <t>0.305159</t>
  </si>
  <si>
    <t>qVQ3dCjnQ5exRCbl/DF3sw==</t>
  </si>
  <si>
    <t>M000252.WAV</t>
  </si>
  <si>
    <t>wDAapTVStbGWUTWmLarTCA==</t>
  </si>
  <si>
    <t>M000187.WAV</t>
  </si>
  <si>
    <t>SczVGax/JwAnIZO3DYfdUA==</t>
  </si>
  <si>
    <t>M000155.WAV</t>
  </si>
  <si>
    <t>oSLMbipDcfZdOXHyDZGBFQ==</t>
  </si>
  <si>
    <t>M000056.WAV</t>
  </si>
  <si>
    <t>4V/in0AxAlcEPsrOvTQJDQ==</t>
  </si>
  <si>
    <t>M000064.WAV</t>
  </si>
  <si>
    <t>lFDD3vj5jSvOLavsbPNCtQ==</t>
  </si>
  <si>
    <t>M000241.WAV</t>
  </si>
  <si>
    <t>tQDhy8wQuDi9fAj5aPt+hQ==</t>
  </si>
  <si>
    <t>M000239.WAV</t>
  </si>
  <si>
    <t>t0Cg3JRFoW2BYXWuLM3a5A==</t>
  </si>
  <si>
    <t>M000246.WAV</t>
  </si>
  <si>
    <t>EAweRASCFkVuXaa62Sgm6Q==</t>
  </si>
  <si>
    <t>M000250.WAV</t>
  </si>
  <si>
    <t>ZYnu3dO993GbZw74nHQMyQ==</t>
  </si>
  <si>
    <t>M000249.WAV</t>
  </si>
  <si>
    <t>iJnqhT/EnW/AN6ZmwcPIqQ==</t>
  </si>
  <si>
    <t>M000247.WAV</t>
  </si>
  <si>
    <t>6RsW41j+YSGLHVHvSrlmaQ==</t>
  </si>
  <si>
    <t>M000251.WAV</t>
  </si>
  <si>
    <t>q3pru0K3omU+w3XZHH2gDQ==</t>
  </si>
  <si>
    <t>M000211.WAV</t>
  </si>
  <si>
    <t>oji7lFmCcQ8NrrLr97+MyQ==</t>
  </si>
  <si>
    <t>M000212.WAV</t>
  </si>
  <si>
    <t>9OWSOvOr7dzoJ8j2MNbqlg==</t>
  </si>
  <si>
    <t>M000218.WAV</t>
  </si>
  <si>
    <t>andy5wELZNjQXN8QkvnZkA==</t>
  </si>
  <si>
    <t>M000225.WAV</t>
  </si>
  <si>
    <t>T8I6nF32BHO6fxgi7iAEhw==</t>
  </si>
  <si>
    <t>M000232.WAV</t>
  </si>
  <si>
    <t>jr/GcG8y4up9xPVNh7ELxQ==</t>
  </si>
  <si>
    <t>M000185.WAV</t>
  </si>
  <si>
    <t>vp3tcYZT/kVBFykVoNeQ0w==</t>
  </si>
  <si>
    <t>M000192.WAV</t>
  </si>
  <si>
    <t>5QXjRK5q/sSBr951VHqg9Q==</t>
  </si>
  <si>
    <t>M000194.WAV</t>
  </si>
  <si>
    <t>V4kw+vuLlttQpkx9pe23uw==</t>
  </si>
  <si>
    <t>M000208.WAV</t>
  </si>
  <si>
    <t>VXcSjG6nFDphsOFClJSzVw==</t>
  </si>
  <si>
    <t>M000210.WAV</t>
  </si>
  <si>
    <t>g1IDXkvPDXDxXlZDZ9tboQ==</t>
  </si>
  <si>
    <t>M000146.WAV</t>
  </si>
  <si>
    <t>M8AvKChRjb/eCL91VOg+ow==</t>
  </si>
  <si>
    <t>M000147.WAV</t>
  </si>
  <si>
    <t>JsDcZcwjVhfY1ga+79/Cvw==</t>
  </si>
  <si>
    <t>M000148.WAV</t>
  </si>
  <si>
    <t>7IYM/C/K8jwvcUCkIAzLkg==</t>
  </si>
  <si>
    <t>M000157.WAV</t>
  </si>
  <si>
    <t>eqszIZ7dxPijVqSuwCmPMQ==</t>
  </si>
  <si>
    <t>M000150.WAV</t>
  </si>
  <si>
    <t>t9i0KeF/Nnfb0DSbcgpXwA==</t>
  </si>
  <si>
    <t>M000149.WAV</t>
  </si>
  <si>
    <t>z3dVJvL6ZPXrtn0D1LVB6w==</t>
  </si>
  <si>
    <t>M000154.WAV</t>
  </si>
  <si>
    <t>SsHAxcGVdaSS6f2FUTs+mQ==</t>
  </si>
  <si>
    <t>M000153.WAV</t>
  </si>
  <si>
    <t>h3SCz258i7cyeiYzN9CpwA==</t>
  </si>
  <si>
    <t>M000164.WAV</t>
  </si>
  <si>
    <t>5u7/iPjLK2HO2QZSqWImtw==</t>
  </si>
  <si>
    <t>M000159.WAV</t>
  </si>
  <si>
    <t>JYZjI1z5SFjiahZ85LoiHg==</t>
  </si>
  <si>
    <t>M000168.WAV</t>
  </si>
  <si>
    <t>NTrSEb8vHBDjTI5LDhwDUA==</t>
  </si>
  <si>
    <t>M000125.WAV</t>
  </si>
  <si>
    <t>WjyYsVssHMT/GS4KaqRMWw==</t>
  </si>
  <si>
    <t>M000120.WAV</t>
  </si>
  <si>
    <t>0DlhL+/FcearBDzHPiEwkA==</t>
  </si>
  <si>
    <t>M000124.WAV</t>
  </si>
  <si>
    <t>4hs4H3LLjTCsqC/WbhU4HA==</t>
  </si>
  <si>
    <t>M000129.WAV</t>
  </si>
  <si>
    <t>zvtGnFyawa2NOxQtFaNHew==</t>
  </si>
  <si>
    <t>M000130.WAV</t>
  </si>
  <si>
    <t>TAF/PJLg/HrqP4C2LAAwKA==</t>
  </si>
  <si>
    <t>M000131.WAV</t>
  </si>
  <si>
    <t>6iy5XXV2/Dc5bvCt/ADFOg==</t>
  </si>
  <si>
    <t>M000135.WAV</t>
  </si>
  <si>
    <t>nc8GyHZMpiGJQZSmX5+UHQ==</t>
  </si>
  <si>
    <t>M000134.WAV</t>
  </si>
  <si>
    <t>fnh5dViEE1RyYnQxONpVsA==</t>
  </si>
  <si>
    <t>M000137.WAV</t>
  </si>
  <si>
    <t>+DD0FJ3d1jpdENOWr6HabA==</t>
  </si>
  <si>
    <t>M000138.WAV</t>
  </si>
  <si>
    <t>qlLU6od3628qSgLfbAc5tA==</t>
  </si>
  <si>
    <t>M000141.WAV</t>
  </si>
  <si>
    <t>yLEfuolHZiE6EndOb4UnAA==</t>
  </si>
  <si>
    <t>M000143.WAV</t>
  </si>
  <si>
    <t>OaEECSYard28n/yR7NYTkQ==</t>
  </si>
  <si>
    <t>M000097.WAV</t>
  </si>
  <si>
    <t>MIUnEJWeAMotQCUABTPT5w==</t>
  </si>
  <si>
    <t>M000094.WAV</t>
  </si>
  <si>
    <t>mxkBpxwf4PmAEERsf2hfOg==</t>
  </si>
  <si>
    <t>M000095.WAV</t>
  </si>
  <si>
    <t>R0qFN4rKMmRCYR/doKQZGQ==</t>
  </si>
  <si>
    <t>M000093.WAV</t>
  </si>
  <si>
    <t>HGjN8RH0wMjR8/cvkn9ZOQ==</t>
  </si>
  <si>
    <t>M000098.WAV</t>
  </si>
  <si>
    <t>ZyzzKFeU4Z66WPg6C966MQ==</t>
  </si>
  <si>
    <t>M000100.WAV</t>
  </si>
  <si>
    <t>wEONzF5YNu2Y7w0m6vYkqg==</t>
  </si>
  <si>
    <t>M000099.WAV</t>
  </si>
  <si>
    <t>3X+kuhHUjIma9PNypmIgzg==</t>
  </si>
  <si>
    <t>M000102.WAV</t>
  </si>
  <si>
    <t>KVPPjuVJTIRGbnvc2H/2vA==</t>
  </si>
  <si>
    <t>M000104.WAV</t>
  </si>
  <si>
    <t>7PDveGoX9QCx4U0fNyWSUQ==</t>
  </si>
  <si>
    <t>M000107.WAV</t>
  </si>
  <si>
    <t>3HGBay9U2mQDscc/lYnDAQ==</t>
  </si>
  <si>
    <t>M000109.WAV</t>
  </si>
  <si>
    <t>WrRMQ/yhwxeLM8FZTW6A4w==</t>
  </si>
  <si>
    <t>M000115.WAV</t>
  </si>
  <si>
    <t>zAkYBw06DQVnAp6wzZjWXw==</t>
  </si>
  <si>
    <t>M000108.WAV</t>
  </si>
  <si>
    <t>gS66NkxaqRmXBtuJmfzvYg==</t>
  </si>
  <si>
    <t>M000113.WAV</t>
  </si>
  <si>
    <t>CkdOM97Yj/ZQFvpjvbqC3A==</t>
  </si>
  <si>
    <t>M000048.WAV</t>
  </si>
  <si>
    <t>w/2eyWL6Sk1DuVcuKiHv4g==</t>
  </si>
  <si>
    <t>M000047.WAV</t>
  </si>
  <si>
    <t>mTv8BSxuMX0inTnzcRh2Wg==</t>
  </si>
  <si>
    <t>M000053.WAV</t>
  </si>
  <si>
    <t>LmlDMwaa9aD0ohD/q4tYiw==</t>
  </si>
  <si>
    <t>M000057.WAV</t>
  </si>
  <si>
    <t>9k1m4QJLzAW8bBYKAY/NaA==</t>
  </si>
  <si>
    <t>M000063.WAV</t>
  </si>
  <si>
    <t>um9c7f/FK3MH9oBontXpPg==</t>
  </si>
  <si>
    <t>M000060.WAV</t>
  </si>
  <si>
    <t>9zUY4U0E26JXtD4NJmqpVw==</t>
  </si>
  <si>
    <t>M000062.WAV</t>
  </si>
  <si>
    <t>8ndo655a412tBeQcnG2Qfg==</t>
  </si>
  <si>
    <t>M000065.WAV</t>
  </si>
  <si>
    <t>JnasAPhtCNT6adrlWzdeiw==</t>
  </si>
  <si>
    <t>M000067.WAV</t>
  </si>
  <si>
    <t>yFFxQ35cBv2PEJ+fJ+JnQw==</t>
  </si>
  <si>
    <t>M000069.WAV</t>
  </si>
  <si>
    <t>sH9goXOuRcRP1dheIxXBsA==</t>
  </si>
  <si>
    <t>M000070.WAV</t>
  </si>
  <si>
    <t>mFRoaSmjFBQa+S51j4oAvA==</t>
  </si>
  <si>
    <t>M000074.WAV</t>
  </si>
  <si>
    <t>tyvJnJIRJ0AA0Dy74nh3CQ==</t>
  </si>
  <si>
    <t>M000075.WAV</t>
  </si>
  <si>
    <t>jm67rsFQ+AlyDuMEYyhClg==</t>
  </si>
  <si>
    <t>M000081.WAV</t>
  </si>
  <si>
    <t>30ppp57BSpzPiewOE6dAFg==</t>
  </si>
  <si>
    <t>M000077.WAV</t>
  </si>
  <si>
    <t>2xsoLo8L0i5DjI3WxBaWkA==</t>
  </si>
  <si>
    <t>M000076.WAV</t>
  </si>
  <si>
    <t>XUg1MlP6j2R2Z5zPBS1qkQ==</t>
  </si>
  <si>
    <t>M000083.WAV</t>
  </si>
  <si>
    <t>9D7H7IyuZlmNJuW7gyP6GA==</t>
  </si>
  <si>
    <t>M000087.WAV</t>
  </si>
  <si>
    <t>L9SYONa/aYYXBtASIkKTNw==</t>
  </si>
  <si>
    <t>M000086.WAV</t>
  </si>
  <si>
    <t>qpcezAf2mBb2Xql/Hzf8RA==</t>
  </si>
  <si>
    <t>M000238.WAV</t>
  </si>
  <si>
    <t>Myotis daubentonii FOD</t>
  </si>
  <si>
    <t>3fo6Q0i9J0qWN4tDdX2D3g==</t>
  </si>
  <si>
    <t>M000240.WAV</t>
  </si>
  <si>
    <t>yTMjDPSJmVaIIg12OKIDqw==</t>
  </si>
  <si>
    <t>M000244.WAV</t>
  </si>
  <si>
    <t>k5D0ov1R+4RBgwXyUxV8ZA==</t>
  </si>
  <si>
    <t>M000245.WAV</t>
  </si>
  <si>
    <t>rDTtcBunhWOI6KNMNELTuA==</t>
  </si>
  <si>
    <t>M000248.WAV</t>
  </si>
  <si>
    <t>JR2e+pXZwEeoWD+VWullkg==</t>
  </si>
  <si>
    <t>M000216.WAV</t>
  </si>
  <si>
    <t>QcyCBYxP/eQJS6AyQUMCvQ==</t>
  </si>
  <si>
    <t>M000217.WAV</t>
  </si>
  <si>
    <t>gXfc2/2IzgKCA9Z7AbEnwA==</t>
  </si>
  <si>
    <t>M000224.WAV</t>
  </si>
  <si>
    <t>BRpVwHs3cofTx6GmKd576w==</t>
  </si>
  <si>
    <t>M000230.WAV</t>
  </si>
  <si>
    <t>6mTlaqNRqxxFhOz7aQh8Kg==</t>
  </si>
  <si>
    <t>M000231.WAV</t>
  </si>
  <si>
    <t>xMhaJc7qsRJNnwmLeIl31w==</t>
  </si>
  <si>
    <t>M000191.WAV</t>
  </si>
  <si>
    <t>GNPkozzXnqzCdRX1tVxq5A==</t>
  </si>
  <si>
    <t>M000193.WAV</t>
  </si>
  <si>
    <t>nk14QQQZ7XRTJgdhnqCvJg==</t>
  </si>
  <si>
    <t>M000158.WAV</t>
  </si>
  <si>
    <t>yz4qxh0ukIXsMLGulkfCNw==</t>
  </si>
  <si>
    <t>M000167.WAV</t>
  </si>
  <si>
    <t>4lxMfA0ecTxpyESH08DtZg==</t>
  </si>
  <si>
    <t>M000170.WAV</t>
  </si>
  <si>
    <t>rz/UeG22W2PTzdAT/szg6A==</t>
  </si>
  <si>
    <t>M000169.WAV</t>
  </si>
  <si>
    <t>fmDQCy7e7fNDnCk+XGEpag==</t>
  </si>
  <si>
    <t>M000178.WAV</t>
  </si>
  <si>
    <t>1cYi8fLYQNndjrYux80UOw==</t>
  </si>
  <si>
    <t>M000121.WAV</t>
  </si>
  <si>
    <t>l93ICHQjPdoodhn0VTjIoA==</t>
  </si>
  <si>
    <t>M000127.WAV</t>
  </si>
  <si>
    <t>vBiRwdPVayuJGWlsDhiHDA==</t>
  </si>
  <si>
    <t>M000128.WAV</t>
  </si>
  <si>
    <t>xCS7wze1B/Ef/UAhN1SBNA==</t>
  </si>
  <si>
    <t>M000142.WAV</t>
  </si>
  <si>
    <t>YDNGtzk8+1KCxRfovrVcuA==</t>
  </si>
  <si>
    <t>M000136.WAV</t>
  </si>
  <si>
    <t>Ln6LDbFxG73yn3OQWExiMw==</t>
  </si>
  <si>
    <t>M000090.WAV</t>
  </si>
  <si>
    <t>nsQBU/HqEJdDszsKmhl4MQ==</t>
  </si>
  <si>
    <t>M000096.WAV</t>
  </si>
  <si>
    <t>YSimAMN2pkdtHbBJcxx+bA==</t>
  </si>
  <si>
    <t>M000112.WAV</t>
  </si>
  <si>
    <t>5/SUcFJs0rrJTEV6SuwI6Q==</t>
  </si>
  <si>
    <t>M000117.WAV</t>
  </si>
  <si>
    <t>ng194IpvfrG9x9uPRUNzsQ==</t>
  </si>
  <si>
    <t>M000051.WAV</t>
  </si>
  <si>
    <t>DOaYUBoTUDUEl0VC2SjYdQ==</t>
  </si>
  <si>
    <t>M000050.WAV</t>
  </si>
  <si>
    <t>3OKOblEQNZbE9uxJimsmwA==</t>
  </si>
  <si>
    <t>M000052.WAV</t>
  </si>
  <si>
    <t>RviWUOVq481dtoX8I5y0Gw==</t>
  </si>
  <si>
    <t>M000054.WAV</t>
  </si>
  <si>
    <t>vAIomA0eaIOy+T2VWzHnTQ==</t>
  </si>
  <si>
    <t>M000061.WAV</t>
  </si>
  <si>
    <t>WACC5EJFCFjDVkWAEsHCPg==</t>
  </si>
  <si>
    <t>M000066.WAV</t>
  </si>
  <si>
    <t>dLph7W/vomhVOUk/uE6Tag==</t>
  </si>
  <si>
    <t>M000080.WAV</t>
  </si>
  <si>
    <t>iaxCjVqk8oAICOEV7zEifw==</t>
  </si>
  <si>
    <t>M000082.WAV</t>
  </si>
  <si>
    <t>V5W68NLxtD4nudsKtJBIwQ==</t>
  </si>
  <si>
    <t>M000085.WAV</t>
  </si>
  <si>
    <t>q+BxRD4UAmrv8GhtUa91Qg==</t>
  </si>
  <si>
    <t>M000242.WAV</t>
  </si>
  <si>
    <t>Myotis daubentonii SOC</t>
  </si>
  <si>
    <t>tds7GBoPqvGWCCw4ajU+gQ==</t>
  </si>
  <si>
    <t>M000204.WAV</t>
  </si>
  <si>
    <t>5z+ftq6ZiyR1UH0nPkw7WQ==</t>
  </si>
  <si>
    <t>M000144.WAV</t>
  </si>
  <si>
    <t>OldxU5MS/k09AhM1mqz/yA==</t>
  </si>
  <si>
    <t>M000059.WAV</t>
  </si>
  <si>
    <t>C7/gQliLLmACiiMkld2YNg==</t>
  </si>
  <si>
    <t>M000055.WAV</t>
  </si>
  <si>
    <t>XKevPJelrRQiN6l0/0XCFA==</t>
  </si>
  <si>
    <t>M000049.WAV</t>
  </si>
  <si>
    <t>Myotis daubentonii SOC, Myotis daubentonii FOD</t>
  </si>
  <si>
    <t>95vLkEgAdbC4Yf8I6fHBxA==</t>
  </si>
  <si>
    <t>M000156.WAV</t>
  </si>
  <si>
    <t>VESMUR</t>
  </si>
  <si>
    <t>NYCNOC</t>
  </si>
  <si>
    <t>0.722</t>
  </si>
  <si>
    <t>0.422504</t>
  </si>
  <si>
    <t>0Gp/LtcL4pz1ablQTlvXPg==</t>
  </si>
  <si>
    <t>M000039.WAV</t>
  </si>
  <si>
    <t>p4o1MO+2XZpRKlt7R3URhg==</t>
  </si>
  <si>
    <t>M000262.WAV</t>
  </si>
  <si>
    <t>j28HcEFqhQ9X8WY/7yQRmQ==</t>
  </si>
  <si>
    <t>M000264.WAV</t>
  </si>
  <si>
    <t>7n5moPcxP+l1tnuZlX8phQ==</t>
  </si>
  <si>
    <t>M000263.WAV</t>
  </si>
  <si>
    <t>yeo0LEBQa7HNZE4jhtapGA==</t>
  </si>
  <si>
    <t>M000266.WAV</t>
  </si>
  <si>
    <t>5yxLu/QvK0IuksoknK7P5w==</t>
  </si>
  <si>
    <t>M000261.WAV</t>
  </si>
  <si>
    <t>C3vu5ScSrmPXnSOgq229Ig==</t>
  </si>
  <si>
    <t>M000267.WAV</t>
  </si>
  <si>
    <t>R+vq2kj7sfx0Ai892rAVSQ==</t>
  </si>
  <si>
    <t>M000269.WAV</t>
  </si>
  <si>
    <t>t31wzXIz1JahUBoF755Bnw==</t>
  </si>
  <si>
    <t>M000265.WAV</t>
  </si>
  <si>
    <t>BgQ13nt8bRJKzO8tyJAFpw==</t>
  </si>
  <si>
    <t>M000268.WAV</t>
  </si>
  <si>
    <t>LLe1N3BENZQNR7vBCj7d3w==</t>
  </si>
  <si>
    <t>M000243.WAV</t>
  </si>
  <si>
    <t>2sgXk5465F5jL8kH4H61VQ==</t>
  </si>
  <si>
    <t>M000253.WAV</t>
  </si>
  <si>
    <t>1TzOeFXJRwN07cLHjORecw==</t>
  </si>
  <si>
    <t>M000259.WAV</t>
  </si>
  <si>
    <t>7EWXoXHRN3JpD6JHgFUTEQ==</t>
  </si>
  <si>
    <t>M000255.WAV</t>
  </si>
  <si>
    <t>9Qn/WtwcdkTS/kVhEgOmEA==</t>
  </si>
  <si>
    <t>M000256.WAV</t>
  </si>
  <si>
    <t>LNMnKMS5ZSxZyi7tXeOrcA==</t>
  </si>
  <si>
    <t>M000254.WAV</t>
  </si>
  <si>
    <t>znK8Fa+NInhgMK70COESZA==</t>
  </si>
  <si>
    <t>M000257.WAV</t>
  </si>
  <si>
    <t>j+gfQ98cuERxYw8VIDv5sQ==</t>
  </si>
  <si>
    <t>M000258.WAV</t>
  </si>
  <si>
    <t>zV7qMV4s5yq35TILNxkgwg==</t>
  </si>
  <si>
    <t>M000260.WAV</t>
  </si>
  <si>
    <t>5jcaysBDKMsEV2tb1erEuQ==</t>
  </si>
  <si>
    <t>M000215.WAV</t>
  </si>
  <si>
    <t>VSnz1oTPy7GnifcSxUG3qA==</t>
  </si>
  <si>
    <t>M000219.WAV</t>
  </si>
  <si>
    <t>sXIOPs/sP+wDO/c1wnOnUQ==</t>
  </si>
  <si>
    <t>M000226.WAV</t>
  </si>
  <si>
    <t>+ZG16ECz4LIMOseInQoILQ==</t>
  </si>
  <si>
    <t>M000229.WAV</t>
  </si>
  <si>
    <t>zTpdXhvnYW7vFfAJmaveGg==</t>
  </si>
  <si>
    <t>M000235.WAV</t>
  </si>
  <si>
    <t>YBuUTlsaAT74tfUFawavmQ==</t>
  </si>
  <si>
    <t>M000233.WAV</t>
  </si>
  <si>
    <t>nSgxxdSPrmq9wa3JnPziug==</t>
  </si>
  <si>
    <t>M000234.WAV</t>
  </si>
  <si>
    <t>TRUabs+iHH8Rv3OVLhD/NA==</t>
  </si>
  <si>
    <t>M000182.WAV</t>
  </si>
  <si>
    <t>8p95h2BDmu0+fKwBis317g==</t>
  </si>
  <si>
    <t>M000183.WAV</t>
  </si>
  <si>
    <t>NE5Oqu9VrCRXIs4MraOnXA==</t>
  </si>
  <si>
    <t>M000184.WAV</t>
  </si>
  <si>
    <t>SS0BvGb7/h6x3r2fuQnqew==</t>
  </si>
  <si>
    <t>M000186.WAV</t>
  </si>
  <si>
    <t>nUC5GwwZBeatlF92p1Te4Q==</t>
  </si>
  <si>
    <t>M000188.WAV</t>
  </si>
  <si>
    <t>rcBh4L3twm0QY5Av8qt+8Q==</t>
  </si>
  <si>
    <t>M000190.WAV</t>
  </si>
  <si>
    <t>mqrzSSuxYnoUZfwfUi7/Sg==</t>
  </si>
  <si>
    <t>M000195.WAV</t>
  </si>
  <si>
    <t>D83YtL70xeKDRjBodQ3LYQ==</t>
  </si>
  <si>
    <t>M000198.WAV</t>
  </si>
  <si>
    <t>NvLkLJSPSlDC+w7NdKkhJw==</t>
  </si>
  <si>
    <t>M000202.WAV</t>
  </si>
  <si>
    <t>PFjpnhUkClI4d8EBnUdqNQ==</t>
  </si>
  <si>
    <t>M000201.WAV</t>
  </si>
  <si>
    <t>hTmit2GWc5pe+8b2Rfp5WA==</t>
  </si>
  <si>
    <t>M000197.WAV</t>
  </si>
  <si>
    <t>/7acbM2noMyGMMClJjliag==</t>
  </si>
  <si>
    <t>M000209.WAV</t>
  </si>
  <si>
    <t>7t9ACiw75q0n13oA+h+alw==</t>
  </si>
  <si>
    <t>M000151.WAV</t>
  </si>
  <si>
    <t>ZC6oKBTb+PY7xtVBFhdmMQ==</t>
  </si>
  <si>
    <t>M000165.WAV</t>
  </si>
  <si>
    <t>Xdk+I+FOb9IqeUUN1g5iLw==</t>
  </si>
  <si>
    <t>M000166.WAV</t>
  </si>
  <si>
    <t>G4xZ+kmbQvbcQ/RqEkHoFw==</t>
  </si>
  <si>
    <t>M000173.WAV</t>
  </si>
  <si>
    <t>BPpPI8X5evqHIsb+2US6tw==</t>
  </si>
  <si>
    <t>M000177.WAV</t>
  </si>
  <si>
    <t>wJsaS5aX579Y1gl8klHZvA==</t>
  </si>
  <si>
    <t>M000180.WAV</t>
  </si>
  <si>
    <t>pQ0cRVDUQ0Afxr68sHV+dQ==</t>
  </si>
  <si>
    <t>M000181.WAV</t>
  </si>
  <si>
    <t>ve4x9L3tPBiqEE7ocmkxSw==</t>
  </si>
  <si>
    <t>M000179.WAV</t>
  </si>
  <si>
    <t>QVw8jp5ZM+8QdaWZe0nQXg==</t>
  </si>
  <si>
    <t>M000122.WAV</t>
  </si>
  <si>
    <t>ROelpFFCkzV/Xr1VcqjHdA==</t>
  </si>
  <si>
    <t>M000123.WAV</t>
  </si>
  <si>
    <t>HeTS7XM1Ki4nenPsC9uQig==</t>
  </si>
  <si>
    <t>M000132.WAV</t>
  </si>
  <si>
    <t>KyyW0XZDvqIpd3s3yv1AYg==</t>
  </si>
  <si>
    <t>M000133.WAV</t>
  </si>
  <si>
    <t>4223exgbFAGm55gBMKZ1NQ==</t>
  </si>
  <si>
    <t>M000092.WAV</t>
  </si>
  <si>
    <t>hSYNqjcrAqAILkwcsK5ZEg==</t>
  </si>
  <si>
    <t>M000101.WAV</t>
  </si>
  <si>
    <t>ZTYtjmCRHDqyE7YemmGRSQ==</t>
  </si>
  <si>
    <t>M000103.WAV</t>
  </si>
  <si>
    <t>GTKxcVqy0arslucPHtWPeQ==</t>
  </si>
  <si>
    <t>M000111.WAV</t>
  </si>
  <si>
    <t>nnCEVLsiSkJBvw+N2N1oVA==</t>
  </si>
  <si>
    <t>M000110.WAV</t>
  </si>
  <si>
    <t>+YNq7ITQb/YmBnhniTnCbw==</t>
  </si>
  <si>
    <t>M000114.WAV</t>
  </si>
  <si>
    <t>ZXyGm0hzXz4uc+CgOjHipg==</t>
  </si>
  <si>
    <t>M000116.WAV</t>
  </si>
  <si>
    <t>4bjCwaLxc4P6uGZP7CnB5Q==</t>
  </si>
  <si>
    <t>M000119.WAV</t>
  </si>
  <si>
    <t>tjxIIQRKFdTIkoUcD7B2iA==</t>
  </si>
  <si>
    <t>M000118.WAV</t>
  </si>
  <si>
    <t>8a1ghUUhWVwzIFGoAi+iNw==</t>
  </si>
  <si>
    <t>M000032.WAV</t>
  </si>
  <si>
    <t>cUJiCZJp9zI3bnRUrGEI/w==</t>
  </si>
  <si>
    <t>M000033.WAV</t>
  </si>
  <si>
    <t>KJkiIYWq5upmnT+QakBdow==</t>
  </si>
  <si>
    <t>M000036.WAV</t>
  </si>
  <si>
    <t>hYjQfrnYFiHb/6Qb5SCbJg==</t>
  </si>
  <si>
    <t>M000037.WAV</t>
  </si>
  <si>
    <t>r02qJznBKMgp99PO04Rc4w==</t>
  </si>
  <si>
    <t>M000035.WAV</t>
  </si>
  <si>
    <t>smERc9LXpALLZUa/FnA49w==</t>
  </si>
  <si>
    <t>M000034.WAV</t>
  </si>
  <si>
    <t>Fxn4SLcshegLlNROJ0ET2A==</t>
  </si>
  <si>
    <t>M000038.WAV</t>
  </si>
  <si>
    <t>gJlnzYz2y59pqq3FPlAJ/Q==</t>
  </si>
  <si>
    <t>M000042.WAV</t>
  </si>
  <si>
    <t>s19EvUI09nVzMpi6H2zfew==</t>
  </si>
  <si>
    <t>M000071.WAV</t>
  </si>
  <si>
    <t>utInnaczREBgnS7THvlNOA==</t>
  </si>
  <si>
    <t>M000073.WAV</t>
  </si>
  <si>
    <t>PjgqhsIaa9ON2jWZINum7g==</t>
  </si>
  <si>
    <t>M000078.WAV</t>
  </si>
  <si>
    <t>8nXrJbH4l70wvfPdU2L6vw==</t>
  </si>
  <si>
    <t>M000072.WAV</t>
  </si>
  <si>
    <t>5SqPfHP0eDUglziF+PaDHA==</t>
  </si>
  <si>
    <t>M000084.WAV</t>
  </si>
  <si>
    <t>hRCB7+qnYVmXig2RfY+8Qw==</t>
  </si>
  <si>
    <t>M000002.WAV</t>
  </si>
  <si>
    <t>KPMTxSjY6UfPoF3Xo/SjPg==</t>
  </si>
  <si>
    <t>M000008.WAV</t>
  </si>
  <si>
    <t>jrGO5J80w4bWMqS17RI1IA==</t>
  </si>
  <si>
    <t>M000010.WAV</t>
  </si>
  <si>
    <t>Z8nNoOgQHBERa40gCkgvJA==</t>
  </si>
  <si>
    <t>M000003.WAV</t>
  </si>
  <si>
    <t>5T2wIlXsPuDKw2P2hwdcpw==</t>
  </si>
  <si>
    <t>M000005.WAV</t>
  </si>
  <si>
    <t>5q/zHzH/c9JhzNrahgMFbA==</t>
  </si>
  <si>
    <t>M000009.WAV</t>
  </si>
  <si>
    <t>gLrqhPwCdjNDAECtui3BUQ==</t>
  </si>
  <si>
    <t>M000004.WAV</t>
  </si>
  <si>
    <t>Ta3iNgMkCTetF9DbT7n//w==</t>
  </si>
  <si>
    <t>M000011.WAV</t>
  </si>
  <si>
    <t>af8fV353XlSTfPVvruHAjg==</t>
  </si>
  <si>
    <t>M000013.WAV</t>
  </si>
  <si>
    <t>3kgNJ9ixRT/I4CVXLwPGHA==</t>
  </si>
  <si>
    <t>M000012.WAV</t>
  </si>
  <si>
    <t>ryjY8gIkd824eaLMv2Bp4g==</t>
  </si>
  <si>
    <t>M000001.WAV</t>
  </si>
  <si>
    <t>qYRZtzL4WrU/xQx1zPz8fA==</t>
  </si>
  <si>
    <t>M000007.WAV</t>
  </si>
  <si>
    <t>RtCdTywRCcmKUfYEtGQMAA==</t>
  </si>
  <si>
    <t>M000006.WAV</t>
  </si>
  <si>
    <t>kC4ReP72jTvaXszjm8HM0g==</t>
  </si>
  <si>
    <t>M000022.WAV</t>
  </si>
  <si>
    <t>lkoCTGo5invQ3BdRkg1upg==</t>
  </si>
  <si>
    <t>M000015.WAV</t>
  </si>
  <si>
    <t>co6rzVaB0SVeNrBFFkkq2Q==</t>
  </si>
  <si>
    <t>M000025.WAV</t>
  </si>
  <si>
    <t>ZBwg//NaUbyfRY2CgcGVmg==</t>
  </si>
  <si>
    <t>M000019.WAV</t>
  </si>
  <si>
    <t>oo3NKlxpaU2eZ5r1Qgo4ow==</t>
  </si>
  <si>
    <t>M000023.WAV</t>
  </si>
  <si>
    <t>jBxZ4njI0BgCbs+wjLWDrA==</t>
  </si>
  <si>
    <t>M000014.WAV</t>
  </si>
  <si>
    <t>TAClvEeD8ZQ7QFIyng7uWQ==</t>
  </si>
  <si>
    <t>M000017.WAV</t>
  </si>
  <si>
    <t>DASyZ0ls0xlHJ9r3+iDSNA==</t>
  </si>
  <si>
    <t>M000018.WAV</t>
  </si>
  <si>
    <t>71YgZqQZdRPxQph9GYnB4g==</t>
  </si>
  <si>
    <t>M000016.WAV</t>
  </si>
  <si>
    <t>iGNWAaqvlkwCrvKd6vXHDQ==</t>
  </si>
  <si>
    <t>M000021.WAV</t>
  </si>
  <si>
    <t>IyQKDHFjSEm14x+JQMW+dg==</t>
  </si>
  <si>
    <t>M000024.WAV</t>
  </si>
  <si>
    <t>Xh1KC3epyOfIVHYG2IGjHA==</t>
  </si>
  <si>
    <t>M000026.WAV</t>
  </si>
  <si>
    <t>gbrhLjwzQ1EHvOutW0i3/g==</t>
  </si>
  <si>
    <t>M000020.WAV</t>
  </si>
  <si>
    <t>Yx8KtWqiR5g2cTae0xE+Tw==</t>
  </si>
  <si>
    <t>M000028.WAV</t>
  </si>
  <si>
    <t>kRAGhI/XA73R2E1cR/1mSw==</t>
  </si>
  <si>
    <t>M000027.WAV</t>
  </si>
  <si>
    <t>miz88NGBUb/mnhKcvEFLNg==</t>
  </si>
  <si>
    <t>M000031.WAV</t>
  </si>
  <si>
    <t>I5OYUlqibBeca1xoPIo1wQ==</t>
  </si>
  <si>
    <t>M000029.WAV</t>
  </si>
  <si>
    <t>v8CDyY8l2lPEssve711Htg==</t>
  </si>
  <si>
    <t>M000030.WAV</t>
  </si>
  <si>
    <t>tzgSfN6jxXxHT1d++QrQDA==</t>
  </si>
  <si>
    <t>M000228.WAV</t>
  </si>
  <si>
    <t>786REpa6gjR9PCApoUto4w==</t>
  </si>
  <si>
    <t>M000174.WAV</t>
  </si>
  <si>
    <t>0.799069</t>
  </si>
  <si>
    <t>b8MnlqOEKQsryXdQP+tZUQ==</t>
  </si>
  <si>
    <t>M000046.WAV</t>
  </si>
  <si>
    <t>0.9</t>
  </si>
  <si>
    <t>0.607111</t>
  </si>
  <si>
    <t>8JbWSbS2QdQ/Kt0EJkKiYw==</t>
  </si>
  <si>
    <t>M000206.WAV</t>
  </si>
  <si>
    <t>0.611</t>
  </si>
  <si>
    <t>0.427906</t>
  </si>
  <si>
    <t>JnZkwZICbAiOiF+zfxJvOQ==</t>
  </si>
  <si>
    <t>M000162.WAV</t>
  </si>
  <si>
    <t>0.429</t>
  </si>
  <si>
    <t>0.207554</t>
  </si>
  <si>
    <t>i48nTB10aCnXiT9mwuvAkg==</t>
  </si>
  <si>
    <t>M000213.WAV</t>
  </si>
  <si>
    <t>n9/odQVrocnZ05Ok3KiwRQ==</t>
  </si>
  <si>
    <t>M000214.WAV</t>
  </si>
  <si>
    <t>0jH5PkZK3Q7ZC/NPonfB5w==</t>
  </si>
  <si>
    <t>M000227.WAV</t>
  </si>
  <si>
    <t>9ADKX5CmFL8/aJi9OmzmfQ==</t>
  </si>
  <si>
    <t>M000200.WAV</t>
  </si>
  <si>
    <t>6vG+suOrTEEz/n2DUOOSJQ==</t>
  </si>
  <si>
    <t>M000207.WAV</t>
  </si>
  <si>
    <t>JF62jt59268fUfrIj/hP5Q==</t>
  </si>
  <si>
    <t>M000106.WAV</t>
  </si>
  <si>
    <t>f45gbVAtgC7cfOCXlrQiNQ==</t>
  </si>
  <si>
    <t>M000105.WAV</t>
  </si>
  <si>
    <t>0.6</t>
  </si>
  <si>
    <t>0.263199</t>
  </si>
  <si>
    <t>Nyctalus noctula FOD</t>
  </si>
  <si>
    <t>KOTGMgKn4SdyvR9dU3ERGg==</t>
  </si>
  <si>
    <t>M000040.WAV</t>
  </si>
  <si>
    <t>0.795012</t>
  </si>
  <si>
    <t>UhvQslYZO8TCyBDZgGCdkA==</t>
  </si>
  <si>
    <t>M000041.WAV</t>
  </si>
  <si>
    <t>0.773142</t>
  </si>
  <si>
    <t>UMG7R/837SOeP4YH7qafjA==</t>
  </si>
  <si>
    <t>M000139.WAV</t>
  </si>
  <si>
    <t>0.793277</t>
  </si>
  <si>
    <t>Nyctalus noctula SOC</t>
  </si>
  <si>
    <t>SCM0zC5V+0Ekhurv2wH7Tw==</t>
  </si>
  <si>
    <t>M000045.WAV</t>
  </si>
  <si>
    <t>0.796989</t>
  </si>
  <si>
    <t>eQU5ZEwQ0HB4HZzB5hQuMg==</t>
  </si>
  <si>
    <t>M000068.WAV</t>
  </si>
  <si>
    <t>uinpfmJFCNeqPk1Y58CnXg==</t>
  </si>
  <si>
    <t>M000176.WAV</t>
  </si>
  <si>
    <t>Pipistrellus pygmaeus SOC</t>
  </si>
  <si>
    <t>S7mBs1njqeCbE5h9Os1XUA==</t>
  </si>
  <si>
    <t>M000175.WAV</t>
  </si>
  <si>
    <t>PLEAUR</t>
  </si>
  <si>
    <t>0.778105</t>
  </si>
  <si>
    <t>ssWfAmy767nwk84sRhIeBg==</t>
  </si>
  <si>
    <t>M000221.WAV</t>
  </si>
  <si>
    <t>PLEAUS</t>
  </si>
  <si>
    <t>0.75</t>
  </si>
  <si>
    <t>0.285396</t>
  </si>
  <si>
    <t>TQLPONuHZ0MY+r+ZwmizOw==</t>
  </si>
  <si>
    <t>M000091.WAV</t>
  </si>
  <si>
    <t>Pipistrellus pygmaeus, Myotis daubentonii FOD</t>
  </si>
  <si>
    <t>ORZk82IfzpC0LEZCQ5LUVQ==</t>
  </si>
  <si>
    <t>M000203.WAV</t>
  </si>
  <si>
    <t>Plecotus auritus SOC</t>
  </si>
  <si>
    <t>i15g7KeFt4aTIt/MRyWm+A==</t>
  </si>
  <si>
    <t>M000220.WAV</t>
  </si>
  <si>
    <t>dEmJ9Jm3wza+UDEXqr0Osw==</t>
  </si>
  <si>
    <t>M000205.WAV</t>
  </si>
  <si>
    <t>TU2PX05TNr/UCkVPz2nVBA==</t>
  </si>
  <si>
    <t>M000172.WAV</t>
  </si>
  <si>
    <t>ZwRT+fEP4cWrXcm8yiYg5w==</t>
  </si>
  <si>
    <t>M000199.WAV</t>
  </si>
  <si>
    <t>Ha93i5RO7ENAYhK5foydeg==</t>
  </si>
  <si>
    <t>M000163.WAV</t>
  </si>
  <si>
    <t>C+qxPD6tK4Hh9cEULPGg0A==</t>
  </si>
  <si>
    <t>M000171.WAV</t>
  </si>
  <si>
    <t>5cxYIrD3QId6CUL9lo7P6A==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</si>
</sst>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0%;0%;;@"/>
    <numFmt numFmtId="166" formatCode="0;0;;@"/>
    <numFmt numFmtId="167" formatCode="hh:mm;0;;@"/>
    <numFmt numFmtId="168" formatCode="0.0"/>
  </numFmts>
  <fonts count="16" x14ac:knownFonts="1">
    <font>
      <sz val="10"/>
      <name val="Arial"/>
    </font>
    <font>
      <sz val="11"/>
      <color theme="0"/>
      <name val="Arial"/>
      <family val="2"/>
      <scheme val="minor"/>
    </font>
    <font>
      <sz val="11"/>
      <color rgb="FFFFFFFF"/>
      <name val="Calibri"/>
      <family val="2"/>
    </font>
    <font>
      <sz val="10"/>
      <color theme="0"/>
      <name val="Arial"/>
      <family val="2"/>
    </font>
    <font>
      <i/>
      <sz val="10"/>
      <color theme="1"/>
      <name val="Arial"/>
      <family val="2"/>
      <scheme val="minor"/>
    </font>
    <font>
      <sz val="9"/>
      <name val="Arial"/>
      <family val="2"/>
    </font>
    <font>
      <sz val="9"/>
      <color theme="1"/>
      <name val="Arial"/>
      <family val="2"/>
      <scheme val="minor"/>
    </font>
    <font>
      <sz val="8"/>
      <color theme="1"/>
      <name val="Arial"/>
      <family val="2"/>
      <scheme val="minor"/>
    </font>
    <font>
      <sz val="10"/>
      <color theme="1"/>
      <name val="Arial"/>
      <family val="2"/>
      <scheme val="minor"/>
    </font>
    <font>
      <sz val="10"/>
      <name val="Arial"/>
      <family val="2"/>
      <scheme val="minor"/>
    </font>
    <font>
      <sz val="10"/>
      <color theme="0" tint="-4.9989318521683403E-2"/>
      <name val="Arial"/>
      <family val="2"/>
      <scheme val="minor"/>
    </font>
    <font>
      <b/>
      <sz val="10"/>
      <color theme="1"/>
      <name val="Arial"/>
      <family val="2"/>
      <scheme val="minor"/>
    </font>
    <font>
      <sz val="8"/>
      <name val="Arial"/>
      <family val="2"/>
    </font>
    <font>
      <i/>
      <sz val="8"/>
      <color theme="0" tint="-0.499984740745262"/>
      <name val="Arial"/>
      <family val="2"/>
    </font>
    <font>
      <i/>
      <sz val="10"/>
      <color theme="0" tint="-0.499984740745262"/>
      <name val="Arial"/>
      <family val="2"/>
    </font>
    <font>
      <i/>
      <sz val="8"/>
      <color theme="1" tint="0.34998626667073579"/>
      <name val="Arial"/>
      <family val="2"/>
    </font>
  </fonts>
  <fills count="20">
    <fill>
      <patternFill patternType="none"/>
    </fill>
    <fill>
      <patternFill patternType="gray125"/>
    </fill>
    <fill>
      <patternFill patternType="solid">
        <fgColor rgb="FF4F81BD"/>
      </patternFill>
    </fill>
    <fill>
      <patternFill patternType="solid">
        <fgColor theme="8" tint="0.79998168889431442"/>
        <bgColor indexed="64"/>
      </patternFill>
    </fill>
    <fill>
      <patternFill patternType="solid">
        <fgColor rgb="FFFF0000"/>
        <bgColor indexed="64"/>
      </patternFill>
    </fill>
    <fill>
      <patternFill patternType="solid">
        <fgColor theme="6" tint="-0.499984740745262"/>
        <bgColor indexed="64"/>
      </patternFill>
    </fill>
    <fill>
      <patternFill patternType="solid">
        <fgColor theme="5" tint="-0.49998474074526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theme="7" tint="-9.9978637043366805E-2"/>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3" tint="-0.249977111117893"/>
        <bgColor indexed="64"/>
      </patternFill>
    </fill>
    <fill>
      <patternFill patternType="solid">
        <fgColor rgb="FF7030A0"/>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diagonal/>
    </border>
    <border>
      <left/>
      <right style="thin">
        <color auto="1"/>
      </right>
      <top style="thin">
        <color auto="1"/>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style="thin">
        <color indexed="64"/>
      </right>
      <top/>
      <bottom style="thin">
        <color auto="1"/>
      </bottom>
      <diagonal/>
    </border>
    <border>
      <left/>
      <right style="thin">
        <color auto="1"/>
      </right>
      <top/>
      <bottom style="thin">
        <color auto="1"/>
      </bottom>
      <diagonal/>
    </border>
    <border>
      <left/>
      <right/>
      <top/>
      <bottom style="thin">
        <color auto="1"/>
      </bottom>
      <diagonal/>
    </border>
    <border>
      <left style="thin">
        <color indexed="64"/>
      </left>
      <right/>
      <top/>
      <bottom style="thin">
        <color indexed="64"/>
      </bottom>
      <diagonal/>
    </border>
    <border>
      <left style="thin">
        <color indexed="64"/>
      </left>
      <right style="thin">
        <color indexed="64"/>
      </right>
      <top/>
      <bottom/>
      <diagonal/>
    </border>
    <border>
      <left/>
      <right style="thin">
        <color auto="1"/>
      </right>
      <top/>
      <bottom/>
      <diagonal/>
    </border>
    <border>
      <left style="thin">
        <color auto="1"/>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38">
    <xf numFmtId="0" fontId="0" fillId="0" borderId="0" xfId="0"/>
    <xf numFmtId="14" fontId="0" fillId="0" borderId="0" xfId="0" applyNumberFormat="1"/>
    <xf numFmtId="164" fontId="0" fillId="0" borderId="0" xfId="0" applyNumberFormat="1"/>
    <xf numFmtId="0" fontId="2" fillId="2" borderId="1" xfId="0" applyFont="1" applyFill="1" applyBorder="1" applyAlignment="1">
      <alignment horizontal="center" vertical="center" textRotation="90"/>
    </xf>
    <xf numFmtId="0" fontId="2" fillId="2" borderId="2" xfId="0" applyFont="1" applyFill="1" applyBorder="1" applyAlignment="1">
      <alignment horizontal="center" vertical="center" textRotation="90"/>
    </xf>
    <xf numFmtId="0" fontId="2" fillId="2" borderId="3" xfId="0" applyFont="1" applyFill="1" applyBorder="1" applyAlignment="1">
      <alignment horizontal="center" vertical="center" textRotation="90"/>
    </xf>
    <xf numFmtId="0" fontId="2" fillId="2" borderId="4" xfId="0" applyFont="1" applyFill="1" applyBorder="1" applyAlignment="1">
      <alignment horizontal="center" vertical="center" textRotation="90"/>
    </xf>
    <xf numFmtId="0" fontId="0" fillId="3" borderId="0" xfId="0" applyFill="1"/>
    <xf numFmtId="0" fontId="3" fillId="4" borderId="0" xfId="0" applyFont="1" applyFill="1" applyAlignment="1">
      <alignment horizontal="center" vertical="center" textRotation="90" wrapText="1"/>
    </xf>
    <xf numFmtId="0" fontId="1" fillId="5" borderId="1" xfId="0" applyFont="1" applyFill="1" applyBorder="1" applyAlignment="1">
      <alignment horizontal="center" vertical="center"/>
    </xf>
    <xf numFmtId="0" fontId="0" fillId="0" borderId="1" xfId="0" applyBorder="1" applyAlignment="1">
      <alignment horizontal="left" vertical="center"/>
    </xf>
    <xf numFmtId="0" fontId="4" fillId="0" borderId="2" xfId="0" applyFont="1" applyBorder="1" applyAlignment="1">
      <alignment horizontal="left" vertical="center"/>
    </xf>
    <xf numFmtId="0" fontId="0" fillId="0" borderId="3" xfId="0" applyBorder="1" applyAlignment="1">
      <alignment horizontal="lef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165"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66" fontId="6" fillId="0" borderId="5" xfId="0" applyNumberFormat="1" applyFont="1" applyBorder="1" applyAlignment="1">
      <alignment horizontal="center" vertical="center"/>
    </xf>
    <xf numFmtId="167" fontId="7" fillId="0" borderId="1" xfId="0" applyNumberFormat="1" applyFont="1" applyBorder="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0" fontId="1" fillId="6" borderId="2" xfId="0" applyFont="1" applyFill="1" applyBorder="1" applyAlignment="1">
      <alignment horizontal="center" vertical="center"/>
    </xf>
    <xf numFmtId="0" fontId="0" fillId="0" borderId="1" xfId="0" applyBorder="1"/>
    <xf numFmtId="0" fontId="0" fillId="7" borderId="1" xfId="0" applyFill="1" applyBorder="1" applyAlignment="1">
      <alignment horizontal="center"/>
    </xf>
    <xf numFmtId="0" fontId="1" fillId="5" borderId="6" xfId="0" applyFont="1" applyFill="1" applyBorder="1" applyAlignment="1">
      <alignment horizontal="center" vertical="center"/>
    </xf>
    <xf numFmtId="0" fontId="0" fillId="0" borderId="6" xfId="0" applyBorder="1" applyAlignment="1">
      <alignment horizontal="left" vertical="center"/>
    </xf>
    <xf numFmtId="0" fontId="4" fillId="0" borderId="7" xfId="0" applyFont="1" applyBorder="1" applyAlignment="1">
      <alignment horizontal="left" vertical="center"/>
    </xf>
    <xf numFmtId="0" fontId="0" fillId="0" borderId="8" xfId="0" applyBorder="1" applyAlignment="1">
      <alignment horizontal="lef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165" fontId="6" fillId="0" borderId="6" xfId="0" applyNumberFormat="1" applyFont="1" applyBorder="1" applyAlignment="1">
      <alignment horizontal="center" vertical="center"/>
    </xf>
    <xf numFmtId="166" fontId="6" fillId="0" borderId="6" xfId="0" applyNumberFormat="1" applyFont="1" applyBorder="1" applyAlignment="1">
      <alignment horizontal="center" vertical="center"/>
    </xf>
    <xf numFmtId="166" fontId="6" fillId="0" borderId="9" xfId="0" applyNumberFormat="1" applyFont="1" applyBorder="1" applyAlignment="1">
      <alignment horizontal="center" vertical="center"/>
    </xf>
    <xf numFmtId="167" fontId="7" fillId="0" borderId="10" xfId="0" applyNumberFormat="1" applyFont="1" applyBorder="1" applyAlignment="1">
      <alignment horizontal="center" vertical="center"/>
    </xf>
    <xf numFmtId="166" fontId="0" fillId="0" borderId="7" xfId="0" applyNumberFormat="1" applyBorder="1" applyAlignment="1">
      <alignment horizontal="center" vertical="center"/>
    </xf>
    <xf numFmtId="166" fontId="0" fillId="0" borderId="8" xfId="0" applyNumberFormat="1" applyBorder="1" applyAlignment="1">
      <alignment horizontal="center" vertical="center"/>
    </xf>
    <xf numFmtId="0" fontId="1" fillId="6" borderId="7" xfId="0" applyFont="1" applyFill="1" applyBorder="1" applyAlignment="1">
      <alignment horizontal="center" vertical="center"/>
    </xf>
    <xf numFmtId="0" fontId="0" fillId="0" borderId="6" xfId="0" applyBorder="1"/>
    <xf numFmtId="0" fontId="0" fillId="0" borderId="10" xfId="0" applyBorder="1" applyAlignment="1">
      <alignment horizontal="center"/>
    </xf>
    <xf numFmtId="0" fontId="1" fillId="8" borderId="1" xfId="0" applyFont="1" applyFill="1" applyBorder="1" applyAlignment="1">
      <alignment horizontal="center" vertical="center"/>
    </xf>
    <xf numFmtId="0" fontId="1" fillId="9" borderId="2" xfId="0" applyFont="1" applyFill="1" applyBorder="1" applyAlignment="1">
      <alignment horizontal="center" vertical="center"/>
    </xf>
    <xf numFmtId="0" fontId="1" fillId="10" borderId="1" xfId="0" applyFont="1" applyFill="1" applyBorder="1" applyAlignment="1">
      <alignment horizontal="center" vertical="center"/>
    </xf>
    <xf numFmtId="0" fontId="1" fillId="8" borderId="10" xfId="0" applyFont="1" applyFill="1" applyBorder="1" applyAlignment="1">
      <alignment horizontal="center" vertical="center"/>
    </xf>
    <xf numFmtId="0" fontId="0" fillId="0" borderId="10" xfId="0" applyBorder="1" applyAlignment="1">
      <alignment horizontal="left" vertical="center"/>
    </xf>
    <xf numFmtId="0" fontId="4" fillId="0" borderId="11" xfId="0" applyFont="1" applyBorder="1" applyAlignment="1">
      <alignment horizontal="left" vertical="center"/>
    </xf>
    <xf numFmtId="0" fontId="0" fillId="0" borderId="0" xfId="0" applyAlignment="1">
      <alignment horizontal="lef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165" fontId="6" fillId="0" borderId="10" xfId="0" applyNumberFormat="1" applyFont="1" applyBorder="1" applyAlignment="1">
      <alignment horizontal="center" vertical="center"/>
    </xf>
    <xf numFmtId="166" fontId="6" fillId="0" borderId="10" xfId="0" applyNumberFormat="1" applyFont="1" applyBorder="1" applyAlignment="1">
      <alignment horizontal="center" vertical="center"/>
    </xf>
    <xf numFmtId="166" fontId="6" fillId="0" borderId="12" xfId="0" applyNumberFormat="1" applyFont="1" applyBorder="1" applyAlignment="1">
      <alignment horizontal="center" vertical="center"/>
    </xf>
    <xf numFmtId="166" fontId="0" fillId="0" borderId="11" xfId="0" applyNumberFormat="1" applyBorder="1" applyAlignment="1">
      <alignment horizontal="center" vertical="center"/>
    </xf>
    <xf numFmtId="166" fontId="0" fillId="0" borderId="0" xfId="0" applyNumberFormat="1" applyAlignment="1">
      <alignment horizontal="center" vertical="center"/>
    </xf>
    <xf numFmtId="0" fontId="1" fillId="9" borderId="11" xfId="0" applyFont="1" applyFill="1" applyBorder="1" applyAlignment="1">
      <alignment horizontal="center" vertical="center"/>
    </xf>
    <xf numFmtId="0" fontId="1" fillId="10" borderId="10" xfId="0" applyFont="1" applyFill="1" applyBorder="1" applyAlignment="1">
      <alignment horizontal="center" vertical="center"/>
    </xf>
    <xf numFmtId="0" fontId="0" fillId="7" borderId="10" xfId="0" applyFill="1" applyBorder="1" applyAlignment="1">
      <alignment horizontal="center"/>
    </xf>
    <xf numFmtId="0" fontId="1" fillId="8" borderId="6" xfId="0" applyFont="1" applyFill="1" applyBorder="1" applyAlignment="1">
      <alignment horizontal="center" vertical="center"/>
    </xf>
    <xf numFmtId="167" fontId="7" fillId="0" borderId="6" xfId="0" applyNumberFormat="1" applyFont="1" applyBorder="1" applyAlignment="1">
      <alignment horizontal="center" vertical="center"/>
    </xf>
    <xf numFmtId="0" fontId="1" fillId="9" borderId="7" xfId="0" applyFont="1" applyFill="1" applyBorder="1" applyAlignment="1">
      <alignment horizontal="center" vertical="center"/>
    </xf>
    <xf numFmtId="0" fontId="1" fillId="10" borderId="6" xfId="0" applyFont="1" applyFill="1" applyBorder="1" applyAlignment="1">
      <alignment horizontal="center" vertical="center"/>
    </xf>
    <xf numFmtId="0" fontId="1" fillId="0" borderId="6" xfId="0" applyFont="1" applyBorder="1" applyAlignment="1">
      <alignment horizontal="center" vertical="center"/>
    </xf>
    <xf numFmtId="0" fontId="0" fillId="11" borderId="10" xfId="0" applyFill="1" applyBorder="1" applyAlignment="1">
      <alignment horizontal="center"/>
    </xf>
    <xf numFmtId="0" fontId="1" fillId="5" borderId="10" xfId="0" applyFont="1" applyFill="1" applyBorder="1" applyAlignment="1">
      <alignment horizontal="center" vertical="center"/>
    </xf>
    <xf numFmtId="0" fontId="1" fillId="6" borderId="11" xfId="0" applyFont="1" applyFill="1" applyBorder="1" applyAlignment="1">
      <alignment horizontal="center" vertical="center"/>
    </xf>
    <xf numFmtId="0" fontId="0" fillId="0" borderId="10" xfId="0" applyBorder="1"/>
    <xf numFmtId="0" fontId="1" fillId="12" borderId="10" xfId="0" applyFont="1" applyFill="1" applyBorder="1" applyAlignment="1">
      <alignment horizontal="center" vertical="center"/>
    </xf>
    <xf numFmtId="0" fontId="1" fillId="5" borderId="12" xfId="0" applyFont="1" applyFill="1" applyBorder="1" applyAlignment="1">
      <alignment horizontal="center" vertical="center"/>
    </xf>
    <xf numFmtId="0" fontId="0" fillId="0" borderId="10" xfId="0" applyBorder="1" applyAlignment="1">
      <alignment horizontal="right"/>
    </xf>
    <xf numFmtId="0" fontId="0" fillId="0" borderId="6" xfId="0" applyBorder="1" applyAlignment="1">
      <alignment horizontal="center"/>
    </xf>
    <xf numFmtId="0" fontId="1" fillId="13" borderId="1" xfId="0" applyFont="1" applyFill="1" applyBorder="1" applyAlignment="1">
      <alignment horizontal="center" vertical="center"/>
    </xf>
    <xf numFmtId="0" fontId="0" fillId="14" borderId="10" xfId="0" applyFill="1" applyBorder="1" applyAlignment="1">
      <alignment horizontal="center"/>
    </xf>
    <xf numFmtId="0" fontId="1" fillId="13" borderId="10" xfId="0" applyFont="1" applyFill="1" applyBorder="1" applyAlignment="1">
      <alignment horizontal="center" vertical="center"/>
    </xf>
    <xf numFmtId="0" fontId="1" fillId="13" borderId="6" xfId="0" applyFont="1" applyFill="1" applyBorder="1" applyAlignment="1">
      <alignment horizontal="center" vertical="center"/>
    </xf>
    <xf numFmtId="0" fontId="1" fillId="15" borderId="2" xfId="0" applyFont="1" applyFill="1" applyBorder="1" applyAlignment="1">
      <alignment horizontal="center" vertical="center"/>
    </xf>
    <xf numFmtId="0" fontId="1" fillId="16" borderId="1" xfId="0" applyFont="1" applyFill="1" applyBorder="1" applyAlignment="1">
      <alignment horizontal="center" vertical="center"/>
    </xf>
    <xf numFmtId="0" fontId="0" fillId="0" borderId="1" xfId="0" applyBorder="1" applyAlignment="1">
      <alignment horizontal="center"/>
    </xf>
    <xf numFmtId="0" fontId="0" fillId="7" borderId="0" xfId="0" applyFill="1"/>
    <xf numFmtId="0" fontId="1" fillId="15" borderId="11" xfId="0" applyFont="1" applyFill="1" applyBorder="1" applyAlignment="1">
      <alignment horizontal="center" vertical="center"/>
    </xf>
    <xf numFmtId="0" fontId="1" fillId="16" borderId="10" xfId="0" applyFont="1" applyFill="1" applyBorder="1" applyAlignment="1">
      <alignment horizontal="center" vertical="center"/>
    </xf>
    <xf numFmtId="0" fontId="1" fillId="15" borderId="7" xfId="0" applyFont="1" applyFill="1" applyBorder="1" applyAlignment="1">
      <alignment horizontal="center" vertical="center"/>
    </xf>
    <xf numFmtId="0" fontId="1" fillId="1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0" xfId="0" applyFont="1" applyFill="1" applyAlignment="1">
      <alignment horizontal="center" vertical="center"/>
    </xf>
    <xf numFmtId="0" fontId="3" fillId="17" borderId="10" xfId="0" applyFont="1" applyFill="1" applyBorder="1" applyAlignment="1">
      <alignment horizontal="center"/>
    </xf>
    <xf numFmtId="0" fontId="1" fillId="6" borderId="8" xfId="0" applyFont="1" applyFill="1" applyBorder="1" applyAlignment="1">
      <alignment horizontal="center" vertical="center"/>
    </xf>
    <xf numFmtId="0" fontId="1" fillId="13" borderId="4" xfId="0" applyFont="1" applyFill="1" applyBorder="1" applyAlignment="1">
      <alignment horizontal="center" vertical="center"/>
    </xf>
    <xf numFmtId="0" fontId="0" fillId="0" borderId="4" xfId="0" applyBorder="1" applyAlignment="1">
      <alignment horizontal="right" vertical="center"/>
    </xf>
    <xf numFmtId="0" fontId="0" fillId="0" borderId="13" xfId="0" applyBorder="1" applyAlignment="1">
      <alignment horizontal="left" vertical="center"/>
    </xf>
    <xf numFmtId="0" fontId="0" fillId="0" borderId="14" xfId="0" applyBorder="1" applyAlignment="1">
      <alignment horizontal="left" vertical="center"/>
    </xf>
    <xf numFmtId="0" fontId="5" fillId="0" borderId="4" xfId="0" applyFont="1" applyBorder="1" applyAlignment="1">
      <alignment horizontal="center" vertical="center"/>
    </xf>
    <xf numFmtId="165" fontId="6" fillId="0" borderId="4" xfId="0" applyNumberFormat="1" applyFont="1" applyBorder="1" applyAlignment="1">
      <alignment horizontal="center" vertical="center"/>
    </xf>
    <xf numFmtId="166" fontId="6" fillId="0" borderId="4" xfId="0" applyNumberFormat="1" applyFont="1" applyBorder="1" applyAlignment="1">
      <alignment horizontal="center" vertical="center"/>
    </xf>
    <xf numFmtId="166" fontId="0" fillId="0" borderId="6" xfId="0" applyNumberFormat="1" applyBorder="1" applyAlignment="1">
      <alignment horizontal="center" vertical="center"/>
    </xf>
    <xf numFmtId="0" fontId="1" fillId="18" borderId="13" xfId="0" applyFont="1" applyFill="1" applyBorder="1" applyAlignment="1">
      <alignment horizontal="center" vertical="center"/>
    </xf>
    <xf numFmtId="0" fontId="1" fillId="10" borderId="4" xfId="0" applyFont="1" applyFill="1" applyBorder="1" applyAlignment="1">
      <alignment horizontal="center" vertical="center"/>
    </xf>
    <xf numFmtId="0" fontId="1" fillId="18" borderId="10" xfId="0" applyFont="1" applyFill="1" applyBorder="1" applyAlignment="1">
      <alignment horizontal="center" vertical="center"/>
    </xf>
    <xf numFmtId="0" fontId="0" fillId="0" borderId="11" xfId="0" applyBorder="1" applyAlignment="1">
      <alignment horizontal="left" vertical="center"/>
    </xf>
    <xf numFmtId="167" fontId="7" fillId="0" borderId="4" xfId="0" applyNumberFormat="1" applyFont="1" applyBorder="1" applyAlignment="1">
      <alignment horizontal="center" vertical="center"/>
    </xf>
    <xf numFmtId="166" fontId="0" fillId="0" borderId="10" xfId="0" applyNumberFormat="1" applyBorder="1" applyAlignment="1">
      <alignment horizontal="center" vertical="center"/>
    </xf>
    <xf numFmtId="0" fontId="1" fillId="18" borderId="11" xfId="0" applyFont="1" applyFill="1" applyBorder="1" applyAlignment="1">
      <alignment horizontal="center" vertical="center"/>
    </xf>
    <xf numFmtId="0" fontId="8" fillId="19" borderId="5" xfId="0" applyFont="1" applyFill="1" applyBorder="1" applyAlignment="1">
      <alignment horizontal="left" vertical="center"/>
    </xf>
    <xf numFmtId="0" fontId="8" fillId="19" borderId="3" xfId="0" applyFont="1" applyFill="1" applyBorder="1" applyAlignment="1">
      <alignment horizontal="left" vertical="center"/>
    </xf>
    <xf numFmtId="0" fontId="8" fillId="19" borderId="3" xfId="0" applyFont="1" applyFill="1" applyBorder="1" applyAlignment="1">
      <alignment horizontal="left" vertical="center" readingOrder="1"/>
    </xf>
    <xf numFmtId="0" fontId="8" fillId="19" borderId="3" xfId="0" applyFont="1" applyFill="1" applyBorder="1" applyAlignment="1">
      <alignment horizontal="center" vertical="center"/>
    </xf>
    <xf numFmtId="0" fontId="9" fillId="19" borderId="0" xfId="0" applyFont="1" applyFill="1" applyAlignment="1">
      <alignment horizontal="center" vertical="center"/>
    </xf>
    <xf numFmtId="0" fontId="9" fillId="19" borderId="3" xfId="0" applyFont="1" applyFill="1" applyBorder="1" applyAlignment="1">
      <alignment horizontal="center" vertical="center"/>
    </xf>
    <xf numFmtId="0" fontId="10" fillId="19" borderId="2" xfId="0" applyFont="1" applyFill="1" applyBorder="1" applyAlignment="1">
      <alignment horizontal="left" vertical="center"/>
    </xf>
    <xf numFmtId="0" fontId="0" fillId="19" borderId="1" xfId="0" applyFill="1" applyBorder="1"/>
    <xf numFmtId="0" fontId="0" fillId="0" borderId="3" xfId="0" applyBorder="1"/>
    <xf numFmtId="0" fontId="8" fillId="19" borderId="12" xfId="0" applyFont="1" applyFill="1" applyBorder="1" applyAlignment="1">
      <alignment horizontal="left" vertical="center"/>
    </xf>
    <xf numFmtId="0" fontId="8" fillId="19" borderId="0" xfId="0" applyFont="1" applyFill="1" applyAlignment="1">
      <alignment horizontal="left" vertical="center"/>
    </xf>
    <xf numFmtId="0" fontId="8" fillId="19" borderId="0" xfId="0" applyFont="1" applyFill="1"/>
    <xf numFmtId="0" fontId="8" fillId="19" borderId="0" xfId="0" applyFont="1" applyFill="1" applyAlignment="1">
      <alignment horizontal="center" vertical="center"/>
    </xf>
    <xf numFmtId="168" fontId="8" fillId="19" borderId="0" xfId="0" applyNumberFormat="1" applyFont="1" applyFill="1" applyAlignment="1">
      <alignment horizontal="center" vertical="center"/>
    </xf>
    <xf numFmtId="0" fontId="8" fillId="19" borderId="11" xfId="0" applyFont="1" applyFill="1" applyBorder="1" applyAlignment="1">
      <alignment horizontal="left" vertical="center"/>
    </xf>
    <xf numFmtId="0" fontId="0" fillId="19" borderId="10" xfId="0" applyFill="1" applyBorder="1"/>
    <xf numFmtId="0" fontId="0" fillId="0" borderId="11" xfId="0" applyBorder="1"/>
    <xf numFmtId="0" fontId="8" fillId="19" borderId="0" xfId="0" quotePrefix="1" applyFont="1" applyFill="1" applyAlignment="1">
      <alignment horizontal="right" vertical="center"/>
    </xf>
    <xf numFmtId="168" fontId="11" fillId="19" borderId="0" xfId="0" quotePrefix="1" applyNumberFormat="1" applyFont="1" applyFill="1" applyAlignment="1">
      <alignment horizontal="right" vertical="center"/>
    </xf>
    <xf numFmtId="0" fontId="8" fillId="19" borderId="0" xfId="0" quotePrefix="1" applyFont="1" applyFill="1" applyAlignment="1">
      <alignment horizontal="center" vertical="center"/>
    </xf>
    <xf numFmtId="0" fontId="8" fillId="19" borderId="0" xfId="0" applyFont="1" applyFill="1" applyAlignment="1">
      <alignment vertical="center"/>
    </xf>
    <xf numFmtId="0" fontId="0" fillId="0" borderId="8" xfId="0" applyBorder="1"/>
    <xf numFmtId="0" fontId="0" fillId="0" borderId="7" xfId="0" applyBorder="1"/>
    <xf numFmtId="0" fontId="12" fillId="0" borderId="12" xfId="0" applyFont="1" applyBorder="1"/>
    <xf numFmtId="0" fontId="13" fillId="0" borderId="0" xfId="0" applyFont="1"/>
    <xf numFmtId="0" fontId="14" fillId="0" borderId="0" xfId="0" applyFont="1"/>
    <xf numFmtId="0" fontId="12" fillId="0" borderId="9" xfId="0" applyFont="1" applyBorder="1"/>
    <xf numFmtId="0" fontId="15" fillId="0" borderId="8" xfId="0" applyFont="1" applyBorder="1"/>
    <xf numFmtId="14" fontId="15" fillId="0" borderId="8" xfId="0" applyNumberFormat="1" applyFont="1" applyBorder="1"/>
    <xf numFmtId="14" fontId="7" fillId="0" borderId="8" xfId="0" applyNumberFormat="1"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7">
    <dxf>
      <font>
        <b/>
        <i val="0"/>
        <color theme="1"/>
      </font>
      <fill>
        <patternFill>
          <bgColor theme="9" tint="0.79998168889431442"/>
        </patternFill>
      </fill>
    </dxf>
    <dxf>
      <font>
        <b/>
        <i val="0"/>
        <color theme="1"/>
      </font>
      <fill>
        <patternFill>
          <bgColor theme="9" tint="0.59996337778862885"/>
        </patternFill>
      </fill>
    </dxf>
    <dxf>
      <font>
        <b/>
        <i val="0"/>
      </font>
      <fill>
        <patternFill patternType="none">
          <bgColor auto="1"/>
        </patternFill>
      </fill>
    </dxf>
    <dxf>
      <font>
        <b/>
        <i val="0"/>
      </font>
      <fill>
        <patternFill>
          <bgColor theme="9" tint="0.59996337778862885"/>
        </patternFill>
      </fill>
    </dxf>
    <dxf>
      <font>
        <b/>
        <i val="0"/>
        <color theme="1"/>
      </font>
      <fill>
        <patternFill>
          <bgColor theme="9" tint="0.59996337778862885"/>
        </patternFill>
      </fill>
    </dxf>
    <dxf>
      <font>
        <b/>
        <i val="0"/>
      </font>
      <fill>
        <patternFill>
          <bgColor theme="9" tint="0.59996337778862885"/>
        </patternFill>
      </fill>
    </dxf>
    <dxf>
      <font>
        <b/>
        <i val="0"/>
        <color theme="1"/>
      </font>
      <fill>
        <patternFill patternType="solid">
          <fgColor auto="1"/>
          <bgColor theme="9" tint="0.79998168889431442"/>
        </patternFill>
      </fill>
    </dxf>
  </dxfs>
  <tableStyles count="1" defaultTableStyle="TableStyleMedium9" defaultPivotStyle="PivotStyleLight16">
    <tableStyle name="Invisible" pivot="0" table="0" count="0" xr9:uid="{D33252FE-BDA9-4137-B797-234633655F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 Id="rId14" Type="http://schemas.openxmlformats.org/officeDocument/2006/relationships/customXml" Target="../customXml/item6.xml"/></Relationships>
</file>

<file path=xl/theme/theme1.xml><?xml version="1.0" encoding="utf-8"?>
<a:theme xmlns:a="http://schemas.openxmlformats.org/drawingml/2006/main" name="Office Theme">
  <a:themeElements>
    <a:clrScheme name="Sweco 2022">
      <a:dk1>
        <a:sysClr val="windowText" lastClr="000000"/>
      </a:dk1>
      <a:lt1>
        <a:srgbClr val="FFFFFF"/>
      </a:lt1>
      <a:dk2>
        <a:srgbClr val="3F3F42"/>
      </a:dk2>
      <a:lt2>
        <a:srgbClr val="E2E0DA"/>
      </a:lt2>
      <a:accent1>
        <a:srgbClr val="A4A4A6"/>
      </a:accent1>
      <a:accent2>
        <a:srgbClr val="DEC55B"/>
      </a:accent2>
      <a:accent3>
        <a:srgbClr val="9DD354"/>
      </a:accent3>
      <a:accent4>
        <a:srgbClr val="C0D4FD"/>
      </a:accent4>
      <a:accent5>
        <a:srgbClr val="7A9B62"/>
      </a:accent5>
      <a:accent6>
        <a:srgbClr val="3F3F42"/>
      </a:accent6>
      <a:hlink>
        <a:srgbClr val="548AF9"/>
      </a:hlink>
      <a:folHlink>
        <a:srgbClr val="78AF2D"/>
      </a:folHlink>
    </a:clrScheme>
    <a:fontScheme name="Sweco - Word">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Y2" dT="2025-07-08T15:42:34.96" personId="{00000000-0000-0000-0000-000000000000}" id="{CBF2E4DA-95E0-4610-99D9-5B80F4F9E931}">
    <text xml:space="preserve">Dessa celler fr o m här t o m "Matrisversion" kopierar du och klistrar in i det excelark du skapar utifrån den csv-fil med defaultnamn "meta" som du får ut av Kaleidoscope. Klistra in cellerna på samma plats, i kolumn W, ett snäpp till vänster om artbestämningarna </text>
  </threadedComment>
  <threadedComment ref="AY33" dT="2025-07-08T17:14:28.32" personId="{00000000-0000-0000-0000-000000000000}" id="{51C6D2D2-F69A-472E-879D-77D7373E9D89}">
    <text>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C468-5B20-4754-9C1C-58EFBB1F7DB9}">
  <dimension ref="A1:BZ3254"/>
  <sheetViews>
    <sheetView tabSelected="1" topLeftCell="AC1" workbookViewId="0">
      <selection activeCell="BC19" sqref="BC19"/>
    </sheetView>
  </sheetViews>
  <sheetFormatPr defaultRowHeight="12.5" x14ac:dyDescent="0.25"/>
  <cols>
    <col min="5" max="5" width="10.08984375" bestFit="1" customWidth="1"/>
    <col min="8" max="8" width="10.453125" bestFit="1" customWidth="1"/>
    <col min="23" max="23" width="4.7265625" customWidth="1"/>
    <col min="24" max="24" width="22.7265625" customWidth="1"/>
    <col min="25" max="25" width="22.7265625" hidden="1" customWidth="1"/>
    <col min="26" max="26" width="16.7265625" hidden="1" customWidth="1"/>
    <col min="27" max="27" width="4.7265625" hidden="1" customWidth="1"/>
    <col min="28" max="28" width="4.7265625" customWidth="1"/>
    <col min="29" max="29" width="30.6328125" bestFit="1" customWidth="1"/>
    <col min="30" max="30" width="5.7265625" customWidth="1"/>
    <col min="31" max="38" width="4.7265625" hidden="1" customWidth="1"/>
    <col min="39" max="49" width="0" hidden="1" customWidth="1"/>
  </cols>
  <sheetData>
    <row r="1" spans="1:7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78" ht="110" x14ac:dyDescent="0.25">
      <c r="A2" t="s">
        <v>176</v>
      </c>
      <c r="C2" t="s">
        <v>177</v>
      </c>
      <c r="D2" t="s">
        <v>178</v>
      </c>
      <c r="E2" s="1">
        <v>45862</v>
      </c>
      <c r="F2" s="2">
        <v>0.9566782407407407</v>
      </c>
      <c r="G2">
        <v>22</v>
      </c>
      <c r="H2" s="1">
        <v>45862</v>
      </c>
      <c r="I2" s="2">
        <v>0.45667824074074076</v>
      </c>
      <c r="J2">
        <v>10</v>
      </c>
      <c r="R2" t="s">
        <v>179</v>
      </c>
      <c r="W2">
        <v>1</v>
      </c>
      <c r="X2" t="s">
        <v>31</v>
      </c>
      <c r="AC2" t="s">
        <v>180</v>
      </c>
      <c r="AY2" s="3" t="s">
        <v>34</v>
      </c>
      <c r="AZ2" s="3" t="s">
        <v>35</v>
      </c>
      <c r="BA2" s="4" t="s">
        <v>36</v>
      </c>
      <c r="BB2" s="5" t="s">
        <v>37</v>
      </c>
      <c r="BC2" s="6" t="s">
        <v>38</v>
      </c>
      <c r="BD2" s="6" t="s">
        <v>39</v>
      </c>
      <c r="BE2" s="4" t="s">
        <v>40</v>
      </c>
      <c r="BF2" s="4" t="s">
        <v>41</v>
      </c>
      <c r="BG2" s="4" t="s">
        <v>42</v>
      </c>
      <c r="BH2" s="4" t="s">
        <v>43</v>
      </c>
      <c r="BI2" s="4" t="s">
        <v>44</v>
      </c>
      <c r="BJ2" s="3" t="s">
        <v>45</v>
      </c>
      <c r="BK2" s="4" t="s">
        <v>46</v>
      </c>
      <c r="BL2" s="3" t="s">
        <v>47</v>
      </c>
      <c r="BM2" s="3" t="s">
        <v>48</v>
      </c>
      <c r="BN2" s="3" t="s">
        <v>49</v>
      </c>
      <c r="BO2" s="7" t="s">
        <v>50</v>
      </c>
      <c r="BP2" s="7" t="s">
        <v>51</v>
      </c>
      <c r="BQ2" s="7" t="s">
        <v>52</v>
      </c>
      <c r="BR2" s="7" t="s">
        <v>53</v>
      </c>
      <c r="BS2" s="7" t="s">
        <v>54</v>
      </c>
      <c r="BT2" s="7" t="s">
        <v>55</v>
      </c>
      <c r="BU2" s="7" t="s">
        <v>56</v>
      </c>
      <c r="BV2" s="7" t="s">
        <v>57</v>
      </c>
      <c r="BW2" s="7" t="s">
        <v>58</v>
      </c>
      <c r="BY2" s="8" t="s">
        <v>59</v>
      </c>
      <c r="BZ2" s="8" t="s">
        <v>60</v>
      </c>
    </row>
    <row r="3" spans="1:78" ht="14" x14ac:dyDescent="0.25">
      <c r="A3" t="s">
        <v>176</v>
      </c>
      <c r="C3" t="s">
        <v>181</v>
      </c>
      <c r="D3" t="s">
        <v>178</v>
      </c>
      <c r="E3" s="1">
        <v>45863</v>
      </c>
      <c r="F3" s="2">
        <v>1.8749999999999999E-2</v>
      </c>
      <c r="G3">
        <v>0</v>
      </c>
      <c r="H3" s="1">
        <v>45862</v>
      </c>
      <c r="I3" s="2">
        <v>0.51874999999999993</v>
      </c>
      <c r="J3">
        <v>12</v>
      </c>
      <c r="R3" t="s">
        <v>182</v>
      </c>
      <c r="S3">
        <v>5</v>
      </c>
      <c r="T3">
        <v>5</v>
      </c>
      <c r="U3">
        <v>1</v>
      </c>
      <c r="V3" t="s">
        <v>183</v>
      </c>
      <c r="W3">
        <v>1</v>
      </c>
      <c r="X3" t="s">
        <v>75</v>
      </c>
      <c r="AC3" t="s">
        <v>184</v>
      </c>
      <c r="AY3" s="9" t="s">
        <v>61</v>
      </c>
      <c r="AZ3" s="10" t="s">
        <v>62</v>
      </c>
      <c r="BA3" s="11" t="s">
        <v>63</v>
      </c>
      <c r="BB3" s="12"/>
      <c r="BC3" s="13">
        <f>COUNTIF(X:X,"*arbastella bar*")</f>
        <v>0</v>
      </c>
      <c r="BD3" s="14"/>
      <c r="BE3" s="15">
        <f>BC3/SUM(BD4,BD7,BD17,BD20,BD25,BD28,BD30,BD31,BD32)</f>
        <v>0</v>
      </c>
      <c r="BF3" s="16">
        <f>BE3*BB34/(AY33*AY34)</f>
        <v>0</v>
      </c>
      <c r="BG3" s="17">
        <f>BE3*BB34/(AY33*AY34*AY35)</f>
        <v>0</v>
      </c>
      <c r="BH3" s="18">
        <f>_xlfn.MINIFS(I:I,X:X,"*astella bar*")</f>
        <v>0</v>
      </c>
      <c r="BI3" s="18">
        <f>_xlfn.MAXIFS(I:I,X:X,"*astella bar*")</f>
        <v>0</v>
      </c>
      <c r="BJ3" s="19">
        <f>COUNTIF(X:X,"*stellus F*")</f>
        <v>0</v>
      </c>
      <c r="BK3" s="20">
        <f>COUNTIF(X:X,"*stellus S*")</f>
        <v>0</v>
      </c>
      <c r="BL3" s="21" t="s">
        <v>64</v>
      </c>
      <c r="BM3" s="22"/>
      <c r="BN3" s="23" t="s">
        <v>65</v>
      </c>
      <c r="BO3" t="s">
        <v>66</v>
      </c>
      <c r="BP3" t="s">
        <v>67</v>
      </c>
      <c r="BR3" t="s">
        <v>68</v>
      </c>
      <c r="BS3" t="s">
        <v>69</v>
      </c>
      <c r="BU3" t="s">
        <v>70</v>
      </c>
      <c r="BV3">
        <v>20.2</v>
      </c>
      <c r="BW3" t="str" cm="1">
        <f t="array" ref="BW3:BX5">_xlfn.UNIQUE(A:B)</f>
        <v>INDIR</v>
      </c>
      <c r="BX3" t="str">
        <v>FOLDER</v>
      </c>
      <c r="BY3" t="s">
        <v>71</v>
      </c>
      <c r="BZ3" t="s">
        <v>71</v>
      </c>
    </row>
    <row r="4" spans="1:78" ht="14" x14ac:dyDescent="0.25">
      <c r="A4" t="s">
        <v>176</v>
      </c>
      <c r="C4" t="s">
        <v>185</v>
      </c>
      <c r="D4" t="s">
        <v>178</v>
      </c>
      <c r="E4" s="1">
        <v>45863</v>
      </c>
      <c r="F4" s="2">
        <v>6.1643518518518514E-2</v>
      </c>
      <c r="G4">
        <v>1</v>
      </c>
      <c r="H4" s="1">
        <v>45862</v>
      </c>
      <c r="I4" s="2">
        <v>0.56164351851851857</v>
      </c>
      <c r="J4">
        <v>13</v>
      </c>
      <c r="R4" t="s">
        <v>182</v>
      </c>
      <c r="S4">
        <v>3</v>
      </c>
      <c r="T4">
        <v>3</v>
      </c>
      <c r="U4">
        <v>1</v>
      </c>
      <c r="V4" t="s">
        <v>186</v>
      </c>
      <c r="W4">
        <v>1</v>
      </c>
      <c r="X4" t="s">
        <v>75</v>
      </c>
      <c r="AC4" t="s">
        <v>187</v>
      </c>
      <c r="AY4" s="24" t="s">
        <v>61</v>
      </c>
      <c r="AZ4" s="25"/>
      <c r="BA4" s="26"/>
      <c r="BB4" s="27" t="s">
        <v>72</v>
      </c>
      <c r="BC4" s="28"/>
      <c r="BD4" s="29">
        <f>COUNTIF(X:X,"*astella*")</f>
        <v>0</v>
      </c>
      <c r="BE4" s="30">
        <f>BD4/SUM(BD4,BD7,BD17,BD20,BD25,BD28,BD30,BD31,BD32)</f>
        <v>0</v>
      </c>
      <c r="BF4" s="31">
        <f>BE4*BB34/(AY33*AY34)</f>
        <v>0</v>
      </c>
      <c r="BG4" s="32">
        <f>BE4*BB34/(AY33*AY34*AY35)</f>
        <v>0</v>
      </c>
      <c r="BH4" s="33">
        <f>_xlfn.MINIFS(I:I,X:X,"*astella*")</f>
        <v>0</v>
      </c>
      <c r="BI4" s="33">
        <f>_xlfn.MAXIFS(I:I,X:X,"*astella*")</f>
        <v>0</v>
      </c>
      <c r="BJ4" s="34">
        <f>COUNTIF(X:X,"*stella sp F*")</f>
        <v>0</v>
      </c>
      <c r="BK4" s="35">
        <f>COUNTIF(X:X,"*stella sp S*")</f>
        <v>0</v>
      </c>
      <c r="BL4" s="36" t="s">
        <v>64</v>
      </c>
      <c r="BM4" s="37"/>
      <c r="BN4" s="38"/>
      <c r="BW4" t="str">
        <v>D:\202507 Fladdermöss Mittlagan\Halmstad Box 1-2 2407 269</v>
      </c>
      <c r="BX4">
        <v>0</v>
      </c>
    </row>
    <row r="5" spans="1:78" ht="14" x14ac:dyDescent="0.25">
      <c r="A5" t="s">
        <v>176</v>
      </c>
      <c r="C5" t="s">
        <v>188</v>
      </c>
      <c r="D5" t="s">
        <v>178</v>
      </c>
      <c r="E5" s="1">
        <v>45863</v>
      </c>
      <c r="F5" s="2">
        <v>6.157407407407408E-2</v>
      </c>
      <c r="G5">
        <v>1</v>
      </c>
      <c r="H5" s="1">
        <v>45862</v>
      </c>
      <c r="I5" s="2">
        <v>0.56157407407407411</v>
      </c>
      <c r="J5">
        <v>13</v>
      </c>
      <c r="K5" t="s">
        <v>189</v>
      </c>
      <c r="L5" t="s">
        <v>190</v>
      </c>
      <c r="R5" t="s">
        <v>182</v>
      </c>
      <c r="S5">
        <v>12</v>
      </c>
      <c r="T5">
        <v>10</v>
      </c>
      <c r="U5" t="s">
        <v>191</v>
      </c>
      <c r="V5" t="s">
        <v>192</v>
      </c>
      <c r="W5">
        <v>1</v>
      </c>
      <c r="X5" t="s">
        <v>75</v>
      </c>
      <c r="AC5" t="s">
        <v>193</v>
      </c>
      <c r="AY5" s="39" t="s">
        <v>73</v>
      </c>
      <c r="AZ5" s="10" t="s">
        <v>74</v>
      </c>
      <c r="BA5" s="11" t="s">
        <v>75</v>
      </c>
      <c r="BB5" s="12"/>
      <c r="BC5" s="13">
        <f>COUNTIF(X:X,"*ptesicus nils*")</f>
        <v>8</v>
      </c>
      <c r="BD5" s="14"/>
      <c r="BE5" s="15">
        <f>BC5/SUM(BD4,BD7,BD17,BD20,BD25,BD28,BD30,BD31,BD32)</f>
        <v>4.8192771084337352E-2</v>
      </c>
      <c r="BF5" s="16">
        <f>BE5*BB34/(AY33*AY34)</f>
        <v>8</v>
      </c>
      <c r="BG5" s="17">
        <f>BE5*BB34/(AY33*AY34*AY35)</f>
        <v>1</v>
      </c>
      <c r="BH5" s="18">
        <f>_xlfn.MINIFS(I:I,X:X,"*ptesicus nil*")</f>
        <v>0.51874999999999993</v>
      </c>
      <c r="BI5" s="18">
        <f>_xlfn.MAXIFS(I:I,X:X,"*ptesicus nil*")</f>
        <v>0.63848379629629626</v>
      </c>
      <c r="BJ5" s="19">
        <f>COUNTIF(X:X,"*sonii F*")</f>
        <v>1</v>
      </c>
      <c r="BK5" s="20">
        <f>COUNTIF(X:X,"*sonii S*")</f>
        <v>1</v>
      </c>
      <c r="BL5" s="40" t="s">
        <v>76</v>
      </c>
      <c r="BM5" s="41" t="s">
        <v>77</v>
      </c>
      <c r="BN5" s="23" t="s">
        <v>65</v>
      </c>
      <c r="BO5" t="s">
        <v>66</v>
      </c>
      <c r="BR5" t="s">
        <v>78</v>
      </c>
      <c r="BS5" t="s">
        <v>69</v>
      </c>
      <c r="BU5" t="s">
        <v>79</v>
      </c>
      <c r="BV5">
        <v>20.2</v>
      </c>
      <c r="BW5">
        <v>0</v>
      </c>
      <c r="BX5">
        <v>0</v>
      </c>
      <c r="BY5" t="s">
        <v>80</v>
      </c>
      <c r="BZ5" t="s">
        <v>80</v>
      </c>
    </row>
    <row r="6" spans="1:78" ht="14" x14ac:dyDescent="0.25">
      <c r="A6" t="s">
        <v>176</v>
      </c>
      <c r="C6" t="s">
        <v>194</v>
      </c>
      <c r="D6" t="s">
        <v>178</v>
      </c>
      <c r="E6" s="1">
        <v>45863</v>
      </c>
      <c r="F6" s="2">
        <v>0.13841435185185186</v>
      </c>
      <c r="G6">
        <v>3</v>
      </c>
      <c r="H6" s="1">
        <v>45862</v>
      </c>
      <c r="I6" s="2">
        <v>0.6384143518518518</v>
      </c>
      <c r="J6">
        <v>15</v>
      </c>
      <c r="K6" t="s">
        <v>195</v>
      </c>
      <c r="R6" t="s">
        <v>182</v>
      </c>
      <c r="S6">
        <v>13</v>
      </c>
      <c r="T6">
        <v>10</v>
      </c>
      <c r="U6" t="s">
        <v>196</v>
      </c>
      <c r="V6" t="s">
        <v>197</v>
      </c>
      <c r="W6">
        <v>1</v>
      </c>
      <c r="X6" t="s">
        <v>75</v>
      </c>
      <c r="AC6" t="s">
        <v>198</v>
      </c>
      <c r="AY6" s="42" t="s">
        <v>73</v>
      </c>
      <c r="AZ6" s="43" t="s">
        <v>81</v>
      </c>
      <c r="BA6" s="44" t="s">
        <v>82</v>
      </c>
      <c r="BB6" s="45"/>
      <c r="BC6" s="46">
        <f>COUNTIF(X:X,"*ptesicus sero*")</f>
        <v>0</v>
      </c>
      <c r="BD6" s="47"/>
      <c r="BE6" s="48">
        <f>BC6/SUM(BD4,BD7,BD17,BD20,BD25,BD28,BD30,BD31,BD32)</f>
        <v>0</v>
      </c>
      <c r="BF6" s="49">
        <f>BE6*BB34/(AY33*AY34)</f>
        <v>0</v>
      </c>
      <c r="BG6" s="50">
        <f>BE6*BB34/(AY33*AY34*AY35)</f>
        <v>0</v>
      </c>
      <c r="BH6" s="33">
        <f>_xlfn.MINIFS(I:I,X:X,"*ptesicus ser*")</f>
        <v>0</v>
      </c>
      <c r="BI6" s="33">
        <f>_xlfn.MAXIFS(I:I,X:X,"*ptesicus ser*")</f>
        <v>0</v>
      </c>
      <c r="BJ6" s="51">
        <f>COUNTIF(X:X,"*tinus F*")</f>
        <v>0</v>
      </c>
      <c r="BK6" s="52">
        <f>COUNTIF(X:X,"*tinus S*")</f>
        <v>0</v>
      </c>
      <c r="BL6" s="53" t="s">
        <v>76</v>
      </c>
      <c r="BM6" s="54" t="s">
        <v>83</v>
      </c>
      <c r="BN6" s="55" t="s">
        <v>84</v>
      </c>
      <c r="BO6" t="s">
        <v>85</v>
      </c>
      <c r="BR6" t="s">
        <v>78</v>
      </c>
      <c r="BS6" t="s">
        <v>69</v>
      </c>
      <c r="BU6" t="s">
        <v>86</v>
      </c>
      <c r="BV6">
        <v>20.2</v>
      </c>
      <c r="BY6" t="s">
        <v>80</v>
      </c>
      <c r="BZ6" t="s">
        <v>80</v>
      </c>
    </row>
    <row r="7" spans="1:78" ht="14" x14ac:dyDescent="0.25">
      <c r="A7" t="s">
        <v>176</v>
      </c>
      <c r="C7" t="s">
        <v>199</v>
      </c>
      <c r="D7" t="s">
        <v>178</v>
      </c>
      <c r="E7" s="1">
        <v>45863</v>
      </c>
      <c r="F7" s="2">
        <v>0.13848379629629629</v>
      </c>
      <c r="G7">
        <v>3</v>
      </c>
      <c r="H7" s="1">
        <v>45862</v>
      </c>
      <c r="I7" s="2">
        <v>0.63848379629629626</v>
      </c>
      <c r="J7">
        <v>15</v>
      </c>
      <c r="R7" t="s">
        <v>200</v>
      </c>
      <c r="S7">
        <v>2</v>
      </c>
      <c r="T7">
        <v>0</v>
      </c>
      <c r="U7">
        <v>0</v>
      </c>
      <c r="V7">
        <v>0</v>
      </c>
      <c r="W7">
        <v>1</v>
      </c>
      <c r="X7" t="s">
        <v>75</v>
      </c>
      <c r="AC7" t="s">
        <v>201</v>
      </c>
      <c r="AY7" s="56" t="s">
        <v>73</v>
      </c>
      <c r="AZ7" s="25"/>
      <c r="BA7" s="26"/>
      <c r="BB7" s="27" t="s">
        <v>87</v>
      </c>
      <c r="BC7" s="28"/>
      <c r="BD7" s="29">
        <f>COUNTIF(X:X,"*ptesicu*")</f>
        <v>8</v>
      </c>
      <c r="BE7" s="30">
        <f>BD7/SUM(BD4,BD7,BD17,BD20,BD25,BD28,BD30,BD31,BD32)</f>
        <v>4.8192771084337352E-2</v>
      </c>
      <c r="BF7" s="31">
        <f>BE7*BB34/(AY33*AY34)</f>
        <v>8</v>
      </c>
      <c r="BG7" s="32">
        <f>BE7*BB34/(AY33*AY34*AY35)</f>
        <v>1</v>
      </c>
      <c r="BH7" s="33">
        <f>_xlfn.MINIFS(I:I,X:X,"*ptesic*")</f>
        <v>0.51874999999999993</v>
      </c>
      <c r="BI7" s="33">
        <f>_xlfn.MAXIFS(I:I,X:X,"*ptesic*")</f>
        <v>0.63848379629629626</v>
      </c>
      <c r="BJ7" s="34">
        <f>COUNTIF(X:X,"*sicus sp F*")</f>
        <v>0</v>
      </c>
      <c r="BK7" s="35">
        <f>COUNTIF(X:X,"*sicus sp S*")</f>
        <v>0</v>
      </c>
      <c r="BL7" s="58" t="s">
        <v>76</v>
      </c>
      <c r="BM7" s="59" t="s">
        <v>77</v>
      </c>
      <c r="BN7" s="60"/>
    </row>
    <row r="8" spans="1:78" ht="14" x14ac:dyDescent="0.25">
      <c r="A8" t="s">
        <v>176</v>
      </c>
      <c r="C8" t="s">
        <v>202</v>
      </c>
      <c r="D8" t="s">
        <v>178</v>
      </c>
      <c r="E8" s="1">
        <v>45863</v>
      </c>
      <c r="F8" s="2">
        <v>4.7326388888888883E-2</v>
      </c>
      <c r="G8">
        <v>1</v>
      </c>
      <c r="H8" s="1">
        <v>45862</v>
      </c>
      <c r="I8" s="2">
        <v>0.54732638888888896</v>
      </c>
      <c r="J8">
        <v>13</v>
      </c>
      <c r="R8" t="s">
        <v>200</v>
      </c>
      <c r="S8">
        <v>7</v>
      </c>
      <c r="T8">
        <v>0</v>
      </c>
      <c r="U8">
        <v>0</v>
      </c>
      <c r="V8">
        <v>0</v>
      </c>
      <c r="W8">
        <v>1</v>
      </c>
      <c r="X8" t="s">
        <v>75</v>
      </c>
      <c r="AC8" t="s">
        <v>203</v>
      </c>
      <c r="AY8" s="9" t="s">
        <v>61</v>
      </c>
      <c r="AZ8" s="10" t="s">
        <v>88</v>
      </c>
      <c r="BA8" s="11" t="s">
        <v>89</v>
      </c>
      <c r="BB8" s="12"/>
      <c r="BC8" s="13">
        <f>COUNTIF(X:X,"*yotis alc*")</f>
        <v>0</v>
      </c>
      <c r="BD8" s="14"/>
      <c r="BE8" s="15">
        <f>BC8/SUM(BD4,BD7,BD17,BD20,BD25,BD28,BD30,BD31,BD32)</f>
        <v>0</v>
      </c>
      <c r="BF8" s="16">
        <f>BE8*BB34/(AY33*AY34)</f>
        <v>0</v>
      </c>
      <c r="BG8" s="17">
        <f>BE8*BB34/(AY33*AY34*AY35)</f>
        <v>0</v>
      </c>
      <c r="BH8" s="18">
        <f>_xlfn.MINIFS(I:I,X:X,"*Myotis alc*")</f>
        <v>0</v>
      </c>
      <c r="BI8" s="18">
        <f>_xlfn.MAXIFS(I:I,X:X,"*Myotis alc*")</f>
        <v>0</v>
      </c>
      <c r="BJ8" s="19">
        <f>COUNTIF(X:X,"*thoe F*")</f>
        <v>0</v>
      </c>
      <c r="BK8" s="20">
        <f>COUNTIF(X:X,"*thoe S*")</f>
        <v>0</v>
      </c>
      <c r="BL8" s="21" t="s">
        <v>64</v>
      </c>
      <c r="BM8" s="22"/>
      <c r="BN8" s="61" t="s">
        <v>90</v>
      </c>
      <c r="BO8" t="s">
        <v>91</v>
      </c>
      <c r="BR8" t="s">
        <v>78</v>
      </c>
      <c r="BU8" t="s">
        <v>92</v>
      </c>
      <c r="BV8">
        <v>20.6</v>
      </c>
      <c r="BY8" t="s">
        <v>71</v>
      </c>
      <c r="BZ8" t="s">
        <v>93</v>
      </c>
    </row>
    <row r="9" spans="1:78" ht="14" x14ac:dyDescent="0.25">
      <c r="A9" t="s">
        <v>176</v>
      </c>
      <c r="C9" t="s">
        <v>204</v>
      </c>
      <c r="D9" t="s">
        <v>178</v>
      </c>
      <c r="E9" s="1">
        <v>45863</v>
      </c>
      <c r="F9" s="2">
        <v>4.3576388888888894E-2</v>
      </c>
      <c r="G9">
        <v>1</v>
      </c>
      <c r="H9" s="1">
        <v>45862</v>
      </c>
      <c r="I9" s="2">
        <v>0.54357638888888882</v>
      </c>
      <c r="J9">
        <v>13</v>
      </c>
      <c r="K9" t="s">
        <v>189</v>
      </c>
      <c r="L9" t="s">
        <v>195</v>
      </c>
      <c r="R9" t="s">
        <v>182</v>
      </c>
      <c r="S9">
        <v>7</v>
      </c>
      <c r="T9">
        <v>5</v>
      </c>
      <c r="U9" t="s">
        <v>205</v>
      </c>
      <c r="V9" t="s">
        <v>206</v>
      </c>
      <c r="W9">
        <v>1</v>
      </c>
      <c r="X9" t="s">
        <v>207</v>
      </c>
      <c r="AC9" t="s">
        <v>208</v>
      </c>
      <c r="AY9" s="62" t="s">
        <v>61</v>
      </c>
      <c r="AZ9" s="43" t="s">
        <v>94</v>
      </c>
      <c r="BA9" s="44" t="s">
        <v>95</v>
      </c>
      <c r="BB9" s="45"/>
      <c r="BC9" s="46">
        <f>COUNTIF(X:X,"*yotis bec*")</f>
        <v>0</v>
      </c>
      <c r="BD9" s="47"/>
      <c r="BE9" s="48">
        <f>BC9/SUM(BD4,BD7,BD17,BD20,BD25,BD28,BD30,BD31,BD32)</f>
        <v>0</v>
      </c>
      <c r="BF9" s="49">
        <f>BE9*BB34/(AY33*AY34)</f>
        <v>0</v>
      </c>
      <c r="BG9" s="50">
        <f>BE9*BB34/(AY33*AY34*AY35)</f>
        <v>0</v>
      </c>
      <c r="BH9" s="33">
        <f>_xlfn.MINIFS(I:I,X:X,"*Myotis bec*")</f>
        <v>0</v>
      </c>
      <c r="BI9" s="33">
        <f>_xlfn.MAXIFS(I:I,X:X,"*Myotis bec*")</f>
        <v>0</v>
      </c>
      <c r="BJ9" s="51">
        <f>COUNTIF(X:X,"*teinii F*")</f>
        <v>0</v>
      </c>
      <c r="BK9" s="52">
        <f>COUNTIF(X:X,"*teinii S*")</f>
        <v>0</v>
      </c>
      <c r="BL9" s="63"/>
      <c r="BM9" s="64"/>
      <c r="BN9" s="61" t="s">
        <v>90</v>
      </c>
      <c r="BO9" t="s">
        <v>91</v>
      </c>
      <c r="BR9" t="s">
        <v>68</v>
      </c>
      <c r="BS9" t="s">
        <v>69</v>
      </c>
      <c r="BT9" t="s">
        <v>96</v>
      </c>
      <c r="BU9" t="s">
        <v>97</v>
      </c>
      <c r="BV9">
        <v>20.6</v>
      </c>
      <c r="BY9" t="s">
        <v>71</v>
      </c>
      <c r="BZ9" t="s">
        <v>71</v>
      </c>
    </row>
    <row r="10" spans="1:78" ht="14" x14ac:dyDescent="0.25">
      <c r="A10" t="s">
        <v>176</v>
      </c>
      <c r="C10" t="s">
        <v>209</v>
      </c>
      <c r="D10" t="s">
        <v>178</v>
      </c>
      <c r="E10" s="1">
        <v>45863</v>
      </c>
      <c r="F10" s="2">
        <v>3.8738425925925926E-2</v>
      </c>
      <c r="G10">
        <v>0</v>
      </c>
      <c r="H10" s="1">
        <v>45862</v>
      </c>
      <c r="I10" s="2">
        <v>0.53873842592592591</v>
      </c>
      <c r="J10">
        <v>12</v>
      </c>
      <c r="K10" t="s">
        <v>195</v>
      </c>
      <c r="R10" t="s">
        <v>182</v>
      </c>
      <c r="S10">
        <v>5</v>
      </c>
      <c r="T10">
        <v>5</v>
      </c>
      <c r="U10">
        <v>1</v>
      </c>
      <c r="V10" t="s">
        <v>210</v>
      </c>
      <c r="W10">
        <v>1</v>
      </c>
      <c r="X10" t="s">
        <v>211</v>
      </c>
      <c r="AC10" t="s">
        <v>212</v>
      </c>
      <c r="AY10" s="62" t="s">
        <v>61</v>
      </c>
      <c r="AZ10" s="43" t="s">
        <v>98</v>
      </c>
      <c r="BA10" s="44" t="s">
        <v>99</v>
      </c>
      <c r="BB10" s="45"/>
      <c r="BC10" s="46">
        <f>COUNTIF(X:X,"*yotis bra*")</f>
        <v>0</v>
      </c>
      <c r="BD10" s="47"/>
      <c r="BE10" s="48">
        <f>BC10/SUM(BD4,BD7,BD17,BD20,BD25,BD28,BD30,BD31,BD32)</f>
        <v>0</v>
      </c>
      <c r="BF10" s="49">
        <f>BE10*BB34/(AY33*AY34)</f>
        <v>0</v>
      </c>
      <c r="BG10" s="50">
        <f>BE10*BB34/(AY33*AY34*AY35)</f>
        <v>0</v>
      </c>
      <c r="BH10" s="33">
        <f>_xlfn.MINIFS(I:I,X:X,"Myotis brandtii")</f>
        <v>0</v>
      </c>
      <c r="BI10" s="33">
        <f>_xlfn.MAXIFS(I:I,X:X,"Myotis brandtii")</f>
        <v>0</v>
      </c>
      <c r="BJ10" s="51">
        <f>COUNTIF(X:X,"* brandtii F*")</f>
        <v>0</v>
      </c>
      <c r="BK10" s="52">
        <f>COUNTIF(X:X,"* brandtii S*")</f>
        <v>0</v>
      </c>
      <c r="BL10" s="63" t="s">
        <v>64</v>
      </c>
      <c r="BM10" s="64"/>
      <c r="BN10" s="38" t="s">
        <v>100</v>
      </c>
      <c r="BQ10" t="s">
        <v>67</v>
      </c>
      <c r="BR10" t="s">
        <v>78</v>
      </c>
      <c r="BS10" t="s">
        <v>69</v>
      </c>
      <c r="BU10" t="s">
        <v>101</v>
      </c>
      <c r="BV10">
        <v>20.05</v>
      </c>
      <c r="BY10" t="s">
        <v>71</v>
      </c>
      <c r="BZ10" t="s">
        <v>71</v>
      </c>
    </row>
    <row r="11" spans="1:78" ht="14" x14ac:dyDescent="0.25">
      <c r="A11" t="s">
        <v>176</v>
      </c>
      <c r="C11" t="s">
        <v>213</v>
      </c>
      <c r="D11" t="s">
        <v>178</v>
      </c>
      <c r="E11" s="1">
        <v>45863</v>
      </c>
      <c r="F11" s="2">
        <v>0.10877314814814815</v>
      </c>
      <c r="G11">
        <v>2</v>
      </c>
      <c r="H11" s="1">
        <v>45862</v>
      </c>
      <c r="I11" s="2">
        <v>0.60877314814814809</v>
      </c>
      <c r="J11">
        <v>14</v>
      </c>
      <c r="K11" t="s">
        <v>214</v>
      </c>
      <c r="L11" t="s">
        <v>215</v>
      </c>
      <c r="R11" t="s">
        <v>216</v>
      </c>
      <c r="S11">
        <v>2</v>
      </c>
      <c r="T11">
        <v>1</v>
      </c>
      <c r="U11" t="s">
        <v>217</v>
      </c>
      <c r="V11" t="s">
        <v>218</v>
      </c>
      <c r="W11">
        <v>1</v>
      </c>
      <c r="X11" t="s">
        <v>32</v>
      </c>
      <c r="AC11" t="s">
        <v>219</v>
      </c>
      <c r="AY11" s="65" t="s">
        <v>102</v>
      </c>
      <c r="AZ11" s="43" t="s">
        <v>103</v>
      </c>
      <c r="BA11" s="44" t="s">
        <v>104</v>
      </c>
      <c r="BB11" s="45"/>
      <c r="BC11" s="46">
        <f>COUNTIF(X:X,"*yotis das*")</f>
        <v>0</v>
      </c>
      <c r="BD11" s="47"/>
      <c r="BE11" s="48">
        <f>BC11/SUM(BD4,BD7,BD17,BD20,BD25,BD28,BD30,BD31,BD32)</f>
        <v>0</v>
      </c>
      <c r="BF11" s="49">
        <f>BE11*BB34/(AY33*AY34)</f>
        <v>0</v>
      </c>
      <c r="BG11" s="50">
        <f>BE11*BB34/(AY33*AY34*AY35)</f>
        <v>0</v>
      </c>
      <c r="BH11" s="33">
        <f>_xlfn.MINIFS(I:I,X:X,"*Myotis das*")</f>
        <v>0</v>
      </c>
      <c r="BI11" s="33">
        <f>_xlfn.MAXIFS(I:I,X:X,"*Myotis das*")</f>
        <v>0</v>
      </c>
      <c r="BJ11" s="51">
        <f>COUNTIF(X:X,"*cneme F*")</f>
        <v>0</v>
      </c>
      <c r="BK11" s="52">
        <f>COUNTIF(X:X,"*cneme S*")</f>
        <v>0</v>
      </c>
      <c r="BL11" s="63" t="s">
        <v>64</v>
      </c>
      <c r="BM11" s="64"/>
      <c r="BN11" s="55" t="s">
        <v>65</v>
      </c>
      <c r="BO11" t="s">
        <v>66</v>
      </c>
      <c r="BR11" t="s">
        <v>68</v>
      </c>
      <c r="BS11" t="s">
        <v>69</v>
      </c>
      <c r="BU11" t="s">
        <v>105</v>
      </c>
      <c r="BV11">
        <v>20.2</v>
      </c>
      <c r="BY11" t="s">
        <v>71</v>
      </c>
      <c r="BZ11" t="s">
        <v>71</v>
      </c>
    </row>
    <row r="12" spans="1:78" ht="14" x14ac:dyDescent="0.25">
      <c r="A12" t="s">
        <v>176</v>
      </c>
      <c r="C12" t="s">
        <v>220</v>
      </c>
      <c r="D12" t="s">
        <v>178</v>
      </c>
      <c r="E12" s="1">
        <v>45862</v>
      </c>
      <c r="F12" s="2">
        <v>0.94695601851851852</v>
      </c>
      <c r="G12">
        <v>22</v>
      </c>
      <c r="H12" s="1">
        <v>45862</v>
      </c>
      <c r="I12" s="2">
        <v>0.44695601851851857</v>
      </c>
      <c r="J12">
        <v>10</v>
      </c>
      <c r="R12" t="s">
        <v>214</v>
      </c>
      <c r="S12">
        <v>2</v>
      </c>
      <c r="T12">
        <v>2</v>
      </c>
      <c r="U12">
        <v>1</v>
      </c>
      <c r="V12" t="s">
        <v>221</v>
      </c>
      <c r="W12">
        <v>1</v>
      </c>
      <c r="X12" t="s">
        <v>32</v>
      </c>
      <c r="AC12" t="s">
        <v>222</v>
      </c>
      <c r="AY12" s="65" t="s">
        <v>102</v>
      </c>
      <c r="AZ12" s="43" t="s">
        <v>106</v>
      </c>
      <c r="BA12" s="44" t="s">
        <v>32</v>
      </c>
      <c r="BB12" s="45"/>
      <c r="BC12" s="46">
        <f>COUNTIF(X:X,"*yotis dau*")</f>
        <v>129</v>
      </c>
      <c r="BD12" s="47"/>
      <c r="BE12" s="48">
        <f>BC12/SUM(BD4,BD7,BD17,BD20,BD25,BD28,BD30,BD31,BD32)</f>
        <v>0.77710843373493976</v>
      </c>
      <c r="BF12" s="49">
        <f>BE12*BB34/(AY33*AY34)</f>
        <v>129</v>
      </c>
      <c r="BG12" s="50">
        <f>BE12*BB34/(AY33*AY34*AY35)</f>
        <v>16.125</v>
      </c>
      <c r="BH12" s="33">
        <f>_xlfn.MINIFS(I:I,X:X,"*Myotis dau*")</f>
        <v>0.42874999999999996</v>
      </c>
      <c r="BI12" s="33">
        <f>_xlfn.MAXIFS(I:I,X:X,"*Myotis dau*")</f>
        <v>0.67541666666666667</v>
      </c>
      <c r="BJ12" s="51">
        <f>COUNTIF(X:X,"*tonii F*")</f>
        <v>37</v>
      </c>
      <c r="BK12" s="52">
        <f>COUNTIF(X:X,"*tonii S*")</f>
        <v>6</v>
      </c>
      <c r="BL12" s="63" t="s">
        <v>64</v>
      </c>
      <c r="BM12" s="64"/>
      <c r="BN12" s="38" t="s">
        <v>100</v>
      </c>
      <c r="BQ12" t="s">
        <v>67</v>
      </c>
      <c r="BR12" t="s">
        <v>78</v>
      </c>
      <c r="BS12" t="s">
        <v>69</v>
      </c>
      <c r="BU12" t="s">
        <v>101</v>
      </c>
      <c r="BV12">
        <v>20.05</v>
      </c>
      <c r="BY12" t="s">
        <v>71</v>
      </c>
      <c r="BZ12" t="s">
        <v>71</v>
      </c>
    </row>
    <row r="13" spans="1:78" ht="14" x14ac:dyDescent="0.25">
      <c r="A13" t="s">
        <v>176</v>
      </c>
      <c r="C13" t="s">
        <v>223</v>
      </c>
      <c r="D13" t="s">
        <v>178</v>
      </c>
      <c r="E13" s="1">
        <v>45862</v>
      </c>
      <c r="F13" s="2">
        <v>0.92874999999999996</v>
      </c>
      <c r="G13">
        <v>22</v>
      </c>
      <c r="H13" s="1">
        <v>45862</v>
      </c>
      <c r="I13" s="2">
        <v>0.42874999999999996</v>
      </c>
      <c r="J13">
        <v>10</v>
      </c>
      <c r="R13" t="s">
        <v>214</v>
      </c>
      <c r="S13">
        <v>9</v>
      </c>
      <c r="T13">
        <v>8</v>
      </c>
      <c r="U13" t="s">
        <v>224</v>
      </c>
      <c r="V13" t="s">
        <v>225</v>
      </c>
      <c r="W13">
        <v>1</v>
      </c>
      <c r="X13" t="s">
        <v>32</v>
      </c>
      <c r="AC13" t="s">
        <v>226</v>
      </c>
      <c r="AY13" s="62" t="s">
        <v>61</v>
      </c>
      <c r="AZ13" s="43" t="s">
        <v>107</v>
      </c>
      <c r="BA13" s="44" t="s">
        <v>108</v>
      </c>
      <c r="BB13" s="45"/>
      <c r="BC13" s="46">
        <f>COUNTIF(X:X,"*yotis myo*")</f>
        <v>0</v>
      </c>
      <c r="BD13" s="47"/>
      <c r="BE13" s="48">
        <f>BC13/SUM(BD4,BD7,BD17,BD20,BD25,BD28,BD30,BD31,BD32)</f>
        <v>0</v>
      </c>
      <c r="BF13" s="49">
        <f>BE13*BB34/(AY33*AY34)</f>
        <v>0</v>
      </c>
      <c r="BG13" s="50">
        <f>BE13*BB34/(AY33*AY34*AY35)</f>
        <v>0</v>
      </c>
      <c r="BH13" s="33">
        <f>_xlfn.MINIFS(I:I,X:X,"*Myotis myo*")</f>
        <v>0</v>
      </c>
      <c r="BI13" s="33">
        <f>_xlfn.MAXIFS(I:I,X:X,"*Myotis myo*")</f>
        <v>0</v>
      </c>
      <c r="BJ13" s="51">
        <f>COUNTIF(X:X,"*yotis myotis F*")</f>
        <v>0</v>
      </c>
      <c r="BK13" s="52">
        <f>COUNTIF(X:X,"*yotis myotis S*")</f>
        <v>0</v>
      </c>
      <c r="BL13" s="63" t="s">
        <v>64</v>
      </c>
      <c r="BM13" s="64"/>
      <c r="BN13" s="61" t="s">
        <v>90</v>
      </c>
      <c r="BO13" t="s">
        <v>91</v>
      </c>
      <c r="BR13" t="s">
        <v>68</v>
      </c>
      <c r="BS13" t="s">
        <v>69</v>
      </c>
      <c r="BU13" t="s">
        <v>109</v>
      </c>
      <c r="BV13">
        <v>20.6</v>
      </c>
      <c r="BY13" t="s">
        <v>71</v>
      </c>
      <c r="BZ13" t="s">
        <v>80</v>
      </c>
    </row>
    <row r="14" spans="1:78" ht="14" x14ac:dyDescent="0.25">
      <c r="A14" t="s">
        <v>176</v>
      </c>
      <c r="C14" t="s">
        <v>227</v>
      </c>
      <c r="D14" t="s">
        <v>178</v>
      </c>
      <c r="E14" s="1">
        <v>45863</v>
      </c>
      <c r="F14" s="2">
        <v>0.16173611111111111</v>
      </c>
      <c r="G14">
        <v>3</v>
      </c>
      <c r="H14" s="1">
        <v>45862</v>
      </c>
      <c r="I14" s="2">
        <v>0.66173611111111108</v>
      </c>
      <c r="J14">
        <v>15</v>
      </c>
      <c r="R14" t="s">
        <v>214</v>
      </c>
      <c r="S14">
        <v>21</v>
      </c>
      <c r="T14">
        <v>17</v>
      </c>
      <c r="U14" t="s">
        <v>228</v>
      </c>
      <c r="V14" t="s">
        <v>229</v>
      </c>
      <c r="W14">
        <v>1</v>
      </c>
      <c r="X14" t="s">
        <v>32</v>
      </c>
      <c r="AC14" t="s">
        <v>230</v>
      </c>
      <c r="AY14" s="62" t="s">
        <v>61</v>
      </c>
      <c r="AZ14" s="43" t="s">
        <v>110</v>
      </c>
      <c r="BA14" s="44" t="s">
        <v>111</v>
      </c>
      <c r="BB14" s="45"/>
      <c r="BC14" s="46">
        <f>COUNTIF(X:X,"*yotis mystacinus")</f>
        <v>0</v>
      </c>
      <c r="BD14" s="47"/>
      <c r="BE14" s="48">
        <f>BC14/SUM(BD4,BD7,BD17,BD20,BD25,BD28,BD30,BD31,BD32)</f>
        <v>0</v>
      </c>
      <c r="BF14" s="49">
        <f>BE14*BB34/(AY33*AY34)</f>
        <v>0</v>
      </c>
      <c r="BG14" s="50">
        <f>BE14*BB34/(AY33*AY34*AY35)</f>
        <v>0</v>
      </c>
      <c r="BH14" s="33">
        <f>_xlfn.MINIFS(I:I,X:X,"Myotis mystacinus")</f>
        <v>0</v>
      </c>
      <c r="BI14" s="33">
        <f>_xlfn.MAXIFS(I:I,X:X,"Myotis mystacinus")</f>
        <v>0</v>
      </c>
      <c r="BJ14" s="51">
        <f>COUNTIF(X:X,"* mystacinus F*")</f>
        <v>0</v>
      </c>
      <c r="BK14" s="52">
        <f>COUNTIF(X:X,"* mystacinus S*")</f>
        <v>0</v>
      </c>
      <c r="BL14" s="63" t="s">
        <v>64</v>
      </c>
      <c r="BM14" s="64"/>
      <c r="BN14" s="38" t="s">
        <v>100</v>
      </c>
      <c r="BQ14" t="s">
        <v>67</v>
      </c>
      <c r="BR14" t="s">
        <v>78</v>
      </c>
      <c r="BS14" t="s">
        <v>69</v>
      </c>
      <c r="BU14" t="s">
        <v>101</v>
      </c>
      <c r="BV14">
        <v>20.05</v>
      </c>
      <c r="BY14" t="s">
        <v>71</v>
      </c>
      <c r="BZ14" t="s">
        <v>71</v>
      </c>
    </row>
    <row r="15" spans="1:78" ht="14" x14ac:dyDescent="0.25">
      <c r="A15" t="s">
        <v>176</v>
      </c>
      <c r="C15" t="s">
        <v>231</v>
      </c>
      <c r="D15" t="s">
        <v>178</v>
      </c>
      <c r="E15" s="1">
        <v>45863</v>
      </c>
      <c r="F15" s="2">
        <v>0.10100694444444445</v>
      </c>
      <c r="G15">
        <v>2</v>
      </c>
      <c r="H15" s="1">
        <v>45862</v>
      </c>
      <c r="I15" s="2">
        <v>0.60100694444444447</v>
      </c>
      <c r="J15">
        <v>14</v>
      </c>
      <c r="K15" t="s">
        <v>232</v>
      </c>
      <c r="L15" t="s">
        <v>233</v>
      </c>
      <c r="R15" t="s">
        <v>214</v>
      </c>
      <c r="S15">
        <v>3</v>
      </c>
      <c r="T15">
        <v>3</v>
      </c>
      <c r="U15">
        <v>1</v>
      </c>
      <c r="V15" t="s">
        <v>234</v>
      </c>
      <c r="W15">
        <v>1</v>
      </c>
      <c r="X15" t="s">
        <v>32</v>
      </c>
      <c r="AC15" t="s">
        <v>235</v>
      </c>
      <c r="AY15" s="62" t="s">
        <v>61</v>
      </c>
      <c r="AZ15" s="43" t="s">
        <v>112</v>
      </c>
      <c r="BA15" s="44" t="s">
        <v>113</v>
      </c>
      <c r="BB15" s="45"/>
      <c r="BC15" s="46">
        <f>COUNTIF(X:X,"*yotis nat*")</f>
        <v>0</v>
      </c>
      <c r="BD15" s="47"/>
      <c r="BE15" s="48">
        <f>BC15/SUM(BD4,BD7,BD17,BD20,BD25,BD28,BD30,BD31,BD32)</f>
        <v>0</v>
      </c>
      <c r="BF15" s="49">
        <f>BE15*BB34/(AY33*AY34)</f>
        <v>0</v>
      </c>
      <c r="BG15" s="50">
        <f>BE15*BB34/(AY33*AY34*AY35)</f>
        <v>0</v>
      </c>
      <c r="BH15" s="33">
        <f>_xlfn.MINIFS(I:I,X:X,"*Myotis nat*")</f>
        <v>0</v>
      </c>
      <c r="BI15" s="33">
        <f>_xlfn.MAXIFS(I:I,X:X,"*Myotis nat*")</f>
        <v>0</v>
      </c>
      <c r="BJ15" s="51">
        <f>COUNTIF(X:X,"*ereri F*")</f>
        <v>0</v>
      </c>
      <c r="BK15" s="52">
        <f>COUNTIF(X:X,"*ereri S*")</f>
        <v>0</v>
      </c>
      <c r="BL15" s="63" t="s">
        <v>64</v>
      </c>
      <c r="BM15" s="64"/>
      <c r="BN15" s="55" t="s">
        <v>84</v>
      </c>
      <c r="BO15" t="s">
        <v>85</v>
      </c>
      <c r="BQ15" t="s">
        <v>67</v>
      </c>
      <c r="BR15" t="s">
        <v>78</v>
      </c>
      <c r="BS15" t="s">
        <v>69</v>
      </c>
      <c r="BU15" t="s">
        <v>101</v>
      </c>
      <c r="BV15">
        <v>20.25</v>
      </c>
      <c r="BY15" t="s">
        <v>71</v>
      </c>
      <c r="BZ15" t="s">
        <v>71</v>
      </c>
    </row>
    <row r="16" spans="1:78" ht="14" x14ac:dyDescent="0.25">
      <c r="A16" t="s">
        <v>176</v>
      </c>
      <c r="C16" t="s">
        <v>236</v>
      </c>
      <c r="D16" t="s">
        <v>178</v>
      </c>
      <c r="E16" s="1">
        <v>45863</v>
      </c>
      <c r="F16" s="2">
        <v>0.16185185185185186</v>
      </c>
      <c r="G16">
        <v>3</v>
      </c>
      <c r="H16" s="1">
        <v>45862</v>
      </c>
      <c r="I16" s="2">
        <v>0.6618518518518518</v>
      </c>
      <c r="J16">
        <v>15</v>
      </c>
      <c r="K16" t="s">
        <v>233</v>
      </c>
      <c r="R16" t="s">
        <v>214</v>
      </c>
      <c r="S16">
        <v>10</v>
      </c>
      <c r="T16">
        <v>5</v>
      </c>
      <c r="U16" t="s">
        <v>217</v>
      </c>
      <c r="V16" t="s">
        <v>237</v>
      </c>
      <c r="W16">
        <v>1</v>
      </c>
      <c r="X16" t="s">
        <v>32</v>
      </c>
      <c r="AC16" t="s">
        <v>238</v>
      </c>
      <c r="AY16" s="66" t="s">
        <v>61</v>
      </c>
      <c r="AZ16" s="67" t="s">
        <v>114</v>
      </c>
      <c r="BA16" s="44" t="s">
        <v>30</v>
      </c>
      <c r="BC16" s="46">
        <f>COUNTIF(X:X,"*yotis mystacinus/bra*")</f>
        <v>0</v>
      </c>
      <c r="BD16" s="47"/>
      <c r="BE16" s="48">
        <f>BC16/SUM(BD4,BD7,BD17,BD20,BD25,BD28,BD30,BD31,BD32)</f>
        <v>0</v>
      </c>
      <c r="BF16" s="49">
        <f>BE16*BB34/(AY33*AY34)</f>
        <v>0</v>
      </c>
      <c r="BG16" s="50">
        <f>BE16*BB34/(AY33*AY34*AY35)</f>
        <v>0</v>
      </c>
      <c r="BH16" s="33">
        <f>_xlfn.MINIFS(I:I,X:X,"*Myotis mystacinus/bra*")</f>
        <v>0</v>
      </c>
      <c r="BI16" s="33">
        <f>_xlfn.MAXIFS(I:I,X:X,"*Myotis mystacinus/bra*")</f>
        <v>0</v>
      </c>
      <c r="BJ16" s="51">
        <f>COUNTIF(X:X,"*inus/brandtii F*")</f>
        <v>0</v>
      </c>
      <c r="BK16" s="52">
        <f>COUNTIF(X:X,"*/brandtii S*")</f>
        <v>0</v>
      </c>
      <c r="BL16" s="63" t="s">
        <v>64</v>
      </c>
      <c r="BM16" s="64"/>
      <c r="BN16" s="38" t="s">
        <v>100</v>
      </c>
      <c r="BY16" t="s">
        <v>71</v>
      </c>
      <c r="BZ16" t="s">
        <v>71</v>
      </c>
    </row>
    <row r="17" spans="1:78" ht="14" x14ac:dyDescent="0.25">
      <c r="A17" t="s">
        <v>176</v>
      </c>
      <c r="C17" t="s">
        <v>239</v>
      </c>
      <c r="D17" t="s">
        <v>178</v>
      </c>
      <c r="E17" s="1">
        <v>45862</v>
      </c>
      <c r="F17" s="2">
        <v>0.92971064814814808</v>
      </c>
      <c r="G17">
        <v>22</v>
      </c>
      <c r="H17" s="1">
        <v>45862</v>
      </c>
      <c r="I17" s="2">
        <v>0.42971064814814813</v>
      </c>
      <c r="J17">
        <v>10</v>
      </c>
      <c r="K17" t="s">
        <v>232</v>
      </c>
      <c r="R17" t="s">
        <v>214</v>
      </c>
      <c r="S17">
        <v>11</v>
      </c>
      <c r="T17">
        <v>6</v>
      </c>
      <c r="U17" t="s">
        <v>240</v>
      </c>
      <c r="V17" t="s">
        <v>241</v>
      </c>
      <c r="W17">
        <v>1</v>
      </c>
      <c r="X17" t="s">
        <v>32</v>
      </c>
      <c r="AC17" t="s">
        <v>242</v>
      </c>
      <c r="AY17" s="24" t="s">
        <v>61</v>
      </c>
      <c r="AZ17" s="25"/>
      <c r="BA17" s="26"/>
      <c r="BB17" s="27" t="s">
        <v>115</v>
      </c>
      <c r="BC17" s="28"/>
      <c r="BD17" s="29">
        <f>COUNTIF(X:X,"Myoti*")+1</f>
        <v>129</v>
      </c>
      <c r="BE17" s="30">
        <f>BD17/SUM(BD4,BD7,BD17,BD20,BD25,BD28,BD30,BD31,BD32)</f>
        <v>0.77710843373493976</v>
      </c>
      <c r="BF17" s="31">
        <f>BE17*BB34/(AY33*AY34)</f>
        <v>129</v>
      </c>
      <c r="BG17" s="32">
        <f>BE17*BB34/(AY33*AY34*AY35)</f>
        <v>16.125</v>
      </c>
      <c r="BH17" s="33">
        <f>_xlfn.MINIFS(I:I,X:X,"*Myot*")</f>
        <v>0.42874999999999996</v>
      </c>
      <c r="BI17" s="33">
        <f>_xlfn.MAXIFS(I:I,X:X,"*Myot*")</f>
        <v>0.67541666666666667</v>
      </c>
      <c r="BJ17" s="34">
        <f>COUNTIF(X:X,"*otis sp F*")</f>
        <v>0</v>
      </c>
      <c r="BK17" s="35">
        <f>COUNTIF(X:X,"*otis sp S*")</f>
        <v>0</v>
      </c>
      <c r="BL17" s="36" t="s">
        <v>64</v>
      </c>
      <c r="BM17" s="37"/>
      <c r="BN17" s="68"/>
    </row>
    <row r="18" spans="1:78" ht="14" x14ac:dyDescent="0.25">
      <c r="A18" t="s">
        <v>176</v>
      </c>
      <c r="C18" t="s">
        <v>243</v>
      </c>
      <c r="D18" t="s">
        <v>178</v>
      </c>
      <c r="E18" s="1">
        <v>45862</v>
      </c>
      <c r="F18" s="2">
        <v>0.93538194444444445</v>
      </c>
      <c r="G18">
        <v>22</v>
      </c>
      <c r="H18" s="1">
        <v>45862</v>
      </c>
      <c r="I18" s="2">
        <v>0.43538194444444445</v>
      </c>
      <c r="J18">
        <v>10</v>
      </c>
      <c r="K18" t="s">
        <v>232</v>
      </c>
      <c r="L18" t="s">
        <v>233</v>
      </c>
      <c r="R18" t="s">
        <v>214</v>
      </c>
      <c r="S18">
        <v>29</v>
      </c>
      <c r="T18">
        <v>13</v>
      </c>
      <c r="U18" t="s">
        <v>244</v>
      </c>
      <c r="V18" t="s">
        <v>245</v>
      </c>
      <c r="W18">
        <v>1</v>
      </c>
      <c r="X18" t="s">
        <v>32</v>
      </c>
      <c r="AC18" t="s">
        <v>246</v>
      </c>
      <c r="AY18" s="69" t="s">
        <v>116</v>
      </c>
      <c r="AZ18" s="10" t="s">
        <v>117</v>
      </c>
      <c r="BA18" s="11" t="s">
        <v>118</v>
      </c>
      <c r="BB18" s="12"/>
      <c r="BC18" s="13">
        <f>COUNTIF(X:X,"*yctalus lei*")</f>
        <v>0</v>
      </c>
      <c r="BD18" s="14"/>
      <c r="BE18" s="15">
        <f>BC18/SUM(BD4,BD7,BD17,BD20,BD25,BD28,BD30,BD31,BD32)</f>
        <v>0</v>
      </c>
      <c r="BF18" s="16">
        <f>BE18*BB34/(AY33*AY34)</f>
        <v>0</v>
      </c>
      <c r="BG18" s="17">
        <f>BE18*BB34/(AY33*AY34*AY35)</f>
        <v>0</v>
      </c>
      <c r="BH18" s="18">
        <f>_xlfn.MINIFS(I:I,X:X,"*yctalus lei*")</f>
        <v>0</v>
      </c>
      <c r="BI18" s="18">
        <f>_xlfn.MAXIFS(I:I,X:X,"*yctalus lei*")</f>
        <v>0</v>
      </c>
      <c r="BJ18" s="19">
        <f>COUNTIF(X:X,"*leri F*")</f>
        <v>0</v>
      </c>
      <c r="BK18" s="20">
        <f>COUNTIF(X:X,"*leri S*")</f>
        <v>0</v>
      </c>
      <c r="BL18" s="40" t="s">
        <v>76</v>
      </c>
      <c r="BM18" s="41" t="s">
        <v>83</v>
      </c>
      <c r="BN18" s="70" t="s">
        <v>119</v>
      </c>
      <c r="BO18" t="s">
        <v>120</v>
      </c>
      <c r="BR18" t="s">
        <v>78</v>
      </c>
      <c r="BS18" t="s">
        <v>69</v>
      </c>
      <c r="BU18" t="s">
        <v>121</v>
      </c>
      <c r="BV18">
        <v>20.399999999999999</v>
      </c>
      <c r="BY18" t="s">
        <v>80</v>
      </c>
      <c r="BZ18" t="s">
        <v>80</v>
      </c>
    </row>
    <row r="19" spans="1:78" ht="14" x14ac:dyDescent="0.25">
      <c r="A19" t="s">
        <v>176</v>
      </c>
      <c r="C19" t="s">
        <v>247</v>
      </c>
      <c r="D19" t="s">
        <v>178</v>
      </c>
      <c r="E19" s="1">
        <v>45862</v>
      </c>
      <c r="F19" s="2">
        <v>0.95649305555555564</v>
      </c>
      <c r="G19">
        <v>22</v>
      </c>
      <c r="H19" s="1">
        <v>45862</v>
      </c>
      <c r="I19" s="2">
        <v>0.45649305555555553</v>
      </c>
      <c r="J19">
        <v>10</v>
      </c>
      <c r="K19" t="s">
        <v>233</v>
      </c>
      <c r="R19" t="s">
        <v>232</v>
      </c>
      <c r="S19">
        <v>20</v>
      </c>
      <c r="T19">
        <v>14</v>
      </c>
      <c r="U19" t="s">
        <v>248</v>
      </c>
      <c r="V19" t="s">
        <v>249</v>
      </c>
      <c r="W19">
        <v>1</v>
      </c>
      <c r="X19" t="s">
        <v>32</v>
      </c>
      <c r="AC19" t="s">
        <v>250</v>
      </c>
      <c r="AY19" s="71" t="s">
        <v>116</v>
      </c>
      <c r="AZ19" s="43" t="s">
        <v>122</v>
      </c>
      <c r="BA19" s="44" t="s">
        <v>29</v>
      </c>
      <c r="BB19" s="45"/>
      <c r="BC19" s="46">
        <f>COUNTIF(X:X,"*yctalus noc*")</f>
        <v>15</v>
      </c>
      <c r="BD19" s="47"/>
      <c r="BE19" s="48">
        <f>BC19/SUM(BD4,BD7,BD17,BD20,BD25,BD28,BD30,BD31,BD32)</f>
        <v>9.036144578313253E-2</v>
      </c>
      <c r="BF19" s="49">
        <f>BE19*BB34/(AY33*AY34)</f>
        <v>15</v>
      </c>
      <c r="BG19" s="50">
        <f>BE19*BB34/(AY33*AY34*AY35)</f>
        <v>1.875</v>
      </c>
      <c r="BH19" s="33">
        <f>_xlfn.MINIFS(I:I,X:X,"*yctalus noc*")</f>
        <v>0.4268055555555556</v>
      </c>
      <c r="BI19" s="33">
        <f>_xlfn.MAXIFS(I:I,X:X,"*yctalus noc*")</f>
        <v>0.64039351851851845</v>
      </c>
      <c r="BJ19" s="51">
        <f>COUNTIF(X:X,"*ctula F*")</f>
        <v>3</v>
      </c>
      <c r="BK19" s="52">
        <f>COUNTIF(X:X,"*ctula S*")</f>
        <v>2</v>
      </c>
      <c r="BL19" s="53" t="s">
        <v>76</v>
      </c>
      <c r="BM19" s="54" t="s">
        <v>77</v>
      </c>
      <c r="BN19" s="38" t="s">
        <v>100</v>
      </c>
      <c r="BR19" t="s">
        <v>78</v>
      </c>
      <c r="BS19" t="s">
        <v>69</v>
      </c>
      <c r="BU19" t="s">
        <v>86</v>
      </c>
      <c r="BV19">
        <v>20</v>
      </c>
      <c r="BY19" t="s">
        <v>80</v>
      </c>
      <c r="BZ19" t="s">
        <v>80</v>
      </c>
    </row>
    <row r="20" spans="1:78" ht="14" x14ac:dyDescent="0.25">
      <c r="A20" t="s">
        <v>176</v>
      </c>
      <c r="C20" t="s">
        <v>251</v>
      </c>
      <c r="D20" t="s">
        <v>178</v>
      </c>
      <c r="E20" s="1">
        <v>45863</v>
      </c>
      <c r="F20" s="2">
        <v>0.17541666666666667</v>
      </c>
      <c r="G20">
        <v>4</v>
      </c>
      <c r="H20" s="1">
        <v>45862</v>
      </c>
      <c r="I20" s="2">
        <v>0.67541666666666667</v>
      </c>
      <c r="J20">
        <v>16</v>
      </c>
      <c r="K20" t="s">
        <v>214</v>
      </c>
      <c r="L20" t="s">
        <v>216</v>
      </c>
      <c r="R20" t="s">
        <v>200</v>
      </c>
      <c r="S20">
        <v>2</v>
      </c>
      <c r="T20">
        <v>0</v>
      </c>
      <c r="U20">
        <v>0</v>
      </c>
      <c r="V20">
        <v>0</v>
      </c>
      <c r="W20">
        <v>1</v>
      </c>
      <c r="X20" t="s">
        <v>32</v>
      </c>
      <c r="AC20" t="s">
        <v>252</v>
      </c>
      <c r="AY20" s="72" t="s">
        <v>116</v>
      </c>
      <c r="AZ20" s="25"/>
      <c r="BA20" s="26"/>
      <c r="BB20" s="27" t="s">
        <v>123</v>
      </c>
      <c r="BC20" s="28"/>
      <c r="BD20" s="29">
        <f>COUNTIF(X:X,"*yctalu*")</f>
        <v>15</v>
      </c>
      <c r="BE20" s="30">
        <f>BD20/SUM(BD4,BD7,BD17,BD20,BD25,BD28,BD30,BD31,BD32)</f>
        <v>9.036144578313253E-2</v>
      </c>
      <c r="BF20" s="31">
        <f>BE20*BB34/(AY33*AY34)</f>
        <v>15</v>
      </c>
      <c r="BG20" s="32">
        <f>BE20*BB34/(AY33*AY34*AY35)</f>
        <v>1.875</v>
      </c>
      <c r="BH20" s="33">
        <f>_xlfn.MINIFS(I:I,X:X,"*yctalu*")</f>
        <v>0.4268055555555556</v>
      </c>
      <c r="BI20" s="33">
        <f>_xlfn.MAXIFS(I:I,X:X,"*yctalu*")</f>
        <v>0.64039351851851845</v>
      </c>
      <c r="BJ20" s="34">
        <f>COUNTIF(X:X,"*alus sp F*")</f>
        <v>0</v>
      </c>
      <c r="BK20" s="35">
        <f>COUNTIF(X:X,"*alus sp S*")</f>
        <v>0</v>
      </c>
      <c r="BL20" s="58" t="s">
        <v>76</v>
      </c>
      <c r="BM20" s="59" t="s">
        <v>77</v>
      </c>
      <c r="BN20" s="68"/>
    </row>
    <row r="21" spans="1:78" ht="14" x14ac:dyDescent="0.25">
      <c r="A21" t="s">
        <v>176</v>
      </c>
      <c r="C21" t="s">
        <v>253</v>
      </c>
      <c r="D21" t="s">
        <v>178</v>
      </c>
      <c r="E21" s="1">
        <v>45863</v>
      </c>
      <c r="F21" s="2">
        <v>9.9074074074074078E-2</v>
      </c>
      <c r="G21">
        <v>2</v>
      </c>
      <c r="H21" s="1">
        <v>45862</v>
      </c>
      <c r="I21" s="2">
        <v>0.59907407407407409</v>
      </c>
      <c r="J21">
        <v>14</v>
      </c>
      <c r="R21" t="s">
        <v>200</v>
      </c>
      <c r="S21">
        <v>17</v>
      </c>
      <c r="T21">
        <v>0</v>
      </c>
      <c r="U21">
        <v>0</v>
      </c>
      <c r="V21">
        <v>0</v>
      </c>
      <c r="W21">
        <v>1</v>
      </c>
      <c r="X21" t="s">
        <v>32</v>
      </c>
      <c r="AC21" t="s">
        <v>254</v>
      </c>
      <c r="AY21" s="39" t="s">
        <v>73</v>
      </c>
      <c r="AZ21" s="10" t="s">
        <v>124</v>
      </c>
      <c r="BA21" s="11" t="s">
        <v>125</v>
      </c>
      <c r="BB21" s="12"/>
      <c r="BC21" s="13">
        <f>COUNTIF(X:X,"*strellus kuh*")</f>
        <v>0</v>
      </c>
      <c r="BD21" s="14"/>
      <c r="BE21" s="15">
        <f>BC21/SUM(BD4,BD7,BD17,BD20,BD25,BD28,BD30,BD31,BD32)</f>
        <v>0</v>
      </c>
      <c r="BF21" s="16">
        <f>BE21*BB34/(AY33*AY34)</f>
        <v>0</v>
      </c>
      <c r="BG21" s="17">
        <f>BE21*BB34/(AY33*AY34*AY35)</f>
        <v>0</v>
      </c>
      <c r="BH21" s="18">
        <f>_xlfn.MINIFS(I:I,X:X,"*istrellus kuh*")</f>
        <v>0</v>
      </c>
      <c r="BI21" s="18">
        <f>_xlfn.MAXIFS(I:I,X:X,"*strellus kuh*")</f>
        <v>0</v>
      </c>
      <c r="BJ21" s="19">
        <f>COUNTIF(X:X,"*hlii F*")</f>
        <v>0</v>
      </c>
      <c r="BK21" s="20">
        <f>COUNTIF(X:X,"*hlii S*")</f>
        <v>0</v>
      </c>
      <c r="BL21" s="73" t="s">
        <v>126</v>
      </c>
      <c r="BM21" s="74" t="s">
        <v>83</v>
      </c>
      <c r="BN21" s="75"/>
      <c r="BO21" s="76"/>
      <c r="BY21" t="s">
        <v>127</v>
      </c>
      <c r="BZ21" t="s">
        <v>127</v>
      </c>
    </row>
    <row r="22" spans="1:78" ht="14" x14ac:dyDescent="0.25">
      <c r="A22" t="s">
        <v>176</v>
      </c>
      <c r="C22" t="s">
        <v>255</v>
      </c>
      <c r="D22" t="s">
        <v>178</v>
      </c>
      <c r="E22" s="1">
        <v>45863</v>
      </c>
      <c r="F22" s="2">
        <v>5.3333333333333337E-2</v>
      </c>
      <c r="G22">
        <v>1</v>
      </c>
      <c r="H22" s="1">
        <v>45862</v>
      </c>
      <c r="I22" s="2">
        <v>0.55333333333333334</v>
      </c>
      <c r="J22">
        <v>13</v>
      </c>
      <c r="R22" t="s">
        <v>200</v>
      </c>
      <c r="S22">
        <v>2</v>
      </c>
      <c r="T22">
        <v>0</v>
      </c>
      <c r="U22">
        <v>0</v>
      </c>
      <c r="V22">
        <v>0</v>
      </c>
      <c r="W22">
        <v>1</v>
      </c>
      <c r="X22" t="s">
        <v>32</v>
      </c>
      <c r="AC22" t="s">
        <v>256</v>
      </c>
      <c r="AY22" s="42" t="s">
        <v>73</v>
      </c>
      <c r="AZ22" s="43" t="s">
        <v>128</v>
      </c>
      <c r="BA22" s="44" t="s">
        <v>129</v>
      </c>
      <c r="BB22" s="45"/>
      <c r="BC22" s="46">
        <f>COUNTIF(X:X,"*strellus nat*")</f>
        <v>0</v>
      </c>
      <c r="BD22" s="47"/>
      <c r="BE22" s="48">
        <f>BC22/SUM(BD4,BD7,BD17,BD20,BD25,BD28,BD30,BD31,BD32)</f>
        <v>0</v>
      </c>
      <c r="BF22" s="49">
        <f>BE22*BB34/(AY33*AY34)</f>
        <v>0</v>
      </c>
      <c r="BG22" s="50">
        <f>BE22*BB34/(AY33*AY34*AY35)</f>
        <v>0</v>
      </c>
      <c r="BH22" s="33">
        <f>_xlfn.MINIFS(I:I,X:X,"*istrellus nat*")</f>
        <v>0</v>
      </c>
      <c r="BI22" s="33">
        <f>_xlfn.MAXIFS(I:I,X:X,"*strellus nat*")</f>
        <v>0</v>
      </c>
      <c r="BJ22" s="51">
        <f>COUNTIF(X:X,"*husii F*")</f>
        <v>0</v>
      </c>
      <c r="BK22" s="52">
        <f>COUNTIF(X:X,"*husii S*")</f>
        <v>0</v>
      </c>
      <c r="BL22" s="77" t="s">
        <v>126</v>
      </c>
      <c r="BM22" s="78" t="s">
        <v>76</v>
      </c>
      <c r="BN22" s="38" t="s">
        <v>100</v>
      </c>
      <c r="BR22" t="s">
        <v>78</v>
      </c>
      <c r="BS22" t="s">
        <v>69</v>
      </c>
      <c r="BU22" t="s">
        <v>86</v>
      </c>
      <c r="BV22">
        <v>20</v>
      </c>
      <c r="BY22" t="s">
        <v>80</v>
      </c>
      <c r="BZ22" t="s">
        <v>71</v>
      </c>
    </row>
    <row r="23" spans="1:78" ht="14" x14ac:dyDescent="0.25">
      <c r="A23" t="s">
        <v>176</v>
      </c>
      <c r="C23" t="s">
        <v>257</v>
      </c>
      <c r="D23" t="s">
        <v>178</v>
      </c>
      <c r="E23" s="1">
        <v>45862</v>
      </c>
      <c r="F23" s="2">
        <v>0.93495370370370379</v>
      </c>
      <c r="G23">
        <v>22</v>
      </c>
      <c r="H23" s="1">
        <v>45862</v>
      </c>
      <c r="I23" s="2">
        <v>0.43495370370370368</v>
      </c>
      <c r="J23">
        <v>10</v>
      </c>
      <c r="R23" t="s">
        <v>200</v>
      </c>
      <c r="S23">
        <v>2</v>
      </c>
      <c r="T23">
        <v>0</v>
      </c>
      <c r="U23">
        <v>0</v>
      </c>
      <c r="V23">
        <v>0</v>
      </c>
      <c r="W23">
        <v>1</v>
      </c>
      <c r="X23" t="s">
        <v>32</v>
      </c>
      <c r="AC23" t="s">
        <v>258</v>
      </c>
      <c r="AY23" s="42" t="s">
        <v>73</v>
      </c>
      <c r="AZ23" s="43" t="s">
        <v>130</v>
      </c>
      <c r="BA23" s="44" t="s">
        <v>131</v>
      </c>
      <c r="BB23" s="45"/>
      <c r="BC23" s="46">
        <f>COUNTIF(X:X,"*strellus pip*")</f>
        <v>0</v>
      </c>
      <c r="BD23" s="47"/>
      <c r="BE23" s="48">
        <f>BC23/SUM(BD4,BD7,BD17,BD20,BD25,BD28,BD30,BD31,BD32)</f>
        <v>0</v>
      </c>
      <c r="BF23" s="49">
        <f>BE23*BB34/(AY33*AY34)</f>
        <v>0</v>
      </c>
      <c r="BG23" s="50">
        <f>BE23*BB34/(AY33*AY34*AY35)</f>
        <v>0</v>
      </c>
      <c r="BH23" s="33">
        <f>_xlfn.MINIFS(I:I,X:X,"*istrellus pip*")</f>
        <v>0</v>
      </c>
      <c r="BI23" s="33">
        <f>_xlfn.MAXIFS(I:I,X:X,"*strellus pip*")</f>
        <v>0</v>
      </c>
      <c r="BJ23" s="51">
        <f>COUNTIF(X:X,"*strellus pipistrellus F*")</f>
        <v>0</v>
      </c>
      <c r="BK23" s="52">
        <f>COUNTIF(X:X,"*strellus pipistrellus S*")</f>
        <v>0</v>
      </c>
      <c r="BL23" s="53" t="s">
        <v>76</v>
      </c>
      <c r="BM23" s="78" t="s">
        <v>76</v>
      </c>
      <c r="BN23" s="70" t="s">
        <v>119</v>
      </c>
      <c r="BO23" t="s">
        <v>120</v>
      </c>
      <c r="BR23" t="s">
        <v>78</v>
      </c>
      <c r="BS23" t="s">
        <v>69</v>
      </c>
      <c r="BU23" t="s">
        <v>121</v>
      </c>
      <c r="BV23">
        <v>20.399999999999999</v>
      </c>
      <c r="BY23" t="s">
        <v>71</v>
      </c>
      <c r="BZ23" t="s">
        <v>71</v>
      </c>
    </row>
    <row r="24" spans="1:78" ht="14" x14ac:dyDescent="0.25">
      <c r="A24" t="s">
        <v>176</v>
      </c>
      <c r="C24" t="s">
        <v>259</v>
      </c>
      <c r="D24" t="s">
        <v>178</v>
      </c>
      <c r="E24" s="1">
        <v>45862</v>
      </c>
      <c r="F24" s="2">
        <v>0.93649305555555562</v>
      </c>
      <c r="G24">
        <v>22</v>
      </c>
      <c r="H24" s="1">
        <v>45862</v>
      </c>
      <c r="I24" s="2">
        <v>0.43649305555555556</v>
      </c>
      <c r="J24">
        <v>10</v>
      </c>
      <c r="R24" t="s">
        <v>200</v>
      </c>
      <c r="S24">
        <v>2</v>
      </c>
      <c r="T24">
        <v>0</v>
      </c>
      <c r="U24">
        <v>0</v>
      </c>
      <c r="V24">
        <v>0</v>
      </c>
      <c r="W24">
        <v>1</v>
      </c>
      <c r="X24" t="s">
        <v>32</v>
      </c>
      <c r="AC24" t="s">
        <v>260</v>
      </c>
      <c r="AY24" s="42" t="s">
        <v>73</v>
      </c>
      <c r="AZ24" s="43" t="s">
        <v>132</v>
      </c>
      <c r="BA24" s="44" t="s">
        <v>33</v>
      </c>
      <c r="BB24" s="45"/>
      <c r="BC24" s="46">
        <f>COUNTIF(X:X,"*strellus pyg*")</f>
        <v>5</v>
      </c>
      <c r="BD24" s="47"/>
      <c r="BE24" s="48">
        <f>BC24/SUM(BD4,BD7,BD17,BD20,BD25,BD28,BD30,BD31,BD32)</f>
        <v>3.0120481927710843E-2</v>
      </c>
      <c r="BF24" s="49">
        <f>BE24*BB34/(AY33*AY34)</f>
        <v>5</v>
      </c>
      <c r="BG24" s="50">
        <f>BE24*BB34/(AY33*AY34*AY35)</f>
        <v>0.625</v>
      </c>
      <c r="BH24" s="33">
        <f>_xlfn.MINIFS(I:I,X:X,"*istrellus pyg*")</f>
        <v>0.4384143518518519</v>
      </c>
      <c r="BI24" s="33">
        <f>_xlfn.MAXIFS(I:I,X:X,"*strellus pyg*")</f>
        <v>0.6350810185185185</v>
      </c>
      <c r="BJ24" s="51">
        <f>COUNTIF(X:X,"*gmaeus F*")</f>
        <v>0</v>
      </c>
      <c r="BK24" s="52">
        <f>COUNTIF(X:X,"*gmaeus S*")</f>
        <v>3</v>
      </c>
      <c r="BL24" s="77" t="s">
        <v>126</v>
      </c>
      <c r="BM24" s="78" t="s">
        <v>76</v>
      </c>
      <c r="BN24" s="38" t="s">
        <v>100</v>
      </c>
      <c r="BR24" t="s">
        <v>78</v>
      </c>
      <c r="BS24" t="s">
        <v>69</v>
      </c>
      <c r="BU24" t="s">
        <v>86</v>
      </c>
      <c r="BV24">
        <v>20</v>
      </c>
      <c r="BY24" t="s">
        <v>71</v>
      </c>
      <c r="BZ24" t="s">
        <v>71</v>
      </c>
    </row>
    <row r="25" spans="1:78" ht="14" x14ac:dyDescent="0.25">
      <c r="A25" t="s">
        <v>176</v>
      </c>
      <c r="C25" t="s">
        <v>261</v>
      </c>
      <c r="D25" t="s">
        <v>178</v>
      </c>
      <c r="E25" s="1">
        <v>45863</v>
      </c>
      <c r="F25" s="2">
        <v>0.16828703703703704</v>
      </c>
      <c r="G25">
        <v>4</v>
      </c>
      <c r="H25" s="1">
        <v>45862</v>
      </c>
      <c r="I25" s="2">
        <v>0.66828703703703696</v>
      </c>
      <c r="J25">
        <v>16</v>
      </c>
      <c r="R25" t="s">
        <v>179</v>
      </c>
      <c r="W25">
        <v>1</v>
      </c>
      <c r="X25" t="s">
        <v>32</v>
      </c>
      <c r="AC25" t="s">
        <v>262</v>
      </c>
      <c r="AY25" s="56" t="s">
        <v>73</v>
      </c>
      <c r="AZ25" s="25"/>
      <c r="BA25" s="26"/>
      <c r="BB25" s="27" t="s">
        <v>133</v>
      </c>
      <c r="BC25" s="28"/>
      <c r="BD25" s="29">
        <f>COUNTIF(X:X,"*istrellu*")</f>
        <v>5</v>
      </c>
      <c r="BE25" s="30">
        <f>BD25/SUM(BD4,BD7,BD17,BD20,BD25,BD28,BD30,BD31,BD32)</f>
        <v>3.0120481927710843E-2</v>
      </c>
      <c r="BF25" s="31">
        <f>BE25*BB34/(AY33*AY34)</f>
        <v>5</v>
      </c>
      <c r="BG25" s="32">
        <f>BE25*BB34/(AY33*AY34*AY35)</f>
        <v>0.625</v>
      </c>
      <c r="BH25" s="33">
        <f>_xlfn.MINIFS(I:I,X:X,"*istrellus*")</f>
        <v>0.4384143518518519</v>
      </c>
      <c r="BI25" s="33">
        <f>_xlfn.MAXIFS(I:I,X:X,"*strellus*")</f>
        <v>0.6350810185185185</v>
      </c>
      <c r="BJ25" s="34">
        <f>COUNTIF(X:X,"*ellus sp F*")</f>
        <v>0</v>
      </c>
      <c r="BK25" s="35">
        <f>COUNTIF(X:X,"*ellus sp S*")</f>
        <v>0</v>
      </c>
      <c r="BL25" s="79" t="s">
        <v>126</v>
      </c>
      <c r="BM25" s="80" t="s">
        <v>76</v>
      </c>
      <c r="BN25" s="68"/>
    </row>
    <row r="26" spans="1:78" ht="14" x14ac:dyDescent="0.25">
      <c r="A26" t="s">
        <v>176</v>
      </c>
      <c r="C26" t="s">
        <v>263</v>
      </c>
      <c r="D26" t="s">
        <v>178</v>
      </c>
      <c r="E26" s="1">
        <v>45863</v>
      </c>
      <c r="F26" s="2">
        <v>0.16752314814814814</v>
      </c>
      <c r="G26">
        <v>4</v>
      </c>
      <c r="H26" s="1">
        <v>45862</v>
      </c>
      <c r="I26" s="2">
        <v>0.66752314814814817</v>
      </c>
      <c r="J26">
        <v>16</v>
      </c>
      <c r="R26" t="s">
        <v>179</v>
      </c>
      <c r="W26">
        <v>1</v>
      </c>
      <c r="X26" t="s">
        <v>32</v>
      </c>
      <c r="AC26" t="s">
        <v>264</v>
      </c>
      <c r="AY26" s="9" t="s">
        <v>61</v>
      </c>
      <c r="AZ26" s="10" t="s">
        <v>134</v>
      </c>
      <c r="BA26" s="11" t="s">
        <v>135</v>
      </c>
      <c r="BB26" s="12"/>
      <c r="BC26" s="13">
        <f>COUNTIF(X:X,"*cotus aur*")</f>
        <v>1</v>
      </c>
      <c r="BD26" s="14"/>
      <c r="BE26" s="15">
        <f>BC26/SUM(BD4,BD7,BD17,BD20,BD25,BD28,BD30,BD31,BD32)</f>
        <v>6.024096385542169E-3</v>
      </c>
      <c r="BF26" s="16">
        <f>BE26*BB34/(AY33*AY34)</f>
        <v>1</v>
      </c>
      <c r="BG26" s="17">
        <f>BE26*BB34/(AY33*AY34*AY35)</f>
        <v>0.125</v>
      </c>
      <c r="BH26" s="18">
        <f>_xlfn.MINIFS(I:I,X:X,"*cotus aur*")</f>
        <v>0.62223379629629627</v>
      </c>
      <c r="BI26" s="18">
        <f>_xlfn.MAXIFS(I:I,X:X,"*cotus aur*")</f>
        <v>0.62223379629629627</v>
      </c>
      <c r="BJ26" s="19">
        <f>COUNTIF(X:X,"*ritus F*")</f>
        <v>0</v>
      </c>
      <c r="BK26" s="20">
        <f>COUNTIF(X:X,"*ritus S*")</f>
        <v>1</v>
      </c>
      <c r="BL26" s="81" t="s">
        <v>64</v>
      </c>
      <c r="BM26" s="22"/>
      <c r="BN26" s="23" t="s">
        <v>65</v>
      </c>
      <c r="BO26" t="s">
        <v>66</v>
      </c>
      <c r="BQ26" t="s">
        <v>67</v>
      </c>
      <c r="BR26" t="s">
        <v>78</v>
      </c>
      <c r="BS26" t="s">
        <v>69</v>
      </c>
      <c r="BU26" t="s">
        <v>136</v>
      </c>
      <c r="BV26">
        <v>20.25</v>
      </c>
      <c r="BY26" t="s">
        <v>71</v>
      </c>
      <c r="BZ26" t="s">
        <v>71</v>
      </c>
    </row>
    <row r="27" spans="1:78" ht="14" x14ac:dyDescent="0.25">
      <c r="A27" t="s">
        <v>176</v>
      </c>
      <c r="C27" t="s">
        <v>265</v>
      </c>
      <c r="D27" t="s">
        <v>178</v>
      </c>
      <c r="E27" s="1">
        <v>45863</v>
      </c>
      <c r="F27" s="2">
        <v>0.1713773148148148</v>
      </c>
      <c r="G27">
        <v>4</v>
      </c>
      <c r="H27" s="1">
        <v>45862</v>
      </c>
      <c r="I27" s="2">
        <v>0.67137731481481477</v>
      </c>
      <c r="J27">
        <v>16</v>
      </c>
      <c r="R27" t="s">
        <v>179</v>
      </c>
      <c r="W27">
        <v>1</v>
      </c>
      <c r="X27" t="s">
        <v>32</v>
      </c>
      <c r="AC27" t="s">
        <v>266</v>
      </c>
      <c r="AY27" s="62" t="s">
        <v>61</v>
      </c>
      <c r="AZ27" s="43" t="s">
        <v>137</v>
      </c>
      <c r="BA27" s="44" t="s">
        <v>138</v>
      </c>
      <c r="BB27" s="45"/>
      <c r="BC27" s="46">
        <f>COUNTIF(X:X,"*cotus aust*")</f>
        <v>0</v>
      </c>
      <c r="BD27" s="47"/>
      <c r="BE27" s="48">
        <f>BC27/SUM(BD4,BD7,BD17,BD20,BD25,BD28,BD30,BD31,BD32)</f>
        <v>0</v>
      </c>
      <c r="BF27" s="49">
        <f>BE27*BB34/(AY33*AY34)</f>
        <v>0</v>
      </c>
      <c r="BG27" s="50">
        <f>BE27*BB34/(AY33*AY34*AY35)</f>
        <v>0</v>
      </c>
      <c r="BH27" s="33">
        <f>_xlfn.MINIFS(I:I,X:X,"*cotus aus*")</f>
        <v>0</v>
      </c>
      <c r="BI27" s="33">
        <f>_xlfn.MAXIFS(I:I,X:X,"*cotus aus*")</f>
        <v>0</v>
      </c>
      <c r="BJ27" s="51">
        <f>COUNTIF(X:X,"*iacus F*")</f>
        <v>0</v>
      </c>
      <c r="BK27" s="52">
        <f>COUNTIF(X:X,"*iacus S*")</f>
        <v>0</v>
      </c>
      <c r="BL27" s="82" t="s">
        <v>64</v>
      </c>
      <c r="BM27" s="64"/>
      <c r="BN27" s="83" t="s">
        <v>139</v>
      </c>
      <c r="BO27" t="s">
        <v>140</v>
      </c>
      <c r="BR27" t="s">
        <v>78</v>
      </c>
      <c r="BS27" t="s">
        <v>69</v>
      </c>
      <c r="BU27" t="s">
        <v>141</v>
      </c>
      <c r="BV27">
        <v>20.8</v>
      </c>
      <c r="BY27" t="s">
        <v>71</v>
      </c>
      <c r="BZ27" t="s">
        <v>93</v>
      </c>
    </row>
    <row r="28" spans="1:78" ht="14" x14ac:dyDescent="0.25">
      <c r="A28" t="s">
        <v>176</v>
      </c>
      <c r="C28" t="s">
        <v>267</v>
      </c>
      <c r="D28" t="s">
        <v>178</v>
      </c>
      <c r="E28" s="1">
        <v>45863</v>
      </c>
      <c r="F28" s="2">
        <v>0.17462962962962961</v>
      </c>
      <c r="G28">
        <v>4</v>
      </c>
      <c r="H28" s="1">
        <v>45862</v>
      </c>
      <c r="I28" s="2">
        <v>0.67462962962962969</v>
      </c>
      <c r="J28">
        <v>16</v>
      </c>
      <c r="R28" t="s">
        <v>179</v>
      </c>
      <c r="W28">
        <v>1</v>
      </c>
      <c r="X28" t="s">
        <v>32</v>
      </c>
      <c r="AC28" t="s">
        <v>268</v>
      </c>
      <c r="AY28" s="24" t="s">
        <v>61</v>
      </c>
      <c r="AZ28" s="25"/>
      <c r="BA28" s="26"/>
      <c r="BB28" s="27" t="s">
        <v>142</v>
      </c>
      <c r="BC28" s="28"/>
      <c r="BD28" s="29">
        <f>COUNTIF(X:X,"*lecotu*")</f>
        <v>1</v>
      </c>
      <c r="BE28" s="30">
        <f>BD28/SUM(BD4,BD7,BD17,BD20,BD25,BD28,BD30,BD31,BD32)</f>
        <v>6.024096385542169E-3</v>
      </c>
      <c r="BF28" s="31">
        <f>BE28*BB34/(AY33*AY34)</f>
        <v>1</v>
      </c>
      <c r="BG28" s="32">
        <f>BE28*BB34/(AY33*AY34*AY35)</f>
        <v>0.125</v>
      </c>
      <c r="BH28" s="33">
        <f>_xlfn.MINIFS(I:I,X:X,"*cotus*")</f>
        <v>0.62223379629629627</v>
      </c>
      <c r="BI28" s="33">
        <f>_xlfn.MAXIFS(I:I,X:X,"*cotus*")</f>
        <v>0.62223379629629627</v>
      </c>
      <c r="BJ28" s="34">
        <f>COUNTIF(X:X,"*ecotus sp F*")</f>
        <v>0</v>
      </c>
      <c r="BK28" s="35">
        <f>COUNTIF(X:X,"*ecotus sp S*")</f>
        <v>0</v>
      </c>
      <c r="BL28" s="84" t="s">
        <v>64</v>
      </c>
      <c r="BM28" s="37"/>
      <c r="BN28" s="68"/>
    </row>
    <row r="29" spans="1:78" ht="14" x14ac:dyDescent="0.25">
      <c r="A29" t="s">
        <v>176</v>
      </c>
      <c r="C29" t="s">
        <v>269</v>
      </c>
      <c r="D29" t="s">
        <v>178</v>
      </c>
      <c r="E29" s="1">
        <v>45863</v>
      </c>
      <c r="F29" s="2">
        <v>0.17357638888888891</v>
      </c>
      <c r="G29">
        <v>4</v>
      </c>
      <c r="H29" s="1">
        <v>45862</v>
      </c>
      <c r="I29" s="2">
        <v>0.67357638888888882</v>
      </c>
      <c r="J29">
        <v>16</v>
      </c>
      <c r="R29" t="s">
        <v>179</v>
      </c>
      <c r="W29">
        <v>1</v>
      </c>
      <c r="X29" t="s">
        <v>32</v>
      </c>
      <c r="AC29" t="s">
        <v>270</v>
      </c>
      <c r="AY29" s="69" t="s">
        <v>116</v>
      </c>
      <c r="AZ29" s="10" t="s">
        <v>143</v>
      </c>
      <c r="BA29" s="11" t="s">
        <v>144</v>
      </c>
      <c r="BB29" s="12"/>
      <c r="BC29" s="13">
        <f>COUNTIF(X:X,"*tilio mur*")</f>
        <v>6</v>
      </c>
      <c r="BD29" s="14"/>
      <c r="BE29" s="15">
        <f>BC29/SUM(BD4,BD7,BD17,BD20,BD25,BD28,BD30,BD31,BD32)</f>
        <v>3.614457831325301E-2</v>
      </c>
      <c r="BF29" s="16">
        <f>BE29*BB34/(AY33*AY34)</f>
        <v>6</v>
      </c>
      <c r="BG29" s="17">
        <f>BE29*BB34/(AY33*AY34*AY35)</f>
        <v>0.75</v>
      </c>
      <c r="BH29" s="18">
        <f>_xlfn.MINIFS(I:I,X:X,"*tilio mur*")</f>
        <v>0.56193287037037043</v>
      </c>
      <c r="BI29" s="18">
        <f>_xlfn.MAXIFS(I:I,X:X,"*tilio mur*")</f>
        <v>0.63440972222222225</v>
      </c>
      <c r="BJ29" s="19">
        <f>COUNTIF(X:X,"*rinus F*")</f>
        <v>0</v>
      </c>
      <c r="BK29" s="20">
        <f>COUNTIF(X:X,"*rinus S*")</f>
        <v>0</v>
      </c>
      <c r="BL29" s="73" t="s">
        <v>126</v>
      </c>
      <c r="BM29" s="41" t="s">
        <v>77</v>
      </c>
      <c r="BN29" s="75" t="s">
        <v>100</v>
      </c>
      <c r="BR29" t="s">
        <v>78</v>
      </c>
      <c r="BS29" t="s">
        <v>69</v>
      </c>
      <c r="BU29" t="s">
        <v>86</v>
      </c>
      <c r="BV29">
        <v>20</v>
      </c>
      <c r="BY29" t="s">
        <v>80</v>
      </c>
      <c r="BZ29" t="s">
        <v>80</v>
      </c>
    </row>
    <row r="30" spans="1:78" ht="14" x14ac:dyDescent="0.25">
      <c r="A30" t="s">
        <v>176</v>
      </c>
      <c r="C30" t="s">
        <v>271</v>
      </c>
      <c r="D30" t="s">
        <v>178</v>
      </c>
      <c r="E30" s="1">
        <v>45863</v>
      </c>
      <c r="F30" s="2">
        <v>0.17188657407407407</v>
      </c>
      <c r="G30">
        <v>4</v>
      </c>
      <c r="H30" s="1">
        <v>45862</v>
      </c>
      <c r="I30" s="2">
        <v>0.67188657407407415</v>
      </c>
      <c r="J30">
        <v>16</v>
      </c>
      <c r="R30" t="s">
        <v>179</v>
      </c>
      <c r="W30">
        <v>1</v>
      </c>
      <c r="X30" t="s">
        <v>32</v>
      </c>
      <c r="AC30" t="s">
        <v>272</v>
      </c>
      <c r="AY30" s="71" t="s">
        <v>116</v>
      </c>
      <c r="AZ30" s="43"/>
      <c r="BA30" s="44"/>
      <c r="BB30" s="45" t="s">
        <v>145</v>
      </c>
      <c r="BC30" s="46"/>
      <c r="BD30" s="47">
        <f>COUNTIF(X:X,"*spertil*")</f>
        <v>6</v>
      </c>
      <c r="BE30" s="30">
        <f>BD30/SUM(BD4,BD7,BD17,BD20,BD25,BD28,BD30,BD31,BD32)</f>
        <v>3.614457831325301E-2</v>
      </c>
      <c r="BF30" s="31">
        <f>BE30*BB34/(AY33*AY34)</f>
        <v>6</v>
      </c>
      <c r="BG30" s="32">
        <f>BE30*BB34/(AY33*AY34*AY35)</f>
        <v>0.75</v>
      </c>
      <c r="BH30" s="57">
        <f>_xlfn.MINIFS(I:I,X:X,"*tilio*")</f>
        <v>0.56193287037037043</v>
      </c>
      <c r="BI30" s="57">
        <f>_xlfn.MAXIFS(I:I,X:X,"*tilio*")</f>
        <v>0.63440972222222225</v>
      </c>
      <c r="BJ30" s="34">
        <f>COUNTIF(X:X,"*tilio sp F*")</f>
        <v>0</v>
      </c>
      <c r="BK30" s="35">
        <f>COUNTIF(X:X,"*tilio sp S*")</f>
        <v>0</v>
      </c>
      <c r="BL30" s="79" t="s">
        <v>126</v>
      </c>
      <c r="BM30" s="59" t="s">
        <v>77</v>
      </c>
      <c r="BN30" s="68"/>
    </row>
    <row r="31" spans="1:78" ht="14" x14ac:dyDescent="0.25">
      <c r="A31" t="s">
        <v>176</v>
      </c>
      <c r="C31" t="s">
        <v>273</v>
      </c>
      <c r="D31" t="s">
        <v>178</v>
      </c>
      <c r="E31" s="1">
        <v>45863</v>
      </c>
      <c r="F31" s="2">
        <v>0.17472222222222222</v>
      </c>
      <c r="G31">
        <v>4</v>
      </c>
      <c r="H31" s="1">
        <v>45862</v>
      </c>
      <c r="I31" s="2">
        <v>0.67472222222222211</v>
      </c>
      <c r="J31">
        <v>16</v>
      </c>
      <c r="R31" t="s">
        <v>179</v>
      </c>
      <c r="W31">
        <v>1</v>
      </c>
      <c r="X31" t="s">
        <v>32</v>
      </c>
      <c r="AC31" t="s">
        <v>274</v>
      </c>
      <c r="AY31" s="85" t="s">
        <v>116</v>
      </c>
      <c r="AZ31" s="86" t="s">
        <v>146</v>
      </c>
      <c r="BA31" s="87" t="s">
        <v>147</v>
      </c>
      <c r="BB31" s="88" t="s">
        <v>148</v>
      </c>
      <c r="BC31" s="89"/>
      <c r="BD31" s="89">
        <f>COUNTIF(X:X,"*taloi*")</f>
        <v>1</v>
      </c>
      <c r="BE31" s="90">
        <f>BD31/SUM(BD4,BD7,BD17,BD20,BD25,BD28,BD30,BD31,BD32)</f>
        <v>6.024096385542169E-3</v>
      </c>
      <c r="BF31" s="91">
        <f>BE31*BB34/(AY33*AY34)</f>
        <v>1</v>
      </c>
      <c r="BG31" s="91">
        <f>BE31*BB34/(AY33*AY34*AY35)</f>
        <v>0.125</v>
      </c>
      <c r="BH31" s="57">
        <f>_xlfn.MINIFS(I:I,X:X,"*yctalo*")</f>
        <v>0.64047453703703705</v>
      </c>
      <c r="BI31" s="57">
        <f>_xlfn.MAXIFS(I:I,X:X,"*yctalo*")</f>
        <v>0.64047453703703705</v>
      </c>
      <c r="BJ31" s="92">
        <f>COUNTIF(X:X,"*aloid F*")</f>
        <v>0</v>
      </c>
      <c r="BK31" s="35">
        <f>COUNTIF(X:X,"*aloid S*")</f>
        <v>0</v>
      </c>
      <c r="BL31" s="93" t="s">
        <v>149</v>
      </c>
      <c r="BM31" s="94" t="s">
        <v>77</v>
      </c>
      <c r="BN31" s="75"/>
      <c r="BY31" t="s">
        <v>127</v>
      </c>
      <c r="BZ31" t="s">
        <v>127</v>
      </c>
    </row>
    <row r="32" spans="1:78" ht="14" x14ac:dyDescent="0.25">
      <c r="A32" t="s">
        <v>176</v>
      </c>
      <c r="C32" t="s">
        <v>275</v>
      </c>
      <c r="D32" t="s">
        <v>178</v>
      </c>
      <c r="E32" s="1">
        <v>45863</v>
      </c>
      <c r="F32" s="2">
        <v>0.12501157407407407</v>
      </c>
      <c r="G32">
        <v>3</v>
      </c>
      <c r="H32" s="1">
        <v>45862</v>
      </c>
      <c r="I32" s="2">
        <v>0.62501157407407404</v>
      </c>
      <c r="J32">
        <v>15</v>
      </c>
      <c r="R32" t="s">
        <v>179</v>
      </c>
      <c r="W32">
        <v>1</v>
      </c>
      <c r="X32" t="s">
        <v>32</v>
      </c>
      <c r="AC32" t="s">
        <v>276</v>
      </c>
      <c r="AY32" s="95" t="s">
        <v>149</v>
      </c>
      <c r="AZ32" s="43" t="s">
        <v>150</v>
      </c>
      <c r="BA32" s="96"/>
      <c r="BB32" s="45" t="s">
        <v>31</v>
      </c>
      <c r="BC32" s="46"/>
      <c r="BD32" s="46">
        <f>COUNTIF(X:X,"*optera*")</f>
        <v>1</v>
      </c>
      <c r="BE32" s="90">
        <f>BD32/SUM(BD4,BD7,BD17,BD20,BD25,BD28,BD30,BD31,BD32)</f>
        <v>6.024096385542169E-3</v>
      </c>
      <c r="BF32" s="91">
        <f>BE32*BB34/(AY33*AY34)</f>
        <v>1</v>
      </c>
      <c r="BG32" s="91">
        <f>BE32*BB34/(AY33*AY34*AY35)</f>
        <v>0.125</v>
      </c>
      <c r="BH32" s="97">
        <f>_xlfn.MINIFS(I:I,X:X,"*iropt*")</f>
        <v>0.45667824074074076</v>
      </c>
      <c r="BI32" s="97">
        <f>_xlfn.MAXIFS(I:I,X:X,"*iropt*")</f>
        <v>0.45667824074074076</v>
      </c>
      <c r="BJ32" s="98">
        <f>COUNTIF(X:X,"*ptera F*")</f>
        <v>0</v>
      </c>
      <c r="BK32" s="52">
        <f>COUNTIF(X:X,"*ptera S*")</f>
        <v>0</v>
      </c>
      <c r="BL32" s="99" t="s">
        <v>149</v>
      </c>
      <c r="BM32" s="95" t="s">
        <v>149</v>
      </c>
      <c r="BN32" s="68"/>
    </row>
    <row r="33" spans="1:71" x14ac:dyDescent="0.25">
      <c r="A33" t="s">
        <v>176</v>
      </c>
      <c r="C33" t="s">
        <v>277</v>
      </c>
      <c r="D33" t="s">
        <v>178</v>
      </c>
      <c r="E33" s="1">
        <v>45863</v>
      </c>
      <c r="F33" s="2">
        <v>0.12569444444444444</v>
      </c>
      <c r="G33">
        <v>3</v>
      </c>
      <c r="H33" s="1">
        <v>45862</v>
      </c>
      <c r="I33" s="2">
        <v>0.62569444444444444</v>
      </c>
      <c r="J33">
        <v>15</v>
      </c>
      <c r="R33" t="s">
        <v>179</v>
      </c>
      <c r="W33">
        <v>1</v>
      </c>
      <c r="X33" t="s">
        <v>32</v>
      </c>
      <c r="AC33" t="s">
        <v>278</v>
      </c>
      <c r="AY33" s="100">
        <v>1</v>
      </c>
      <c r="AZ33" s="101" t="s">
        <v>151</v>
      </c>
      <c r="BA33" s="101" t="s">
        <v>152</v>
      </c>
      <c r="BB33" s="101">
        <f>COUNTIF(W:W,"1")</f>
        <v>269</v>
      </c>
      <c r="BC33" s="102"/>
      <c r="BD33" s="103"/>
      <c r="BE33" s="104"/>
      <c r="BF33" s="104"/>
      <c r="BG33" s="104"/>
      <c r="BH33" s="104"/>
      <c r="BI33" s="104"/>
      <c r="BJ33" s="105"/>
      <c r="BK33" s="105"/>
      <c r="BL33" s="106"/>
      <c r="BM33" s="107"/>
      <c r="BN33" s="107"/>
      <c r="BO33" s="108" t="s">
        <v>47</v>
      </c>
      <c r="BP33" s="108" t="s">
        <v>153</v>
      </c>
      <c r="BQ33" s="108"/>
      <c r="BR33" s="108" t="s">
        <v>48</v>
      </c>
      <c r="BS33" s="108" t="s">
        <v>154</v>
      </c>
    </row>
    <row r="34" spans="1:71" x14ac:dyDescent="0.25">
      <c r="A34" t="s">
        <v>176</v>
      </c>
      <c r="C34" t="s">
        <v>279</v>
      </c>
      <c r="D34" t="s">
        <v>178</v>
      </c>
      <c r="E34" s="1">
        <v>45863</v>
      </c>
      <c r="F34" s="2">
        <v>0.13050925925925924</v>
      </c>
      <c r="G34">
        <v>3</v>
      </c>
      <c r="H34" s="1">
        <v>45862</v>
      </c>
      <c r="I34" s="2">
        <v>0.63050925925925927</v>
      </c>
      <c r="J34">
        <v>15</v>
      </c>
      <c r="R34" t="s">
        <v>179</v>
      </c>
      <c r="W34">
        <v>1</v>
      </c>
      <c r="X34" t="s">
        <v>32</v>
      </c>
      <c r="AC34" t="s">
        <v>280</v>
      </c>
      <c r="AY34" s="109">
        <v>1</v>
      </c>
      <c r="AZ34" s="110" t="s">
        <v>155</v>
      </c>
      <c r="BA34" s="110" t="s">
        <v>156</v>
      </c>
      <c r="BB34" s="110">
        <f>SUM(BD4,BD7,BD17,BD20,BD25,BD28,BD30,BD31,BD32)</f>
        <v>166</v>
      </c>
      <c r="BC34" s="111"/>
      <c r="BD34" s="112"/>
      <c r="BE34" s="112"/>
      <c r="BF34" s="113">
        <f>BB34/(AY33*AY34)</f>
        <v>166</v>
      </c>
      <c r="BG34" s="113">
        <f>BB34/(AY33*AY34*AY35)</f>
        <v>20.75</v>
      </c>
      <c r="BH34" s="112"/>
      <c r="BI34" s="112"/>
      <c r="BJ34" s="112">
        <f>COUNTIF(X:X,"*FOD*")</f>
        <v>41</v>
      </c>
      <c r="BK34" s="112">
        <f>COUNTIF(X:X,"*SOC*")</f>
        <v>13</v>
      </c>
      <c r="BL34" s="114"/>
      <c r="BM34" s="115"/>
      <c r="BN34" s="115"/>
      <c r="BO34" t="s">
        <v>157</v>
      </c>
      <c r="BP34">
        <f>SUM(BD4,BD17,BD28)</f>
        <v>130</v>
      </c>
      <c r="BR34" t="s">
        <v>158</v>
      </c>
      <c r="BS34" s="116">
        <f>SUM(BD25)</f>
        <v>5</v>
      </c>
    </row>
    <row r="35" spans="1:71" ht="13" x14ac:dyDescent="0.25">
      <c r="A35" t="s">
        <v>176</v>
      </c>
      <c r="C35" t="s">
        <v>281</v>
      </c>
      <c r="D35" t="s">
        <v>178</v>
      </c>
      <c r="E35" s="1">
        <v>45863</v>
      </c>
      <c r="F35" s="2">
        <v>0.13925925925925928</v>
      </c>
      <c r="G35">
        <v>3</v>
      </c>
      <c r="H35" s="1">
        <v>45862</v>
      </c>
      <c r="I35" s="2">
        <v>0.6392592592592593</v>
      </c>
      <c r="J35">
        <v>15</v>
      </c>
      <c r="R35" t="s">
        <v>179</v>
      </c>
      <c r="W35">
        <v>1</v>
      </c>
      <c r="X35" t="s">
        <v>32</v>
      </c>
      <c r="AC35" t="s">
        <v>282</v>
      </c>
      <c r="AY35" s="109">
        <v>8</v>
      </c>
      <c r="AZ35" s="110" t="s">
        <v>159</v>
      </c>
      <c r="BA35" s="117"/>
      <c r="BB35" s="118"/>
      <c r="BC35" s="110"/>
      <c r="BD35" s="119"/>
      <c r="BE35" s="120"/>
      <c r="BF35" s="120" t="s">
        <v>160</v>
      </c>
      <c r="BG35" s="120" t="s">
        <v>161</v>
      </c>
      <c r="BH35" s="120"/>
      <c r="BI35" s="120"/>
      <c r="BJ35" s="120" t="s">
        <v>162</v>
      </c>
      <c r="BK35" s="120" t="s">
        <v>163</v>
      </c>
      <c r="BL35" s="114"/>
      <c r="BM35" s="115"/>
      <c r="BN35" s="115"/>
      <c r="BO35" t="s">
        <v>164</v>
      </c>
      <c r="BP35">
        <f>SUM(BC21:BC22,BC24,BD30)</f>
        <v>11</v>
      </c>
      <c r="BR35" t="s">
        <v>165</v>
      </c>
      <c r="BS35" s="116">
        <f>SUM(BD7,BD20,BD30,BD31)</f>
        <v>30</v>
      </c>
    </row>
    <row r="36" spans="1:71" x14ac:dyDescent="0.25">
      <c r="A36" t="s">
        <v>176</v>
      </c>
      <c r="C36" t="s">
        <v>283</v>
      </c>
      <c r="D36" t="s">
        <v>178</v>
      </c>
      <c r="E36" s="1">
        <v>45863</v>
      </c>
      <c r="F36" s="2">
        <v>0.14746527777777776</v>
      </c>
      <c r="G36">
        <v>3</v>
      </c>
      <c r="H36" s="1">
        <v>45862</v>
      </c>
      <c r="I36" s="2">
        <v>0.64746527777777774</v>
      </c>
      <c r="J36">
        <v>15</v>
      </c>
      <c r="R36" t="s">
        <v>179</v>
      </c>
      <c r="W36">
        <v>1</v>
      </c>
      <c r="X36" t="s">
        <v>32</v>
      </c>
      <c r="AC36" t="s">
        <v>284</v>
      </c>
      <c r="AY36" s="131" t="s">
        <v>166</v>
      </c>
      <c r="AZ36" s="132"/>
      <c r="BA36" s="132"/>
      <c r="BB36" s="132"/>
      <c r="BC36" s="132"/>
      <c r="BD36" s="132"/>
      <c r="BE36" s="132"/>
      <c r="BF36" s="132"/>
      <c r="BG36" s="132"/>
      <c r="BH36" s="132"/>
      <c r="BI36" s="132"/>
      <c r="BJ36" s="132"/>
      <c r="BK36" s="132"/>
      <c r="BL36" s="133"/>
      <c r="BM36" s="22"/>
      <c r="BN36" s="22"/>
      <c r="BO36" t="s">
        <v>167</v>
      </c>
      <c r="BP36">
        <f>SUM(BD7,BD20,BC23)</f>
        <v>23</v>
      </c>
      <c r="BR36" t="s">
        <v>168</v>
      </c>
      <c r="BS36" s="116">
        <f>SUM(BD31:BD32,BD28,BD17,BD4)</f>
        <v>132</v>
      </c>
    </row>
    <row r="37" spans="1:71" x14ac:dyDescent="0.25">
      <c r="A37" t="s">
        <v>176</v>
      </c>
      <c r="C37" t="s">
        <v>285</v>
      </c>
      <c r="D37" t="s">
        <v>178</v>
      </c>
      <c r="E37" s="1">
        <v>45863</v>
      </c>
      <c r="F37" s="2">
        <v>9.571759259259259E-2</v>
      </c>
      <c r="G37">
        <v>2</v>
      </c>
      <c r="H37" s="1">
        <v>45862</v>
      </c>
      <c r="I37" s="2">
        <v>0.5957175925925926</v>
      </c>
      <c r="J37">
        <v>14</v>
      </c>
      <c r="R37" t="s">
        <v>179</v>
      </c>
      <c r="W37">
        <v>1</v>
      </c>
      <c r="X37" t="s">
        <v>32</v>
      </c>
      <c r="AC37" t="s">
        <v>286</v>
      </c>
      <c r="AY37" s="134" t="s">
        <v>169</v>
      </c>
      <c r="AZ37" s="135"/>
      <c r="BA37" s="135"/>
      <c r="BB37" s="135"/>
      <c r="BC37" s="135"/>
      <c r="BD37" s="135"/>
      <c r="BE37" s="135"/>
      <c r="BF37" s="135"/>
      <c r="BG37" s="135"/>
      <c r="BH37" s="135"/>
      <c r="BI37" s="135"/>
      <c r="BJ37" s="135"/>
      <c r="BK37" s="135"/>
      <c r="BL37" s="136"/>
      <c r="BM37" s="64"/>
      <c r="BN37" s="64"/>
      <c r="BO37" t="s">
        <v>170</v>
      </c>
      <c r="BP37">
        <f>SUM(BD31:BD32)</f>
        <v>2</v>
      </c>
      <c r="BS37" s="116"/>
    </row>
    <row r="38" spans="1:71" x14ac:dyDescent="0.25">
      <c r="A38" t="s">
        <v>176</v>
      </c>
      <c r="C38" t="s">
        <v>287</v>
      </c>
      <c r="D38" t="s">
        <v>178</v>
      </c>
      <c r="E38" s="1">
        <v>45863</v>
      </c>
      <c r="F38" s="2">
        <v>0.10432870370370372</v>
      </c>
      <c r="G38">
        <v>2</v>
      </c>
      <c r="H38" s="1">
        <v>45862</v>
      </c>
      <c r="I38" s="2">
        <v>0.60432870370370373</v>
      </c>
      <c r="J38">
        <v>14</v>
      </c>
      <c r="R38" t="s">
        <v>179</v>
      </c>
      <c r="W38">
        <v>1</v>
      </c>
      <c r="X38" t="s">
        <v>32</v>
      </c>
      <c r="AC38" t="s">
        <v>288</v>
      </c>
      <c r="AY38" s="134" t="s">
        <v>171</v>
      </c>
      <c r="AZ38" s="137"/>
      <c r="BA38" s="137"/>
      <c r="BB38" s="137"/>
      <c r="BC38" s="137"/>
      <c r="BD38" s="137"/>
      <c r="BE38" s="137"/>
      <c r="BF38" s="137"/>
      <c r="BG38" s="137"/>
      <c r="BH38" s="137"/>
      <c r="BI38" s="137"/>
      <c r="BJ38" s="137"/>
      <c r="BK38" s="137"/>
      <c r="BL38" s="130"/>
      <c r="BM38" s="64"/>
      <c r="BN38" s="64"/>
      <c r="BS38" s="116"/>
    </row>
    <row r="39" spans="1:71" x14ac:dyDescent="0.25">
      <c r="A39" t="s">
        <v>176</v>
      </c>
      <c r="C39" t="s">
        <v>289</v>
      </c>
      <c r="D39" t="s">
        <v>178</v>
      </c>
      <c r="E39" s="1">
        <v>45863</v>
      </c>
      <c r="F39" s="2">
        <v>0.10585648148148148</v>
      </c>
      <c r="G39">
        <v>2</v>
      </c>
      <c r="H39" s="1">
        <v>45862</v>
      </c>
      <c r="I39" s="2">
        <v>0.60585648148148141</v>
      </c>
      <c r="J39">
        <v>14</v>
      </c>
      <c r="R39" t="s">
        <v>179</v>
      </c>
      <c r="W39">
        <v>1</v>
      </c>
      <c r="X39" t="s">
        <v>32</v>
      </c>
      <c r="AC39" t="s">
        <v>290</v>
      </c>
      <c r="AY39" s="134" t="s">
        <v>172</v>
      </c>
      <c r="AZ39" s="135"/>
      <c r="BA39" s="135"/>
      <c r="BB39" s="135"/>
      <c r="BC39" s="135"/>
      <c r="BD39" s="135"/>
      <c r="BE39" s="135"/>
      <c r="BF39" s="135"/>
      <c r="BG39" s="135"/>
      <c r="BH39" s="135"/>
      <c r="BI39" s="135"/>
      <c r="BJ39" s="135"/>
      <c r="BK39" s="135"/>
      <c r="BL39" s="136"/>
      <c r="BM39" s="64"/>
      <c r="BN39" s="64"/>
      <c r="BS39" s="116"/>
    </row>
    <row r="40" spans="1:71" x14ac:dyDescent="0.25">
      <c r="A40" t="s">
        <v>176</v>
      </c>
      <c r="C40" t="s">
        <v>291</v>
      </c>
      <c r="D40" t="s">
        <v>178</v>
      </c>
      <c r="E40" s="1">
        <v>45863</v>
      </c>
      <c r="F40" s="2">
        <v>0.12386574074074075</v>
      </c>
      <c r="G40">
        <v>2</v>
      </c>
      <c r="H40" s="1">
        <v>45862</v>
      </c>
      <c r="I40" s="2">
        <v>0.62386574074074075</v>
      </c>
      <c r="J40">
        <v>14</v>
      </c>
      <c r="R40" t="s">
        <v>179</v>
      </c>
      <c r="W40">
        <v>1</v>
      </c>
      <c r="X40" t="s">
        <v>32</v>
      </c>
      <c r="AC40" t="s">
        <v>292</v>
      </c>
      <c r="AY40" s="134" t="s">
        <v>173</v>
      </c>
      <c r="AZ40" s="135"/>
      <c r="BA40" s="135"/>
      <c r="BB40" s="135"/>
      <c r="BC40" s="135"/>
      <c r="BD40" s="135"/>
      <c r="BE40" s="135"/>
      <c r="BF40" s="135"/>
      <c r="BG40" s="135"/>
      <c r="BH40" s="135"/>
      <c r="BI40" s="135"/>
      <c r="BJ40" s="135"/>
      <c r="BK40" s="135"/>
      <c r="BL40" s="136"/>
      <c r="BM40" s="64"/>
      <c r="BN40" s="64"/>
      <c r="BO40" s="121"/>
      <c r="BP40" s="121"/>
      <c r="BQ40" s="121"/>
      <c r="BR40" s="121"/>
      <c r="BS40" s="122"/>
    </row>
    <row r="41" spans="1:71" ht="13" x14ac:dyDescent="0.3">
      <c r="A41" t="s">
        <v>176</v>
      </c>
      <c r="C41" t="s">
        <v>293</v>
      </c>
      <c r="D41" t="s">
        <v>178</v>
      </c>
      <c r="E41" s="1">
        <v>45863</v>
      </c>
      <c r="F41" s="2">
        <v>0.12488425925925926</v>
      </c>
      <c r="G41">
        <v>2</v>
      </c>
      <c r="H41" s="1">
        <v>45862</v>
      </c>
      <c r="I41" s="2">
        <v>0.62488425925925928</v>
      </c>
      <c r="J41">
        <v>14</v>
      </c>
      <c r="R41" t="s">
        <v>179</v>
      </c>
      <c r="W41">
        <v>1</v>
      </c>
      <c r="X41" t="s">
        <v>32</v>
      </c>
      <c r="AC41" t="s">
        <v>294</v>
      </c>
      <c r="AY41" s="123"/>
      <c r="AZ41" s="124" t="str">
        <f>BW3</f>
        <v>INDIR</v>
      </c>
      <c r="BA41" s="124" t="str">
        <f>BW4</f>
        <v>D:\202507 Fladdermöss Mittlagan\Halmstad Box 1-2 2407 269</v>
      </c>
      <c r="BB41" s="124"/>
      <c r="BC41" s="125"/>
      <c r="BL41" s="116"/>
      <c r="BM41" s="64"/>
      <c r="BN41" s="64"/>
    </row>
    <row r="42" spans="1:71" ht="13" x14ac:dyDescent="0.3">
      <c r="A42" t="s">
        <v>176</v>
      </c>
      <c r="C42" t="s">
        <v>295</v>
      </c>
      <c r="D42" t="s">
        <v>178</v>
      </c>
      <c r="E42" s="1">
        <v>45863</v>
      </c>
      <c r="F42" s="2">
        <v>4.3900462962962961E-2</v>
      </c>
      <c r="G42">
        <v>1</v>
      </c>
      <c r="H42" s="1">
        <v>45862</v>
      </c>
      <c r="I42" s="2">
        <v>0.54390046296296302</v>
      </c>
      <c r="J42">
        <v>13</v>
      </c>
      <c r="R42" t="s">
        <v>179</v>
      </c>
      <c r="W42">
        <v>1</v>
      </c>
      <c r="X42" t="s">
        <v>32</v>
      </c>
      <c r="AC42" t="s">
        <v>296</v>
      </c>
      <c r="AY42" s="123"/>
      <c r="AZ42" s="124" t="str">
        <f>BX3</f>
        <v>FOLDER</v>
      </c>
      <c r="BA42" s="124">
        <f>BX4</f>
        <v>0</v>
      </c>
      <c r="BB42" s="124"/>
      <c r="BC42" s="125"/>
      <c r="BL42" s="116"/>
      <c r="BM42" s="64"/>
      <c r="BN42" s="64"/>
    </row>
    <row r="43" spans="1:71" ht="13" x14ac:dyDescent="0.3">
      <c r="A43" t="s">
        <v>176</v>
      </c>
      <c r="C43" t="s">
        <v>297</v>
      </c>
      <c r="D43" t="s">
        <v>178</v>
      </c>
      <c r="E43" s="1">
        <v>45863</v>
      </c>
      <c r="F43" s="2">
        <v>4.4270833333333336E-2</v>
      </c>
      <c r="G43">
        <v>1</v>
      </c>
      <c r="H43" s="1">
        <v>45862</v>
      </c>
      <c r="I43" s="2">
        <v>0.54427083333333337</v>
      </c>
      <c r="J43">
        <v>13</v>
      </c>
      <c r="R43" t="s">
        <v>179</v>
      </c>
      <c r="W43">
        <v>1</v>
      </c>
      <c r="X43" t="s">
        <v>32</v>
      </c>
      <c r="AC43" t="s">
        <v>298</v>
      </c>
      <c r="AY43" s="123"/>
      <c r="AZ43" s="124"/>
      <c r="BA43" s="124">
        <f t="shared" ref="BA43:BA51" si="0">BX5</f>
        <v>0</v>
      </c>
      <c r="BB43" s="124"/>
      <c r="BC43" s="125"/>
      <c r="BL43" s="116"/>
      <c r="BM43" s="64"/>
      <c r="BN43" s="64"/>
    </row>
    <row r="44" spans="1:71" ht="13" x14ac:dyDescent="0.3">
      <c r="A44" t="s">
        <v>176</v>
      </c>
      <c r="C44" t="s">
        <v>299</v>
      </c>
      <c r="D44" t="s">
        <v>178</v>
      </c>
      <c r="E44" s="1">
        <v>45863</v>
      </c>
      <c r="F44" s="2">
        <v>4.4351851851851858E-2</v>
      </c>
      <c r="G44">
        <v>1</v>
      </c>
      <c r="H44" s="1">
        <v>45862</v>
      </c>
      <c r="I44" s="2">
        <v>0.54435185185185186</v>
      </c>
      <c r="J44">
        <v>13</v>
      </c>
      <c r="R44" t="s">
        <v>179</v>
      </c>
      <c r="W44">
        <v>1</v>
      </c>
      <c r="X44" t="s">
        <v>32</v>
      </c>
      <c r="AC44" t="s">
        <v>300</v>
      </c>
      <c r="AY44" s="123"/>
      <c r="AZ44" s="124"/>
      <c r="BA44" s="124">
        <f t="shared" si="0"/>
        <v>0</v>
      </c>
      <c r="BB44" s="124"/>
      <c r="BC44" s="125"/>
      <c r="BL44" s="116"/>
      <c r="BM44" s="64"/>
      <c r="BN44" s="64"/>
    </row>
    <row r="45" spans="1:71" ht="13" x14ac:dyDescent="0.3">
      <c r="A45" t="s">
        <v>176</v>
      </c>
      <c r="C45" t="s">
        <v>301</v>
      </c>
      <c r="D45" t="s">
        <v>178</v>
      </c>
      <c r="E45" s="1">
        <v>45863</v>
      </c>
      <c r="F45" s="2">
        <v>5.4976851851851853E-2</v>
      </c>
      <c r="G45">
        <v>1</v>
      </c>
      <c r="H45" s="1">
        <v>45862</v>
      </c>
      <c r="I45" s="2">
        <v>0.55497685185185186</v>
      </c>
      <c r="J45">
        <v>13</v>
      </c>
      <c r="R45" t="s">
        <v>179</v>
      </c>
      <c r="W45">
        <v>1</v>
      </c>
      <c r="X45" t="s">
        <v>32</v>
      </c>
      <c r="AC45" t="s">
        <v>302</v>
      </c>
      <c r="AY45" s="123"/>
      <c r="AZ45" s="124"/>
      <c r="BA45" s="124">
        <f t="shared" si="0"/>
        <v>0</v>
      </c>
      <c r="BB45" s="124"/>
      <c r="BC45" s="125"/>
      <c r="BL45" s="116"/>
      <c r="BM45" s="64"/>
      <c r="BN45" s="64"/>
    </row>
    <row r="46" spans="1:71" ht="13" x14ac:dyDescent="0.3">
      <c r="A46" t="s">
        <v>176</v>
      </c>
      <c r="C46" t="s">
        <v>303</v>
      </c>
      <c r="D46" t="s">
        <v>178</v>
      </c>
      <c r="E46" s="1">
        <v>45863</v>
      </c>
      <c r="F46" s="2">
        <v>4.4513888888888888E-2</v>
      </c>
      <c r="G46">
        <v>1</v>
      </c>
      <c r="H46" s="1">
        <v>45862</v>
      </c>
      <c r="I46" s="2">
        <v>0.54451388888888885</v>
      </c>
      <c r="J46">
        <v>13</v>
      </c>
      <c r="R46" t="s">
        <v>179</v>
      </c>
      <c r="W46">
        <v>1</v>
      </c>
      <c r="X46" t="s">
        <v>32</v>
      </c>
      <c r="AC46" t="s">
        <v>304</v>
      </c>
      <c r="AY46" s="123"/>
      <c r="AZ46" s="124"/>
      <c r="BA46" s="124">
        <f t="shared" si="0"/>
        <v>0</v>
      </c>
      <c r="BB46" s="124"/>
      <c r="BC46" s="125"/>
      <c r="BL46" s="116"/>
      <c r="BM46" s="64"/>
      <c r="BN46" s="64"/>
    </row>
    <row r="47" spans="1:71" ht="13" x14ac:dyDescent="0.3">
      <c r="A47" t="s">
        <v>176</v>
      </c>
      <c r="C47" t="s">
        <v>305</v>
      </c>
      <c r="D47" t="s">
        <v>178</v>
      </c>
      <c r="E47" s="1">
        <v>45863</v>
      </c>
      <c r="F47" s="2">
        <v>4.4444444444444446E-2</v>
      </c>
      <c r="G47">
        <v>1</v>
      </c>
      <c r="H47" s="1">
        <v>45862</v>
      </c>
      <c r="I47" s="2">
        <v>0.5444444444444444</v>
      </c>
      <c r="J47">
        <v>13</v>
      </c>
      <c r="R47" t="s">
        <v>179</v>
      </c>
      <c r="W47">
        <v>1</v>
      </c>
      <c r="X47" t="s">
        <v>32</v>
      </c>
      <c r="AC47" t="s">
        <v>306</v>
      </c>
      <c r="AY47" s="123"/>
      <c r="AZ47" s="124"/>
      <c r="BA47" s="124">
        <f t="shared" si="0"/>
        <v>0</v>
      </c>
      <c r="BB47" s="124"/>
      <c r="BC47" s="125"/>
      <c r="BL47" s="116"/>
      <c r="BM47" s="64"/>
      <c r="BN47" s="64"/>
    </row>
    <row r="48" spans="1:71" ht="13" x14ac:dyDescent="0.3">
      <c r="A48" t="s">
        <v>176</v>
      </c>
      <c r="C48" t="s">
        <v>307</v>
      </c>
      <c r="D48" t="s">
        <v>178</v>
      </c>
      <c r="E48" s="1">
        <v>45863</v>
      </c>
      <c r="F48" s="2">
        <v>5.275462962962963E-2</v>
      </c>
      <c r="G48">
        <v>1</v>
      </c>
      <c r="H48" s="1">
        <v>45862</v>
      </c>
      <c r="I48" s="2">
        <v>0.55275462962962962</v>
      </c>
      <c r="J48">
        <v>13</v>
      </c>
      <c r="R48" t="s">
        <v>179</v>
      </c>
      <c r="W48">
        <v>1</v>
      </c>
      <c r="X48" t="s">
        <v>32</v>
      </c>
      <c r="AC48" t="s">
        <v>308</v>
      </c>
      <c r="AY48" s="123"/>
      <c r="AZ48" s="124"/>
      <c r="BA48" s="124">
        <f t="shared" si="0"/>
        <v>0</v>
      </c>
      <c r="BB48" s="124"/>
      <c r="BC48" s="125"/>
      <c r="BL48" s="116"/>
      <c r="BM48" s="64"/>
      <c r="BN48" s="64"/>
    </row>
    <row r="49" spans="1:78" ht="13" x14ac:dyDescent="0.3">
      <c r="A49" t="s">
        <v>176</v>
      </c>
      <c r="C49" t="s">
        <v>309</v>
      </c>
      <c r="D49" t="s">
        <v>178</v>
      </c>
      <c r="E49" s="1">
        <v>45863</v>
      </c>
      <c r="F49" s="2">
        <v>4.9745370370370377E-2</v>
      </c>
      <c r="G49">
        <v>1</v>
      </c>
      <c r="H49" s="1">
        <v>45862</v>
      </c>
      <c r="I49" s="2">
        <v>0.54974537037037041</v>
      </c>
      <c r="J49">
        <v>13</v>
      </c>
      <c r="R49" t="s">
        <v>179</v>
      </c>
      <c r="W49">
        <v>1</v>
      </c>
      <c r="X49" t="s">
        <v>32</v>
      </c>
      <c r="AC49" t="s">
        <v>310</v>
      </c>
      <c r="AY49" s="123"/>
      <c r="AZ49" s="124"/>
      <c r="BA49" s="124">
        <f t="shared" si="0"/>
        <v>0</v>
      </c>
      <c r="BB49" s="124"/>
      <c r="BC49" s="125"/>
      <c r="BL49" s="116"/>
      <c r="BM49" s="64"/>
      <c r="BN49" s="64"/>
    </row>
    <row r="50" spans="1:78" ht="13" x14ac:dyDescent="0.3">
      <c r="A50" t="s">
        <v>176</v>
      </c>
      <c r="C50" t="s">
        <v>311</v>
      </c>
      <c r="D50" t="s">
        <v>178</v>
      </c>
      <c r="E50" s="1">
        <v>45863</v>
      </c>
      <c r="F50" s="2">
        <v>6.2233796296296294E-2</v>
      </c>
      <c r="G50">
        <v>1</v>
      </c>
      <c r="H50" s="1">
        <v>45862</v>
      </c>
      <c r="I50" s="2">
        <v>0.56223379629629633</v>
      </c>
      <c r="J50">
        <v>13</v>
      </c>
      <c r="R50" t="s">
        <v>179</v>
      </c>
      <c r="W50">
        <v>1</v>
      </c>
      <c r="X50" t="s">
        <v>32</v>
      </c>
      <c r="AC50" t="s">
        <v>312</v>
      </c>
      <c r="AY50" s="123"/>
      <c r="AZ50" s="124"/>
      <c r="BA50" s="124">
        <f t="shared" si="0"/>
        <v>0</v>
      </c>
      <c r="BB50" s="124"/>
      <c r="BC50" s="125"/>
      <c r="BL50" s="116"/>
      <c r="BM50" s="64"/>
      <c r="BN50" s="64"/>
    </row>
    <row r="51" spans="1:78" ht="13" x14ac:dyDescent="0.3">
      <c r="A51" t="s">
        <v>176</v>
      </c>
      <c r="C51" t="s">
        <v>313</v>
      </c>
      <c r="D51" t="s">
        <v>178</v>
      </c>
      <c r="E51" s="1">
        <v>45863</v>
      </c>
      <c r="F51" s="2">
        <v>5.7962962962962959E-2</v>
      </c>
      <c r="G51">
        <v>1</v>
      </c>
      <c r="H51" s="1">
        <v>45862</v>
      </c>
      <c r="I51" s="2">
        <v>0.55796296296296299</v>
      </c>
      <c r="J51">
        <v>13</v>
      </c>
      <c r="R51" t="s">
        <v>179</v>
      </c>
      <c r="W51">
        <v>1</v>
      </c>
      <c r="X51" t="s">
        <v>32</v>
      </c>
      <c r="AC51" t="s">
        <v>314</v>
      </c>
      <c r="AY51" s="123"/>
      <c r="AZ51" s="124"/>
      <c r="BA51" s="124">
        <f t="shared" si="0"/>
        <v>0</v>
      </c>
      <c r="BB51" s="124"/>
      <c r="BC51" s="125"/>
      <c r="BL51" s="116"/>
      <c r="BM51" s="64"/>
      <c r="BN51" s="64"/>
    </row>
    <row r="52" spans="1:78" x14ac:dyDescent="0.25">
      <c r="A52" t="s">
        <v>176</v>
      </c>
      <c r="C52" t="s">
        <v>315</v>
      </c>
      <c r="D52" t="s">
        <v>178</v>
      </c>
      <c r="E52" s="1">
        <v>45863</v>
      </c>
      <c r="F52" s="2">
        <v>6.8298611111111115E-2</v>
      </c>
      <c r="G52">
        <v>1</v>
      </c>
      <c r="H52" s="1">
        <v>45862</v>
      </c>
      <c r="I52" s="2">
        <v>0.56829861111111113</v>
      </c>
      <c r="J52">
        <v>13</v>
      </c>
      <c r="R52" t="s">
        <v>179</v>
      </c>
      <c r="W52">
        <v>1</v>
      </c>
      <c r="X52" t="s">
        <v>32</v>
      </c>
      <c r="AC52" t="s">
        <v>316</v>
      </c>
      <c r="AY52" s="126"/>
      <c r="AZ52" s="127" t="s">
        <v>174</v>
      </c>
      <c r="BA52" s="128">
        <f>_xlfn.MINIFS(E:E,M:M,"*D500X*")</f>
        <v>0</v>
      </c>
      <c r="BB52" s="128">
        <f>_xlfn.MAXIFS(E:E,M:M,"*D500X*")</f>
        <v>0</v>
      </c>
      <c r="BC52" s="121"/>
      <c r="BD52" s="121"/>
      <c r="BE52" s="129"/>
      <c r="BF52" s="121"/>
      <c r="BG52" s="121"/>
      <c r="BH52" s="121"/>
      <c r="BI52" s="121"/>
      <c r="BJ52" s="121"/>
      <c r="BK52" s="121"/>
      <c r="BL52" s="122"/>
      <c r="BM52" s="37"/>
      <c r="BN52" s="37"/>
      <c r="BZ52" t="s">
        <v>175</v>
      </c>
    </row>
    <row r="53" spans="1:78" x14ac:dyDescent="0.25">
      <c r="A53" t="s">
        <v>176</v>
      </c>
      <c r="C53" t="s">
        <v>317</v>
      </c>
      <c r="D53" t="s">
        <v>178</v>
      </c>
      <c r="E53" s="1">
        <v>45863</v>
      </c>
      <c r="F53" s="2">
        <v>1.8298611111111113E-2</v>
      </c>
      <c r="G53">
        <v>0</v>
      </c>
      <c r="H53" s="1">
        <v>45862</v>
      </c>
      <c r="I53" s="2">
        <v>0.51829861111111108</v>
      </c>
      <c r="J53">
        <v>12</v>
      </c>
      <c r="R53" t="s">
        <v>179</v>
      </c>
      <c r="W53">
        <v>1</v>
      </c>
      <c r="X53" t="s">
        <v>32</v>
      </c>
      <c r="AC53" t="s">
        <v>318</v>
      </c>
    </row>
    <row r="54" spans="1:78" x14ac:dyDescent="0.25">
      <c r="A54" t="s">
        <v>176</v>
      </c>
      <c r="C54" t="s">
        <v>319</v>
      </c>
      <c r="D54" t="s">
        <v>178</v>
      </c>
      <c r="E54" s="1">
        <v>45863</v>
      </c>
      <c r="F54" s="2">
        <v>7.7546296296296304E-4</v>
      </c>
      <c r="G54">
        <v>0</v>
      </c>
      <c r="H54" s="1">
        <v>45862</v>
      </c>
      <c r="I54" s="2">
        <v>0.50077546296296294</v>
      </c>
      <c r="J54">
        <v>12</v>
      </c>
      <c r="R54" t="s">
        <v>179</v>
      </c>
      <c r="W54">
        <v>1</v>
      </c>
      <c r="X54" t="s">
        <v>32</v>
      </c>
      <c r="AC54" t="s">
        <v>320</v>
      </c>
    </row>
    <row r="55" spans="1:78" x14ac:dyDescent="0.25">
      <c r="A55" t="s">
        <v>176</v>
      </c>
      <c r="C55" t="s">
        <v>321</v>
      </c>
      <c r="D55" t="s">
        <v>178</v>
      </c>
      <c r="E55" s="1">
        <v>45863</v>
      </c>
      <c r="F55" s="2">
        <v>1.8067129629629631E-2</v>
      </c>
      <c r="G55">
        <v>0</v>
      </c>
      <c r="H55" s="1">
        <v>45862</v>
      </c>
      <c r="I55" s="2">
        <v>0.51806712962962964</v>
      </c>
      <c r="J55">
        <v>12</v>
      </c>
      <c r="R55" t="s">
        <v>179</v>
      </c>
      <c r="W55">
        <v>1</v>
      </c>
      <c r="X55" t="s">
        <v>32</v>
      </c>
      <c r="AC55" t="s">
        <v>322</v>
      </c>
    </row>
    <row r="56" spans="1:78" x14ac:dyDescent="0.25">
      <c r="A56" t="s">
        <v>176</v>
      </c>
      <c r="C56" t="s">
        <v>323</v>
      </c>
      <c r="D56" t="s">
        <v>178</v>
      </c>
      <c r="E56" s="1">
        <v>45863</v>
      </c>
      <c r="F56" s="2">
        <v>2.6539351851851852E-2</v>
      </c>
      <c r="G56">
        <v>0</v>
      </c>
      <c r="H56" s="1">
        <v>45862</v>
      </c>
      <c r="I56" s="2">
        <v>0.52653935185185186</v>
      </c>
      <c r="J56">
        <v>12</v>
      </c>
      <c r="R56" t="s">
        <v>179</v>
      </c>
      <c r="W56">
        <v>1</v>
      </c>
      <c r="X56" t="s">
        <v>32</v>
      </c>
      <c r="AC56" t="s">
        <v>324</v>
      </c>
    </row>
    <row r="57" spans="1:78" x14ac:dyDescent="0.25">
      <c r="A57" t="s">
        <v>176</v>
      </c>
      <c r="C57" t="s">
        <v>325</v>
      </c>
      <c r="D57" t="s">
        <v>178</v>
      </c>
      <c r="E57" s="1">
        <v>45863</v>
      </c>
      <c r="F57" s="2">
        <v>2.8125000000000001E-2</v>
      </c>
      <c r="G57">
        <v>0</v>
      </c>
      <c r="H57" s="1">
        <v>45862</v>
      </c>
      <c r="I57" s="2">
        <v>0.52812500000000007</v>
      </c>
      <c r="J57">
        <v>12</v>
      </c>
      <c r="R57" t="s">
        <v>179</v>
      </c>
      <c r="W57">
        <v>1</v>
      </c>
      <c r="X57" t="s">
        <v>32</v>
      </c>
      <c r="AC57" t="s">
        <v>326</v>
      </c>
    </row>
    <row r="58" spans="1:78" x14ac:dyDescent="0.25">
      <c r="A58" t="s">
        <v>176</v>
      </c>
      <c r="C58" t="s">
        <v>327</v>
      </c>
      <c r="D58" t="s">
        <v>178</v>
      </c>
      <c r="E58" s="1">
        <v>45863</v>
      </c>
      <c r="F58" s="2">
        <v>2.8240740740740736E-2</v>
      </c>
      <c r="G58">
        <v>0</v>
      </c>
      <c r="H58" s="1">
        <v>45862</v>
      </c>
      <c r="I58" s="2">
        <v>0.52824074074074068</v>
      </c>
      <c r="J58">
        <v>12</v>
      </c>
      <c r="R58" t="s">
        <v>179</v>
      </c>
      <c r="W58">
        <v>1</v>
      </c>
      <c r="X58" t="s">
        <v>32</v>
      </c>
      <c r="AC58" t="s">
        <v>328</v>
      </c>
    </row>
    <row r="59" spans="1:78" x14ac:dyDescent="0.25">
      <c r="A59" t="s">
        <v>176</v>
      </c>
      <c r="C59" t="s">
        <v>329</v>
      </c>
      <c r="D59" t="s">
        <v>178</v>
      </c>
      <c r="E59" s="1">
        <v>45863</v>
      </c>
      <c r="F59" s="2">
        <v>3.2407407407407406E-2</v>
      </c>
      <c r="G59">
        <v>0</v>
      </c>
      <c r="H59" s="1">
        <v>45862</v>
      </c>
      <c r="I59" s="2">
        <v>0.53240740740740744</v>
      </c>
      <c r="J59">
        <v>12</v>
      </c>
      <c r="R59" t="s">
        <v>179</v>
      </c>
      <c r="W59">
        <v>1</v>
      </c>
      <c r="X59" t="s">
        <v>32</v>
      </c>
      <c r="AC59" t="s">
        <v>330</v>
      </c>
    </row>
    <row r="60" spans="1:78" x14ac:dyDescent="0.25">
      <c r="A60" t="s">
        <v>176</v>
      </c>
      <c r="C60" t="s">
        <v>331</v>
      </c>
      <c r="D60" t="s">
        <v>178</v>
      </c>
      <c r="E60" s="1">
        <v>45863</v>
      </c>
      <c r="F60" s="2">
        <v>3.1481481481481485E-2</v>
      </c>
      <c r="G60">
        <v>0</v>
      </c>
      <c r="H60" s="1">
        <v>45862</v>
      </c>
      <c r="I60" s="2">
        <v>0.53148148148148155</v>
      </c>
      <c r="J60">
        <v>12</v>
      </c>
      <c r="R60" t="s">
        <v>179</v>
      </c>
      <c r="W60">
        <v>1</v>
      </c>
      <c r="X60" t="s">
        <v>32</v>
      </c>
      <c r="AC60" t="s">
        <v>332</v>
      </c>
    </row>
    <row r="61" spans="1:78" x14ac:dyDescent="0.25">
      <c r="A61" t="s">
        <v>176</v>
      </c>
      <c r="C61" t="s">
        <v>333</v>
      </c>
      <c r="D61" t="s">
        <v>178</v>
      </c>
      <c r="E61" s="1">
        <v>45863</v>
      </c>
      <c r="F61" s="2">
        <v>3.4791666666666672E-2</v>
      </c>
      <c r="G61">
        <v>0</v>
      </c>
      <c r="H61" s="1">
        <v>45862</v>
      </c>
      <c r="I61" s="2">
        <v>0.53479166666666667</v>
      </c>
      <c r="J61">
        <v>12</v>
      </c>
      <c r="R61" t="s">
        <v>179</v>
      </c>
      <c r="W61">
        <v>1</v>
      </c>
      <c r="X61" t="s">
        <v>32</v>
      </c>
      <c r="AC61" t="s">
        <v>334</v>
      </c>
    </row>
    <row r="62" spans="1:78" x14ac:dyDescent="0.25">
      <c r="A62" t="s">
        <v>176</v>
      </c>
      <c r="C62" t="s">
        <v>335</v>
      </c>
      <c r="D62" t="s">
        <v>178</v>
      </c>
      <c r="E62" s="1">
        <v>45863</v>
      </c>
      <c r="F62" s="2">
        <v>3.4930555555555555E-2</v>
      </c>
      <c r="G62">
        <v>0</v>
      </c>
      <c r="H62" s="1">
        <v>45862</v>
      </c>
      <c r="I62" s="2">
        <v>0.53493055555555558</v>
      </c>
      <c r="J62">
        <v>12</v>
      </c>
      <c r="R62" t="s">
        <v>179</v>
      </c>
      <c r="W62">
        <v>1</v>
      </c>
      <c r="X62" t="s">
        <v>32</v>
      </c>
      <c r="AC62" t="s">
        <v>336</v>
      </c>
    </row>
    <row r="63" spans="1:78" x14ac:dyDescent="0.25">
      <c r="A63" t="s">
        <v>176</v>
      </c>
      <c r="C63" t="s">
        <v>337</v>
      </c>
      <c r="D63" t="s">
        <v>178</v>
      </c>
      <c r="E63" s="1">
        <v>45863</v>
      </c>
      <c r="F63" s="2">
        <v>3.9872685185185185E-2</v>
      </c>
      <c r="G63">
        <v>0</v>
      </c>
      <c r="H63" s="1">
        <v>45862</v>
      </c>
      <c r="I63" s="2">
        <v>0.53987268518518516</v>
      </c>
      <c r="J63">
        <v>12</v>
      </c>
      <c r="R63" t="s">
        <v>179</v>
      </c>
      <c r="W63">
        <v>1</v>
      </c>
      <c r="X63" t="s">
        <v>32</v>
      </c>
      <c r="AC63" t="s">
        <v>338</v>
      </c>
    </row>
    <row r="64" spans="1:78" x14ac:dyDescent="0.25">
      <c r="A64" t="s">
        <v>176</v>
      </c>
      <c r="C64" t="s">
        <v>339</v>
      </c>
      <c r="D64" t="s">
        <v>178</v>
      </c>
      <c r="E64" s="1">
        <v>45863</v>
      </c>
      <c r="F64" s="2">
        <v>4.1458333333333333E-2</v>
      </c>
      <c r="G64">
        <v>0</v>
      </c>
      <c r="H64" s="1">
        <v>45862</v>
      </c>
      <c r="I64" s="2">
        <v>0.54145833333333326</v>
      </c>
      <c r="J64">
        <v>12</v>
      </c>
      <c r="R64" t="s">
        <v>179</v>
      </c>
      <c r="W64">
        <v>1</v>
      </c>
      <c r="X64" t="s">
        <v>32</v>
      </c>
      <c r="AC64" t="s">
        <v>340</v>
      </c>
    </row>
    <row r="65" spans="1:29" x14ac:dyDescent="0.25">
      <c r="A65" t="s">
        <v>176</v>
      </c>
      <c r="C65" t="s">
        <v>341</v>
      </c>
      <c r="D65" t="s">
        <v>178</v>
      </c>
      <c r="E65" s="1">
        <v>45862</v>
      </c>
      <c r="F65" s="2">
        <v>0.96499999999999997</v>
      </c>
      <c r="G65">
        <v>23</v>
      </c>
      <c r="H65" s="1">
        <v>45862</v>
      </c>
      <c r="I65" s="2">
        <v>0.46500000000000002</v>
      </c>
      <c r="J65">
        <v>11</v>
      </c>
      <c r="R65" t="s">
        <v>179</v>
      </c>
      <c r="W65">
        <v>1</v>
      </c>
      <c r="X65" t="s">
        <v>32</v>
      </c>
      <c r="AC65" t="s">
        <v>342</v>
      </c>
    </row>
    <row r="66" spans="1:29" x14ac:dyDescent="0.25">
      <c r="A66" t="s">
        <v>176</v>
      </c>
      <c r="C66" t="s">
        <v>343</v>
      </c>
      <c r="D66" t="s">
        <v>178</v>
      </c>
      <c r="E66" s="1">
        <v>45862</v>
      </c>
      <c r="F66" s="2">
        <v>0.96288194444444442</v>
      </c>
      <c r="G66">
        <v>23</v>
      </c>
      <c r="H66" s="1">
        <v>45862</v>
      </c>
      <c r="I66" s="2">
        <v>0.46288194444444447</v>
      </c>
      <c r="J66">
        <v>11</v>
      </c>
      <c r="R66" t="s">
        <v>179</v>
      </c>
      <c r="W66">
        <v>1</v>
      </c>
      <c r="X66" t="s">
        <v>32</v>
      </c>
      <c r="AC66" t="s">
        <v>344</v>
      </c>
    </row>
    <row r="67" spans="1:29" x14ac:dyDescent="0.25">
      <c r="A67" t="s">
        <v>176</v>
      </c>
      <c r="C67" t="s">
        <v>345</v>
      </c>
      <c r="D67" t="s">
        <v>178</v>
      </c>
      <c r="E67" s="1">
        <v>45862</v>
      </c>
      <c r="F67" s="2">
        <v>0.9634490740740741</v>
      </c>
      <c r="G67">
        <v>23</v>
      </c>
      <c r="H67" s="1">
        <v>45862</v>
      </c>
      <c r="I67" s="2">
        <v>0.46344907407407404</v>
      </c>
      <c r="J67">
        <v>11</v>
      </c>
      <c r="R67" t="s">
        <v>179</v>
      </c>
      <c r="W67">
        <v>1</v>
      </c>
      <c r="X67" t="s">
        <v>32</v>
      </c>
      <c r="AC67" t="s">
        <v>346</v>
      </c>
    </row>
    <row r="68" spans="1:29" x14ac:dyDescent="0.25">
      <c r="A68" t="s">
        <v>176</v>
      </c>
      <c r="C68" t="s">
        <v>347</v>
      </c>
      <c r="D68" t="s">
        <v>178</v>
      </c>
      <c r="E68" s="1">
        <v>45862</v>
      </c>
      <c r="F68" s="2">
        <v>0.96238425925925919</v>
      </c>
      <c r="G68">
        <v>23</v>
      </c>
      <c r="H68" s="1">
        <v>45862</v>
      </c>
      <c r="I68" s="2">
        <v>0.46238425925925924</v>
      </c>
      <c r="J68">
        <v>11</v>
      </c>
      <c r="R68" t="s">
        <v>179</v>
      </c>
      <c r="W68">
        <v>1</v>
      </c>
      <c r="X68" t="s">
        <v>32</v>
      </c>
      <c r="AC68" t="s">
        <v>348</v>
      </c>
    </row>
    <row r="69" spans="1:29" x14ac:dyDescent="0.25">
      <c r="A69" t="s">
        <v>176</v>
      </c>
      <c r="C69" t="s">
        <v>349</v>
      </c>
      <c r="D69" t="s">
        <v>178</v>
      </c>
      <c r="E69" s="1">
        <v>45862</v>
      </c>
      <c r="F69" s="2">
        <v>0.96549768518518519</v>
      </c>
      <c r="G69">
        <v>23</v>
      </c>
      <c r="H69" s="1">
        <v>45862</v>
      </c>
      <c r="I69" s="2">
        <v>0.46549768518518514</v>
      </c>
      <c r="J69">
        <v>11</v>
      </c>
      <c r="R69" t="s">
        <v>179</v>
      </c>
      <c r="W69">
        <v>1</v>
      </c>
      <c r="X69" t="s">
        <v>32</v>
      </c>
      <c r="AC69" t="s">
        <v>350</v>
      </c>
    </row>
    <row r="70" spans="1:29" x14ac:dyDescent="0.25">
      <c r="A70" t="s">
        <v>176</v>
      </c>
      <c r="C70" t="s">
        <v>351</v>
      </c>
      <c r="D70" t="s">
        <v>178</v>
      </c>
      <c r="E70" s="1">
        <v>45862</v>
      </c>
      <c r="F70" s="2">
        <v>0.96637731481481481</v>
      </c>
      <c r="G70">
        <v>23</v>
      </c>
      <c r="H70" s="1">
        <v>45862</v>
      </c>
      <c r="I70" s="2">
        <v>0.46637731481481487</v>
      </c>
      <c r="J70">
        <v>11</v>
      </c>
      <c r="R70" t="s">
        <v>179</v>
      </c>
      <c r="W70">
        <v>1</v>
      </c>
      <c r="X70" t="s">
        <v>32</v>
      </c>
      <c r="AC70" t="s">
        <v>352</v>
      </c>
    </row>
    <row r="71" spans="1:29" x14ac:dyDescent="0.25">
      <c r="A71" t="s">
        <v>176</v>
      </c>
      <c r="C71" t="s">
        <v>353</v>
      </c>
      <c r="D71" t="s">
        <v>178</v>
      </c>
      <c r="E71" s="1">
        <v>45862</v>
      </c>
      <c r="F71" s="2">
        <v>0.96568287037037026</v>
      </c>
      <c r="G71">
        <v>23</v>
      </c>
      <c r="H71" s="1">
        <v>45862</v>
      </c>
      <c r="I71" s="2">
        <v>0.46568287037037037</v>
      </c>
      <c r="J71">
        <v>11</v>
      </c>
      <c r="R71" t="s">
        <v>179</v>
      </c>
      <c r="W71">
        <v>1</v>
      </c>
      <c r="X71" t="s">
        <v>32</v>
      </c>
      <c r="AC71" t="s">
        <v>354</v>
      </c>
    </row>
    <row r="72" spans="1:29" x14ac:dyDescent="0.25">
      <c r="A72" t="s">
        <v>176</v>
      </c>
      <c r="C72" t="s">
        <v>355</v>
      </c>
      <c r="D72" t="s">
        <v>178</v>
      </c>
      <c r="E72" s="1">
        <v>45862</v>
      </c>
      <c r="F72" s="2">
        <v>0.96671296296296294</v>
      </c>
      <c r="G72">
        <v>23</v>
      </c>
      <c r="H72" s="1">
        <v>45862</v>
      </c>
      <c r="I72" s="2">
        <v>0.46671296296296294</v>
      </c>
      <c r="J72">
        <v>11</v>
      </c>
      <c r="R72" t="s">
        <v>179</v>
      </c>
      <c r="W72">
        <v>1</v>
      </c>
      <c r="X72" t="s">
        <v>32</v>
      </c>
      <c r="AC72" t="s">
        <v>356</v>
      </c>
    </row>
    <row r="73" spans="1:29" x14ac:dyDescent="0.25">
      <c r="A73" t="s">
        <v>176</v>
      </c>
      <c r="C73" t="s">
        <v>357</v>
      </c>
      <c r="D73" t="s">
        <v>178</v>
      </c>
      <c r="E73" s="1">
        <v>45862</v>
      </c>
      <c r="F73" s="2">
        <v>0.9692708333333333</v>
      </c>
      <c r="G73">
        <v>23</v>
      </c>
      <c r="H73" s="1">
        <v>45862</v>
      </c>
      <c r="I73" s="2">
        <v>0.4692708333333333</v>
      </c>
      <c r="J73">
        <v>11</v>
      </c>
      <c r="R73" t="s">
        <v>179</v>
      </c>
      <c r="W73">
        <v>1</v>
      </c>
      <c r="X73" t="s">
        <v>32</v>
      </c>
      <c r="AC73" t="s">
        <v>358</v>
      </c>
    </row>
    <row r="74" spans="1:29" x14ac:dyDescent="0.25">
      <c r="A74" t="s">
        <v>176</v>
      </c>
      <c r="C74" t="s">
        <v>359</v>
      </c>
      <c r="D74" t="s">
        <v>178</v>
      </c>
      <c r="E74" s="1">
        <v>45862</v>
      </c>
      <c r="F74" s="2">
        <v>0.96976851851851853</v>
      </c>
      <c r="G74">
        <v>23</v>
      </c>
      <c r="H74" s="1">
        <v>45862</v>
      </c>
      <c r="I74" s="2">
        <v>0.46976851851851853</v>
      </c>
      <c r="J74">
        <v>11</v>
      </c>
      <c r="R74" t="s">
        <v>179</v>
      </c>
      <c r="W74">
        <v>1</v>
      </c>
      <c r="X74" t="s">
        <v>32</v>
      </c>
      <c r="AC74" t="s">
        <v>360</v>
      </c>
    </row>
    <row r="75" spans="1:29" x14ac:dyDescent="0.25">
      <c r="A75" t="s">
        <v>176</v>
      </c>
      <c r="C75" t="s">
        <v>361</v>
      </c>
      <c r="D75" t="s">
        <v>178</v>
      </c>
      <c r="E75" s="1">
        <v>45862</v>
      </c>
      <c r="F75" s="2">
        <v>0.97313657407407417</v>
      </c>
      <c r="G75">
        <v>23</v>
      </c>
      <c r="H75" s="1">
        <v>45862</v>
      </c>
      <c r="I75" s="2">
        <v>0.47313657407407406</v>
      </c>
      <c r="J75">
        <v>11</v>
      </c>
      <c r="R75" t="s">
        <v>179</v>
      </c>
      <c r="W75">
        <v>1</v>
      </c>
      <c r="X75" t="s">
        <v>32</v>
      </c>
      <c r="AC75" t="s">
        <v>362</v>
      </c>
    </row>
    <row r="76" spans="1:29" x14ac:dyDescent="0.25">
      <c r="A76" t="s">
        <v>176</v>
      </c>
      <c r="C76" t="s">
        <v>363</v>
      </c>
      <c r="D76" t="s">
        <v>178</v>
      </c>
      <c r="E76" s="1">
        <v>45862</v>
      </c>
      <c r="F76" s="2">
        <v>0.98692129629629621</v>
      </c>
      <c r="G76">
        <v>23</v>
      </c>
      <c r="H76" s="1">
        <v>45862</v>
      </c>
      <c r="I76" s="2">
        <v>0.48692129629629632</v>
      </c>
      <c r="J76">
        <v>11</v>
      </c>
      <c r="R76" t="s">
        <v>179</v>
      </c>
      <c r="W76">
        <v>1</v>
      </c>
      <c r="X76" t="s">
        <v>32</v>
      </c>
      <c r="AC76" t="s">
        <v>364</v>
      </c>
    </row>
    <row r="77" spans="1:29" x14ac:dyDescent="0.25">
      <c r="A77" t="s">
        <v>176</v>
      </c>
      <c r="C77" t="s">
        <v>365</v>
      </c>
      <c r="D77" t="s">
        <v>178</v>
      </c>
      <c r="E77" s="1">
        <v>45862</v>
      </c>
      <c r="F77" s="2">
        <v>0.97188657407407408</v>
      </c>
      <c r="G77">
        <v>23</v>
      </c>
      <c r="H77" s="1">
        <v>45862</v>
      </c>
      <c r="I77" s="2">
        <v>0.47188657407407408</v>
      </c>
      <c r="J77">
        <v>11</v>
      </c>
      <c r="R77" t="s">
        <v>179</v>
      </c>
      <c r="W77">
        <v>1</v>
      </c>
      <c r="X77" t="s">
        <v>32</v>
      </c>
      <c r="AC77" t="s">
        <v>366</v>
      </c>
    </row>
    <row r="78" spans="1:29" x14ac:dyDescent="0.25">
      <c r="A78" t="s">
        <v>176</v>
      </c>
      <c r="C78" t="s">
        <v>367</v>
      </c>
      <c r="D78" t="s">
        <v>178</v>
      </c>
      <c r="E78" s="1">
        <v>45862</v>
      </c>
      <c r="F78" s="2">
        <v>0.98173611111111114</v>
      </c>
      <c r="G78">
        <v>23</v>
      </c>
      <c r="H78" s="1">
        <v>45862</v>
      </c>
      <c r="I78" s="2">
        <v>0.48173611111111114</v>
      </c>
      <c r="J78">
        <v>11</v>
      </c>
      <c r="R78" t="s">
        <v>179</v>
      </c>
      <c r="W78">
        <v>1</v>
      </c>
      <c r="X78" t="s">
        <v>32</v>
      </c>
      <c r="AC78" t="s">
        <v>368</v>
      </c>
    </row>
    <row r="79" spans="1:29" x14ac:dyDescent="0.25">
      <c r="A79" t="s">
        <v>176</v>
      </c>
      <c r="C79" t="s">
        <v>369</v>
      </c>
      <c r="D79" t="s">
        <v>178</v>
      </c>
      <c r="E79" s="1">
        <v>45862</v>
      </c>
      <c r="F79" s="2">
        <v>0.93199074074074073</v>
      </c>
      <c r="G79">
        <v>22</v>
      </c>
      <c r="H79" s="1">
        <v>45862</v>
      </c>
      <c r="I79" s="2">
        <v>0.43199074074074079</v>
      </c>
      <c r="J79">
        <v>10</v>
      </c>
      <c r="R79" t="s">
        <v>179</v>
      </c>
      <c r="W79">
        <v>1</v>
      </c>
      <c r="X79" t="s">
        <v>32</v>
      </c>
      <c r="AC79" t="s">
        <v>370</v>
      </c>
    </row>
    <row r="80" spans="1:29" x14ac:dyDescent="0.25">
      <c r="A80" t="s">
        <v>176</v>
      </c>
      <c r="C80" t="s">
        <v>371</v>
      </c>
      <c r="D80" t="s">
        <v>178</v>
      </c>
      <c r="E80" s="1">
        <v>45862</v>
      </c>
      <c r="F80" s="2">
        <v>0.93186342592592597</v>
      </c>
      <c r="G80">
        <v>22</v>
      </c>
      <c r="H80" s="1">
        <v>45862</v>
      </c>
      <c r="I80" s="2">
        <v>0.43186342592592591</v>
      </c>
      <c r="J80">
        <v>10</v>
      </c>
      <c r="R80" t="s">
        <v>179</v>
      </c>
      <c r="W80">
        <v>1</v>
      </c>
      <c r="X80" t="s">
        <v>32</v>
      </c>
      <c r="AC80" t="s">
        <v>372</v>
      </c>
    </row>
    <row r="81" spans="1:29" x14ac:dyDescent="0.25">
      <c r="A81" t="s">
        <v>176</v>
      </c>
      <c r="C81" t="s">
        <v>373</v>
      </c>
      <c r="D81" t="s">
        <v>178</v>
      </c>
      <c r="E81" s="1">
        <v>45862</v>
      </c>
      <c r="F81" s="2">
        <v>0.93447916666666664</v>
      </c>
      <c r="G81">
        <v>22</v>
      </c>
      <c r="H81" s="1">
        <v>45862</v>
      </c>
      <c r="I81" s="2">
        <v>0.43447916666666669</v>
      </c>
      <c r="J81">
        <v>10</v>
      </c>
      <c r="R81" t="s">
        <v>179</v>
      </c>
      <c r="W81">
        <v>1</v>
      </c>
      <c r="X81" t="s">
        <v>32</v>
      </c>
      <c r="AC81" t="s">
        <v>374</v>
      </c>
    </row>
    <row r="82" spans="1:29" x14ac:dyDescent="0.25">
      <c r="A82" t="s">
        <v>176</v>
      </c>
      <c r="C82" t="s">
        <v>375</v>
      </c>
      <c r="D82" t="s">
        <v>178</v>
      </c>
      <c r="E82" s="1">
        <v>45862</v>
      </c>
      <c r="F82" s="2">
        <v>0.93511574074074078</v>
      </c>
      <c r="G82">
        <v>22</v>
      </c>
      <c r="H82" s="1">
        <v>45862</v>
      </c>
      <c r="I82" s="2">
        <v>0.43511574074074072</v>
      </c>
      <c r="J82">
        <v>10</v>
      </c>
      <c r="R82" t="s">
        <v>179</v>
      </c>
      <c r="W82">
        <v>1</v>
      </c>
      <c r="X82" t="s">
        <v>32</v>
      </c>
      <c r="AC82" t="s">
        <v>376</v>
      </c>
    </row>
    <row r="83" spans="1:29" x14ac:dyDescent="0.25">
      <c r="A83" t="s">
        <v>176</v>
      </c>
      <c r="C83" t="s">
        <v>377</v>
      </c>
      <c r="D83" t="s">
        <v>178</v>
      </c>
      <c r="E83" s="1">
        <v>45862</v>
      </c>
      <c r="F83" s="2">
        <v>0.93614583333333334</v>
      </c>
      <c r="G83">
        <v>22</v>
      </c>
      <c r="H83" s="1">
        <v>45862</v>
      </c>
      <c r="I83" s="2">
        <v>0.43614583333333329</v>
      </c>
      <c r="J83">
        <v>10</v>
      </c>
      <c r="R83" t="s">
        <v>179</v>
      </c>
      <c r="W83">
        <v>1</v>
      </c>
      <c r="X83" t="s">
        <v>32</v>
      </c>
      <c r="AC83" t="s">
        <v>378</v>
      </c>
    </row>
    <row r="84" spans="1:29" x14ac:dyDescent="0.25">
      <c r="A84" t="s">
        <v>176</v>
      </c>
      <c r="C84" t="s">
        <v>379</v>
      </c>
      <c r="D84" t="s">
        <v>178</v>
      </c>
      <c r="E84" s="1">
        <v>45862</v>
      </c>
      <c r="F84" s="2">
        <v>0.93568287037037035</v>
      </c>
      <c r="G84">
        <v>22</v>
      </c>
      <c r="H84" s="1">
        <v>45862</v>
      </c>
      <c r="I84" s="2">
        <v>0.43568287037037035</v>
      </c>
      <c r="J84">
        <v>10</v>
      </c>
      <c r="R84" t="s">
        <v>179</v>
      </c>
      <c r="W84">
        <v>1</v>
      </c>
      <c r="X84" t="s">
        <v>32</v>
      </c>
      <c r="AC84" t="s">
        <v>380</v>
      </c>
    </row>
    <row r="85" spans="1:29" x14ac:dyDescent="0.25">
      <c r="A85" t="s">
        <v>176</v>
      </c>
      <c r="C85" t="s">
        <v>381</v>
      </c>
      <c r="D85" t="s">
        <v>178</v>
      </c>
      <c r="E85" s="1">
        <v>45862</v>
      </c>
      <c r="F85" s="2">
        <v>0.9358912037037036</v>
      </c>
      <c r="G85">
        <v>22</v>
      </c>
      <c r="H85" s="1">
        <v>45862</v>
      </c>
      <c r="I85" s="2">
        <v>0.43589120370370371</v>
      </c>
      <c r="J85">
        <v>10</v>
      </c>
      <c r="R85" t="s">
        <v>179</v>
      </c>
      <c r="W85">
        <v>1</v>
      </c>
      <c r="X85" t="s">
        <v>32</v>
      </c>
      <c r="AC85" t="s">
        <v>382</v>
      </c>
    </row>
    <row r="86" spans="1:29" x14ac:dyDescent="0.25">
      <c r="A86" t="s">
        <v>176</v>
      </c>
      <c r="C86" t="s">
        <v>383</v>
      </c>
      <c r="D86" t="s">
        <v>178</v>
      </c>
      <c r="E86" s="1">
        <v>45862</v>
      </c>
      <c r="F86" s="2">
        <v>0.93658564814814815</v>
      </c>
      <c r="G86">
        <v>22</v>
      </c>
      <c r="H86" s="1">
        <v>45862</v>
      </c>
      <c r="I86" s="2">
        <v>0.4365856481481481</v>
      </c>
      <c r="J86">
        <v>10</v>
      </c>
      <c r="R86" t="s">
        <v>179</v>
      </c>
      <c r="W86">
        <v>1</v>
      </c>
      <c r="X86" t="s">
        <v>32</v>
      </c>
      <c r="AC86" t="s">
        <v>384</v>
      </c>
    </row>
    <row r="87" spans="1:29" x14ac:dyDescent="0.25">
      <c r="A87" t="s">
        <v>176</v>
      </c>
      <c r="C87" t="s">
        <v>385</v>
      </c>
      <c r="D87" t="s">
        <v>178</v>
      </c>
      <c r="E87" s="1">
        <v>45862</v>
      </c>
      <c r="F87" s="2">
        <v>0.9383217592592592</v>
      </c>
      <c r="G87">
        <v>22</v>
      </c>
      <c r="H87" s="1">
        <v>45862</v>
      </c>
      <c r="I87" s="2">
        <v>0.43832175925925926</v>
      </c>
      <c r="J87">
        <v>10</v>
      </c>
      <c r="R87" t="s">
        <v>179</v>
      </c>
      <c r="W87">
        <v>1</v>
      </c>
      <c r="X87" t="s">
        <v>32</v>
      </c>
      <c r="AC87" t="s">
        <v>386</v>
      </c>
    </row>
    <row r="88" spans="1:29" x14ac:dyDescent="0.25">
      <c r="A88" t="s">
        <v>176</v>
      </c>
      <c r="C88" t="s">
        <v>387</v>
      </c>
      <c r="D88" t="s">
        <v>178</v>
      </c>
      <c r="E88" s="1">
        <v>45862</v>
      </c>
      <c r="F88" s="2">
        <v>0.93891203703703707</v>
      </c>
      <c r="G88">
        <v>22</v>
      </c>
      <c r="H88" s="1">
        <v>45862</v>
      </c>
      <c r="I88" s="2">
        <v>0.43891203703703702</v>
      </c>
      <c r="J88">
        <v>10</v>
      </c>
      <c r="R88" t="s">
        <v>179</v>
      </c>
      <c r="W88">
        <v>1</v>
      </c>
      <c r="X88" t="s">
        <v>32</v>
      </c>
      <c r="AC88" t="s">
        <v>388</v>
      </c>
    </row>
    <row r="89" spans="1:29" x14ac:dyDescent="0.25">
      <c r="A89" t="s">
        <v>176</v>
      </c>
      <c r="C89" t="s">
        <v>389</v>
      </c>
      <c r="D89" t="s">
        <v>178</v>
      </c>
      <c r="E89" s="1">
        <v>45862</v>
      </c>
      <c r="F89" s="2">
        <v>0.93958333333333333</v>
      </c>
      <c r="G89">
        <v>22</v>
      </c>
      <c r="H89" s="1">
        <v>45862</v>
      </c>
      <c r="I89" s="2">
        <v>0.43958333333333338</v>
      </c>
      <c r="J89">
        <v>10</v>
      </c>
      <c r="R89" t="s">
        <v>179</v>
      </c>
      <c r="W89">
        <v>1</v>
      </c>
      <c r="X89" t="s">
        <v>32</v>
      </c>
      <c r="AC89" t="s">
        <v>390</v>
      </c>
    </row>
    <row r="90" spans="1:29" x14ac:dyDescent="0.25">
      <c r="A90" t="s">
        <v>176</v>
      </c>
      <c r="C90" t="s">
        <v>391</v>
      </c>
      <c r="D90" t="s">
        <v>178</v>
      </c>
      <c r="E90" s="1">
        <v>45862</v>
      </c>
      <c r="F90" s="2">
        <v>0.94212962962962965</v>
      </c>
      <c r="G90">
        <v>22</v>
      </c>
      <c r="H90" s="1">
        <v>45862</v>
      </c>
      <c r="I90" s="2">
        <v>0.44212962962962959</v>
      </c>
      <c r="J90">
        <v>10</v>
      </c>
      <c r="R90" t="s">
        <v>179</v>
      </c>
      <c r="W90">
        <v>1</v>
      </c>
      <c r="X90" t="s">
        <v>32</v>
      </c>
      <c r="AC90" t="s">
        <v>392</v>
      </c>
    </row>
    <row r="91" spans="1:29" x14ac:dyDescent="0.25">
      <c r="A91" t="s">
        <v>176</v>
      </c>
      <c r="C91" t="s">
        <v>393</v>
      </c>
      <c r="D91" t="s">
        <v>178</v>
      </c>
      <c r="E91" s="1">
        <v>45862</v>
      </c>
      <c r="F91" s="2">
        <v>0.9425</v>
      </c>
      <c r="G91">
        <v>22</v>
      </c>
      <c r="H91" s="1">
        <v>45862</v>
      </c>
      <c r="I91" s="2">
        <v>0.44249999999999995</v>
      </c>
      <c r="J91">
        <v>10</v>
      </c>
      <c r="R91" t="s">
        <v>179</v>
      </c>
      <c r="W91">
        <v>1</v>
      </c>
      <c r="X91" t="s">
        <v>32</v>
      </c>
      <c r="AC91" t="s">
        <v>394</v>
      </c>
    </row>
    <row r="92" spans="1:29" x14ac:dyDescent="0.25">
      <c r="A92" t="s">
        <v>176</v>
      </c>
      <c r="C92" t="s">
        <v>395</v>
      </c>
      <c r="D92" t="s">
        <v>178</v>
      </c>
      <c r="E92" s="1">
        <v>45862</v>
      </c>
      <c r="F92" s="2">
        <v>0.94893518518518516</v>
      </c>
      <c r="G92">
        <v>22</v>
      </c>
      <c r="H92" s="1">
        <v>45862</v>
      </c>
      <c r="I92" s="2">
        <v>0.44893518518518521</v>
      </c>
      <c r="J92">
        <v>10</v>
      </c>
      <c r="R92" t="s">
        <v>179</v>
      </c>
      <c r="W92">
        <v>1</v>
      </c>
      <c r="X92" t="s">
        <v>32</v>
      </c>
      <c r="AC92" t="s">
        <v>396</v>
      </c>
    </row>
    <row r="93" spans="1:29" x14ac:dyDescent="0.25">
      <c r="A93" t="s">
        <v>176</v>
      </c>
      <c r="C93" t="s">
        <v>397</v>
      </c>
      <c r="D93" t="s">
        <v>178</v>
      </c>
      <c r="E93" s="1">
        <v>45862</v>
      </c>
      <c r="F93" s="2">
        <v>0.94587962962962957</v>
      </c>
      <c r="G93">
        <v>22</v>
      </c>
      <c r="H93" s="1">
        <v>45862</v>
      </c>
      <c r="I93" s="2">
        <v>0.44587962962962963</v>
      </c>
      <c r="J93">
        <v>10</v>
      </c>
      <c r="R93" t="s">
        <v>179</v>
      </c>
      <c r="W93">
        <v>1</v>
      </c>
      <c r="X93" t="s">
        <v>32</v>
      </c>
      <c r="AC93" t="s">
        <v>398</v>
      </c>
    </row>
    <row r="94" spans="1:29" x14ac:dyDescent="0.25">
      <c r="A94" t="s">
        <v>176</v>
      </c>
      <c r="C94" t="s">
        <v>399</v>
      </c>
      <c r="D94" t="s">
        <v>178</v>
      </c>
      <c r="E94" s="1">
        <v>45862</v>
      </c>
      <c r="F94" s="2">
        <v>0.94261574074074073</v>
      </c>
      <c r="G94">
        <v>22</v>
      </c>
      <c r="H94" s="1">
        <v>45862</v>
      </c>
      <c r="I94" s="2">
        <v>0.44261574074074073</v>
      </c>
      <c r="J94">
        <v>10</v>
      </c>
      <c r="R94" t="s">
        <v>179</v>
      </c>
      <c r="W94">
        <v>1</v>
      </c>
      <c r="X94" t="s">
        <v>32</v>
      </c>
      <c r="AC94" t="s">
        <v>400</v>
      </c>
    </row>
    <row r="95" spans="1:29" x14ac:dyDescent="0.25">
      <c r="A95" t="s">
        <v>176</v>
      </c>
      <c r="C95" t="s">
        <v>401</v>
      </c>
      <c r="D95" t="s">
        <v>178</v>
      </c>
      <c r="E95" s="1">
        <v>45862</v>
      </c>
      <c r="F95" s="2">
        <v>0.95300925925925928</v>
      </c>
      <c r="G95">
        <v>22</v>
      </c>
      <c r="H95" s="1">
        <v>45862</v>
      </c>
      <c r="I95" s="2">
        <v>0.45300925925925922</v>
      </c>
      <c r="J95">
        <v>10</v>
      </c>
      <c r="R95" t="s">
        <v>179</v>
      </c>
      <c r="W95">
        <v>1</v>
      </c>
      <c r="X95" t="s">
        <v>32</v>
      </c>
      <c r="AC95" t="s">
        <v>402</v>
      </c>
    </row>
    <row r="96" spans="1:29" x14ac:dyDescent="0.25">
      <c r="A96" t="s">
        <v>176</v>
      </c>
      <c r="C96" t="s">
        <v>403</v>
      </c>
      <c r="D96" t="s">
        <v>178</v>
      </c>
      <c r="E96" s="1">
        <v>45862</v>
      </c>
      <c r="F96" s="2">
        <v>0.95520833333333333</v>
      </c>
      <c r="G96">
        <v>22</v>
      </c>
      <c r="H96" s="1">
        <v>45862</v>
      </c>
      <c r="I96" s="2">
        <v>0.45520833333333338</v>
      </c>
      <c r="J96">
        <v>10</v>
      </c>
      <c r="R96" t="s">
        <v>179</v>
      </c>
      <c r="W96">
        <v>1</v>
      </c>
      <c r="X96" t="s">
        <v>32</v>
      </c>
      <c r="AC96" t="s">
        <v>404</v>
      </c>
    </row>
    <row r="97" spans="1:29" x14ac:dyDescent="0.25">
      <c r="A97" t="s">
        <v>176</v>
      </c>
      <c r="C97" t="s">
        <v>405</v>
      </c>
      <c r="D97" t="s">
        <v>178</v>
      </c>
      <c r="E97" s="1">
        <v>45862</v>
      </c>
      <c r="F97" s="2">
        <v>0.95504629629629623</v>
      </c>
      <c r="G97">
        <v>22</v>
      </c>
      <c r="H97" s="1">
        <v>45862</v>
      </c>
      <c r="I97" s="2">
        <v>0.45504629629629628</v>
      </c>
      <c r="J97">
        <v>10</v>
      </c>
      <c r="R97" t="s">
        <v>179</v>
      </c>
      <c r="W97">
        <v>1</v>
      </c>
      <c r="X97" t="s">
        <v>32</v>
      </c>
      <c r="AC97" t="s">
        <v>406</v>
      </c>
    </row>
    <row r="98" spans="1:29" x14ac:dyDescent="0.25">
      <c r="A98" t="s">
        <v>176</v>
      </c>
      <c r="C98" t="s">
        <v>407</v>
      </c>
      <c r="D98" t="s">
        <v>178</v>
      </c>
      <c r="E98" s="1">
        <v>45863</v>
      </c>
      <c r="F98" s="2">
        <v>0.16737268518518519</v>
      </c>
      <c r="G98">
        <v>4</v>
      </c>
      <c r="H98" s="1">
        <v>45862</v>
      </c>
      <c r="I98" s="2">
        <v>0.66737268518518522</v>
      </c>
      <c r="J98">
        <v>16</v>
      </c>
      <c r="R98" t="s">
        <v>179</v>
      </c>
      <c r="W98">
        <v>1</v>
      </c>
      <c r="X98" t="s">
        <v>408</v>
      </c>
      <c r="AC98" t="s">
        <v>409</v>
      </c>
    </row>
    <row r="99" spans="1:29" x14ac:dyDescent="0.25">
      <c r="A99" t="s">
        <v>176</v>
      </c>
      <c r="C99" t="s">
        <v>410</v>
      </c>
      <c r="D99" t="s">
        <v>178</v>
      </c>
      <c r="E99" s="1">
        <v>45863</v>
      </c>
      <c r="F99" s="2">
        <v>0.16817129629629632</v>
      </c>
      <c r="G99">
        <v>4</v>
      </c>
      <c r="H99" s="1">
        <v>45862</v>
      </c>
      <c r="I99" s="2">
        <v>0.66817129629629635</v>
      </c>
      <c r="J99">
        <v>16</v>
      </c>
      <c r="R99" t="s">
        <v>179</v>
      </c>
      <c r="W99">
        <v>1</v>
      </c>
      <c r="X99" t="s">
        <v>408</v>
      </c>
      <c r="AC99" t="s">
        <v>411</v>
      </c>
    </row>
    <row r="100" spans="1:29" x14ac:dyDescent="0.25">
      <c r="A100" t="s">
        <v>176</v>
      </c>
      <c r="C100" t="s">
        <v>412</v>
      </c>
      <c r="D100" t="s">
        <v>178</v>
      </c>
      <c r="E100" s="1">
        <v>45863</v>
      </c>
      <c r="F100" s="2">
        <v>0.17119212962962962</v>
      </c>
      <c r="G100">
        <v>4</v>
      </c>
      <c r="H100" s="1">
        <v>45862</v>
      </c>
      <c r="I100" s="2">
        <v>0.6711921296296296</v>
      </c>
      <c r="J100">
        <v>16</v>
      </c>
      <c r="R100" t="s">
        <v>179</v>
      </c>
      <c r="W100">
        <v>1</v>
      </c>
      <c r="X100" t="s">
        <v>408</v>
      </c>
      <c r="AC100" t="s">
        <v>413</v>
      </c>
    </row>
    <row r="101" spans="1:29" x14ac:dyDescent="0.25">
      <c r="A101" t="s">
        <v>176</v>
      </c>
      <c r="C101" t="s">
        <v>414</v>
      </c>
      <c r="D101" t="s">
        <v>178</v>
      </c>
      <c r="E101" s="1">
        <v>45863</v>
      </c>
      <c r="F101" s="2">
        <v>0.17129629629629628</v>
      </c>
      <c r="G101">
        <v>4</v>
      </c>
      <c r="H101" s="1">
        <v>45862</v>
      </c>
      <c r="I101" s="2">
        <v>0.67129629629629628</v>
      </c>
      <c r="J101">
        <v>16</v>
      </c>
      <c r="R101" t="s">
        <v>179</v>
      </c>
      <c r="W101">
        <v>1</v>
      </c>
      <c r="X101" t="s">
        <v>408</v>
      </c>
      <c r="AC101" t="s">
        <v>415</v>
      </c>
    </row>
    <row r="102" spans="1:29" x14ac:dyDescent="0.25">
      <c r="A102" t="s">
        <v>176</v>
      </c>
      <c r="C102" t="s">
        <v>416</v>
      </c>
      <c r="D102" t="s">
        <v>178</v>
      </c>
      <c r="E102" s="1">
        <v>45863</v>
      </c>
      <c r="F102" s="2">
        <v>0.17341435185185183</v>
      </c>
      <c r="G102">
        <v>4</v>
      </c>
      <c r="H102" s="1">
        <v>45862</v>
      </c>
      <c r="I102" s="2">
        <v>0.67341435185185183</v>
      </c>
      <c r="J102">
        <v>16</v>
      </c>
      <c r="R102" t="s">
        <v>179</v>
      </c>
      <c r="W102">
        <v>1</v>
      </c>
      <c r="X102" t="s">
        <v>408</v>
      </c>
      <c r="AC102" t="s">
        <v>417</v>
      </c>
    </row>
    <row r="103" spans="1:29" x14ac:dyDescent="0.25">
      <c r="A103" t="s">
        <v>176</v>
      </c>
      <c r="C103" t="s">
        <v>418</v>
      </c>
      <c r="D103" t="s">
        <v>178</v>
      </c>
      <c r="E103" s="1">
        <v>45863</v>
      </c>
      <c r="F103" s="2">
        <v>0.12780092592592593</v>
      </c>
      <c r="G103">
        <v>3</v>
      </c>
      <c r="H103" s="1">
        <v>45862</v>
      </c>
      <c r="I103" s="2">
        <v>0.62780092592592596</v>
      </c>
      <c r="J103">
        <v>15</v>
      </c>
      <c r="R103" t="s">
        <v>179</v>
      </c>
      <c r="W103">
        <v>1</v>
      </c>
      <c r="X103" t="s">
        <v>408</v>
      </c>
      <c r="AC103" t="s">
        <v>419</v>
      </c>
    </row>
    <row r="104" spans="1:29" x14ac:dyDescent="0.25">
      <c r="A104" t="s">
        <v>176</v>
      </c>
      <c r="C104" t="s">
        <v>420</v>
      </c>
      <c r="D104" t="s">
        <v>178</v>
      </c>
      <c r="E104" s="1">
        <v>45863</v>
      </c>
      <c r="F104" s="2">
        <v>0.12944444444444445</v>
      </c>
      <c r="G104">
        <v>3</v>
      </c>
      <c r="H104" s="1">
        <v>45862</v>
      </c>
      <c r="I104" s="2">
        <v>0.62944444444444447</v>
      </c>
      <c r="J104">
        <v>15</v>
      </c>
      <c r="R104" t="s">
        <v>179</v>
      </c>
      <c r="W104">
        <v>1</v>
      </c>
      <c r="X104" t="s">
        <v>408</v>
      </c>
      <c r="AC104" t="s">
        <v>421</v>
      </c>
    </row>
    <row r="105" spans="1:29" x14ac:dyDescent="0.25">
      <c r="A105" t="s">
        <v>176</v>
      </c>
      <c r="C105" t="s">
        <v>422</v>
      </c>
      <c r="D105" t="s">
        <v>178</v>
      </c>
      <c r="E105" s="1">
        <v>45863</v>
      </c>
      <c r="F105" s="2">
        <v>0.13892361111111109</v>
      </c>
      <c r="G105">
        <v>3</v>
      </c>
      <c r="H105" s="1">
        <v>45862</v>
      </c>
      <c r="I105" s="2">
        <v>0.63892361111111107</v>
      </c>
      <c r="J105">
        <v>15</v>
      </c>
      <c r="R105" t="s">
        <v>179</v>
      </c>
      <c r="W105">
        <v>1</v>
      </c>
      <c r="X105" t="s">
        <v>408</v>
      </c>
      <c r="AC105" t="s">
        <v>423</v>
      </c>
    </row>
    <row r="106" spans="1:29" x14ac:dyDescent="0.25">
      <c r="A106" t="s">
        <v>176</v>
      </c>
      <c r="C106" t="s">
        <v>424</v>
      </c>
      <c r="D106" t="s">
        <v>178</v>
      </c>
      <c r="E106" s="1">
        <v>45863</v>
      </c>
      <c r="F106" s="2">
        <v>0.14633101851851851</v>
      </c>
      <c r="G106">
        <v>3</v>
      </c>
      <c r="H106" s="1">
        <v>45862</v>
      </c>
      <c r="I106" s="2">
        <v>0.64633101851851849</v>
      </c>
      <c r="J106">
        <v>15</v>
      </c>
      <c r="R106" t="s">
        <v>179</v>
      </c>
      <c r="W106">
        <v>1</v>
      </c>
      <c r="X106" t="s">
        <v>408</v>
      </c>
      <c r="AC106" t="s">
        <v>425</v>
      </c>
    </row>
    <row r="107" spans="1:29" x14ac:dyDescent="0.25">
      <c r="A107" t="s">
        <v>176</v>
      </c>
      <c r="C107" t="s">
        <v>426</v>
      </c>
      <c r="D107" t="s">
        <v>178</v>
      </c>
      <c r="E107" s="1">
        <v>45863</v>
      </c>
      <c r="F107" s="2">
        <v>0.14641203703703703</v>
      </c>
      <c r="G107">
        <v>3</v>
      </c>
      <c r="H107" s="1">
        <v>45862</v>
      </c>
      <c r="I107" s="2">
        <v>0.64641203703703709</v>
      </c>
      <c r="J107">
        <v>15</v>
      </c>
      <c r="R107" t="s">
        <v>179</v>
      </c>
      <c r="W107">
        <v>1</v>
      </c>
      <c r="X107" t="s">
        <v>408</v>
      </c>
      <c r="AC107" t="s">
        <v>427</v>
      </c>
    </row>
    <row r="108" spans="1:29" x14ac:dyDescent="0.25">
      <c r="A108" t="s">
        <v>176</v>
      </c>
      <c r="C108" t="s">
        <v>428</v>
      </c>
      <c r="D108" t="s">
        <v>178</v>
      </c>
      <c r="E108" s="1">
        <v>45863</v>
      </c>
      <c r="F108" s="2">
        <v>0.10424768518518518</v>
      </c>
      <c r="G108">
        <v>2</v>
      </c>
      <c r="H108" s="1">
        <v>45862</v>
      </c>
      <c r="I108" s="2">
        <v>0.60424768518518512</v>
      </c>
      <c r="J108">
        <v>14</v>
      </c>
      <c r="R108" t="s">
        <v>179</v>
      </c>
      <c r="W108">
        <v>1</v>
      </c>
      <c r="X108" t="s">
        <v>408</v>
      </c>
      <c r="AC108" t="s">
        <v>429</v>
      </c>
    </row>
    <row r="109" spans="1:29" x14ac:dyDescent="0.25">
      <c r="A109" t="s">
        <v>176</v>
      </c>
      <c r="C109" t="s">
        <v>430</v>
      </c>
      <c r="D109" t="s">
        <v>178</v>
      </c>
      <c r="E109" s="1">
        <v>45863</v>
      </c>
      <c r="F109" s="2">
        <v>0.10565972222222221</v>
      </c>
      <c r="G109">
        <v>2</v>
      </c>
      <c r="H109" s="1">
        <v>45862</v>
      </c>
      <c r="I109" s="2">
        <v>0.6056597222222222</v>
      </c>
      <c r="J109">
        <v>14</v>
      </c>
      <c r="R109" t="s">
        <v>179</v>
      </c>
      <c r="W109">
        <v>1</v>
      </c>
      <c r="X109" t="s">
        <v>408</v>
      </c>
      <c r="AC109" t="s">
        <v>431</v>
      </c>
    </row>
    <row r="110" spans="1:29" x14ac:dyDescent="0.25">
      <c r="A110" t="s">
        <v>176</v>
      </c>
      <c r="C110" t="s">
        <v>432</v>
      </c>
      <c r="D110" t="s">
        <v>178</v>
      </c>
      <c r="E110" s="1">
        <v>45863</v>
      </c>
      <c r="F110" s="2">
        <v>5.6111111111111112E-2</v>
      </c>
      <c r="G110">
        <v>1</v>
      </c>
      <c r="H110" s="1">
        <v>45862</v>
      </c>
      <c r="I110" s="2">
        <v>0.55611111111111111</v>
      </c>
      <c r="J110">
        <v>13</v>
      </c>
      <c r="R110" t="s">
        <v>179</v>
      </c>
      <c r="W110">
        <v>1</v>
      </c>
      <c r="X110" t="s">
        <v>408</v>
      </c>
      <c r="AC110" t="s">
        <v>433</v>
      </c>
    </row>
    <row r="111" spans="1:29" x14ac:dyDescent="0.25">
      <c r="A111" t="s">
        <v>176</v>
      </c>
      <c r="C111" t="s">
        <v>434</v>
      </c>
      <c r="D111" t="s">
        <v>178</v>
      </c>
      <c r="E111" s="1">
        <v>45863</v>
      </c>
      <c r="F111" s="2">
        <v>6.8159722222222219E-2</v>
      </c>
      <c r="G111">
        <v>1</v>
      </c>
      <c r="H111" s="1">
        <v>45862</v>
      </c>
      <c r="I111" s="2">
        <v>0.56815972222222222</v>
      </c>
      <c r="J111">
        <v>13</v>
      </c>
      <c r="R111" t="s">
        <v>179</v>
      </c>
      <c r="W111">
        <v>1</v>
      </c>
      <c r="X111" t="s">
        <v>408</v>
      </c>
      <c r="AC111" t="s">
        <v>435</v>
      </c>
    </row>
    <row r="112" spans="1:29" x14ac:dyDescent="0.25">
      <c r="A112" t="s">
        <v>176</v>
      </c>
      <c r="C112" t="s">
        <v>436</v>
      </c>
      <c r="D112" t="s">
        <v>178</v>
      </c>
      <c r="E112" s="1">
        <v>45863</v>
      </c>
      <c r="F112" s="2">
        <v>6.9340277777777778E-2</v>
      </c>
      <c r="G112">
        <v>1</v>
      </c>
      <c r="H112" s="1">
        <v>45862</v>
      </c>
      <c r="I112" s="2">
        <v>0.56934027777777774</v>
      </c>
      <c r="J112">
        <v>13</v>
      </c>
      <c r="R112" t="s">
        <v>179</v>
      </c>
      <c r="W112">
        <v>1</v>
      </c>
      <c r="X112" t="s">
        <v>408</v>
      </c>
      <c r="AC112" t="s">
        <v>437</v>
      </c>
    </row>
    <row r="113" spans="1:29" x14ac:dyDescent="0.25">
      <c r="A113" t="s">
        <v>176</v>
      </c>
      <c r="C113" t="s">
        <v>438</v>
      </c>
      <c r="D113" t="s">
        <v>178</v>
      </c>
      <c r="E113" s="1">
        <v>45863</v>
      </c>
      <c r="F113" s="2">
        <v>6.8634259259259256E-2</v>
      </c>
      <c r="G113">
        <v>1</v>
      </c>
      <c r="H113" s="1">
        <v>45862</v>
      </c>
      <c r="I113" s="2">
        <v>0.56863425925925926</v>
      </c>
      <c r="J113">
        <v>13</v>
      </c>
      <c r="R113" t="s">
        <v>179</v>
      </c>
      <c r="W113">
        <v>1</v>
      </c>
      <c r="X113" t="s">
        <v>408</v>
      </c>
      <c r="AC113" t="s">
        <v>439</v>
      </c>
    </row>
    <row r="114" spans="1:29" x14ac:dyDescent="0.25">
      <c r="A114" t="s">
        <v>176</v>
      </c>
      <c r="C114" t="s">
        <v>440</v>
      </c>
      <c r="D114" t="s">
        <v>178</v>
      </c>
      <c r="E114" s="1">
        <v>45863</v>
      </c>
      <c r="F114" s="2">
        <v>7.633101851851852E-2</v>
      </c>
      <c r="G114">
        <v>1</v>
      </c>
      <c r="H114" s="1">
        <v>45862</v>
      </c>
      <c r="I114" s="2">
        <v>0.57633101851851853</v>
      </c>
      <c r="J114">
        <v>13</v>
      </c>
      <c r="R114" t="s">
        <v>179</v>
      </c>
      <c r="W114">
        <v>1</v>
      </c>
      <c r="X114" t="s">
        <v>408</v>
      </c>
      <c r="AC114" t="s">
        <v>441</v>
      </c>
    </row>
    <row r="115" spans="1:29" x14ac:dyDescent="0.25">
      <c r="A115" t="s">
        <v>176</v>
      </c>
      <c r="C115" t="s">
        <v>442</v>
      </c>
      <c r="D115" t="s">
        <v>178</v>
      </c>
      <c r="E115" s="1">
        <v>45863</v>
      </c>
      <c r="F115" s="2">
        <v>6.782407407407408E-3</v>
      </c>
      <c r="G115">
        <v>0</v>
      </c>
      <c r="H115" s="1">
        <v>45862</v>
      </c>
      <c r="I115" s="2">
        <v>0.50678240740740743</v>
      </c>
      <c r="J115">
        <v>12</v>
      </c>
      <c r="R115" t="s">
        <v>179</v>
      </c>
      <c r="W115">
        <v>1</v>
      </c>
      <c r="X115" t="s">
        <v>408</v>
      </c>
      <c r="AC115" t="s">
        <v>443</v>
      </c>
    </row>
    <row r="116" spans="1:29" x14ac:dyDescent="0.25">
      <c r="A116" t="s">
        <v>176</v>
      </c>
      <c r="C116" t="s">
        <v>444</v>
      </c>
      <c r="D116" t="s">
        <v>178</v>
      </c>
      <c r="E116" s="1">
        <v>45863</v>
      </c>
      <c r="F116" s="2">
        <v>2.5821759259259256E-2</v>
      </c>
      <c r="G116">
        <v>0</v>
      </c>
      <c r="H116" s="1">
        <v>45862</v>
      </c>
      <c r="I116" s="2">
        <v>0.52582175925925922</v>
      </c>
      <c r="J116">
        <v>12</v>
      </c>
      <c r="R116" t="s">
        <v>179</v>
      </c>
      <c r="W116">
        <v>1</v>
      </c>
      <c r="X116" t="s">
        <v>408</v>
      </c>
      <c r="AC116" t="s">
        <v>445</v>
      </c>
    </row>
    <row r="117" spans="1:29" x14ac:dyDescent="0.25">
      <c r="A117" t="s">
        <v>176</v>
      </c>
      <c r="C117" t="s">
        <v>446</v>
      </c>
      <c r="D117" t="s">
        <v>178</v>
      </c>
      <c r="E117" s="1">
        <v>45863</v>
      </c>
      <c r="F117" s="2">
        <v>2.6111111111111113E-2</v>
      </c>
      <c r="G117">
        <v>0</v>
      </c>
      <c r="H117" s="1">
        <v>45862</v>
      </c>
      <c r="I117" s="2">
        <v>0.52611111111111108</v>
      </c>
      <c r="J117">
        <v>12</v>
      </c>
      <c r="R117" t="s">
        <v>179</v>
      </c>
      <c r="W117">
        <v>1</v>
      </c>
      <c r="X117" t="s">
        <v>408</v>
      </c>
      <c r="AC117" t="s">
        <v>447</v>
      </c>
    </row>
    <row r="118" spans="1:29" x14ac:dyDescent="0.25">
      <c r="A118" t="s">
        <v>176</v>
      </c>
      <c r="C118" t="s">
        <v>448</v>
      </c>
      <c r="D118" t="s">
        <v>178</v>
      </c>
      <c r="E118" s="1">
        <v>45863</v>
      </c>
      <c r="F118" s="2">
        <v>3.9976851851851854E-2</v>
      </c>
      <c r="G118">
        <v>0</v>
      </c>
      <c r="H118" s="1">
        <v>45862</v>
      </c>
      <c r="I118" s="2">
        <v>0.53997685185185185</v>
      </c>
      <c r="J118">
        <v>12</v>
      </c>
      <c r="R118" t="s">
        <v>179</v>
      </c>
      <c r="W118">
        <v>1</v>
      </c>
      <c r="X118" t="s">
        <v>408</v>
      </c>
      <c r="AC118" t="s">
        <v>449</v>
      </c>
    </row>
    <row r="119" spans="1:29" x14ac:dyDescent="0.25">
      <c r="A119" t="s">
        <v>176</v>
      </c>
      <c r="C119" t="s">
        <v>450</v>
      </c>
      <c r="D119" t="s">
        <v>178</v>
      </c>
      <c r="E119" s="1">
        <v>45863</v>
      </c>
      <c r="F119" s="2">
        <v>3.425925925925926E-2</v>
      </c>
      <c r="G119">
        <v>0</v>
      </c>
      <c r="H119" s="1">
        <v>45862</v>
      </c>
      <c r="I119" s="2">
        <v>0.53425925925925932</v>
      </c>
      <c r="J119">
        <v>12</v>
      </c>
      <c r="R119" t="s">
        <v>179</v>
      </c>
      <c r="W119">
        <v>1</v>
      </c>
      <c r="X119" t="s">
        <v>408</v>
      </c>
      <c r="AC119" t="s">
        <v>451</v>
      </c>
    </row>
    <row r="120" spans="1:29" x14ac:dyDescent="0.25">
      <c r="A120" t="s">
        <v>176</v>
      </c>
      <c r="C120" t="s">
        <v>452</v>
      </c>
      <c r="D120" t="s">
        <v>178</v>
      </c>
      <c r="E120" s="1">
        <v>45862</v>
      </c>
      <c r="F120" s="2">
        <v>0.95962962962962972</v>
      </c>
      <c r="G120">
        <v>23</v>
      </c>
      <c r="H120" s="1">
        <v>45862</v>
      </c>
      <c r="I120" s="2">
        <v>0.45962962962962961</v>
      </c>
      <c r="J120">
        <v>11</v>
      </c>
      <c r="R120" t="s">
        <v>179</v>
      </c>
      <c r="W120">
        <v>1</v>
      </c>
      <c r="X120" t="s">
        <v>408</v>
      </c>
      <c r="AC120" t="s">
        <v>453</v>
      </c>
    </row>
    <row r="121" spans="1:29" x14ac:dyDescent="0.25">
      <c r="A121" t="s">
        <v>176</v>
      </c>
      <c r="C121" t="s">
        <v>454</v>
      </c>
      <c r="D121" t="s">
        <v>178</v>
      </c>
      <c r="E121" s="1">
        <v>45862</v>
      </c>
      <c r="F121" s="2">
        <v>0.9643518518518519</v>
      </c>
      <c r="G121">
        <v>23</v>
      </c>
      <c r="H121" s="1">
        <v>45862</v>
      </c>
      <c r="I121" s="2">
        <v>0.46435185185185185</v>
      </c>
      <c r="J121">
        <v>11</v>
      </c>
      <c r="R121" t="s">
        <v>179</v>
      </c>
      <c r="W121">
        <v>1</v>
      </c>
      <c r="X121" t="s">
        <v>408</v>
      </c>
      <c r="AC121" t="s">
        <v>455</v>
      </c>
    </row>
    <row r="122" spans="1:29" x14ac:dyDescent="0.25">
      <c r="A122" t="s">
        <v>176</v>
      </c>
      <c r="C122" t="s">
        <v>456</v>
      </c>
      <c r="D122" t="s">
        <v>178</v>
      </c>
      <c r="E122" s="1">
        <v>45862</v>
      </c>
      <c r="F122" s="2">
        <v>0.9803587962962963</v>
      </c>
      <c r="G122">
        <v>23</v>
      </c>
      <c r="H122" s="1">
        <v>45862</v>
      </c>
      <c r="I122" s="2">
        <v>0.4803587962962963</v>
      </c>
      <c r="J122">
        <v>11</v>
      </c>
      <c r="R122" t="s">
        <v>179</v>
      </c>
      <c r="W122">
        <v>1</v>
      </c>
      <c r="X122" t="s">
        <v>408</v>
      </c>
      <c r="AC122" t="s">
        <v>457</v>
      </c>
    </row>
    <row r="123" spans="1:29" x14ac:dyDescent="0.25">
      <c r="A123" t="s">
        <v>176</v>
      </c>
      <c r="C123" t="s">
        <v>458</v>
      </c>
      <c r="D123" t="s">
        <v>178</v>
      </c>
      <c r="E123" s="1">
        <v>45862</v>
      </c>
      <c r="F123" s="2">
        <v>0.98918981481481483</v>
      </c>
      <c r="G123">
        <v>23</v>
      </c>
      <c r="H123" s="1">
        <v>45862</v>
      </c>
      <c r="I123" s="2">
        <v>0.48918981481481483</v>
      </c>
      <c r="J123">
        <v>11</v>
      </c>
      <c r="R123" t="s">
        <v>179</v>
      </c>
      <c r="W123">
        <v>1</v>
      </c>
      <c r="X123" t="s">
        <v>408</v>
      </c>
      <c r="AC123" t="s">
        <v>459</v>
      </c>
    </row>
    <row r="124" spans="1:29" x14ac:dyDescent="0.25">
      <c r="A124" t="s">
        <v>176</v>
      </c>
      <c r="C124" t="s">
        <v>460</v>
      </c>
      <c r="D124" t="s">
        <v>178</v>
      </c>
      <c r="E124" s="1">
        <v>45862</v>
      </c>
      <c r="F124" s="2">
        <v>0.93395833333333333</v>
      </c>
      <c r="G124">
        <v>22</v>
      </c>
      <c r="H124" s="1">
        <v>45862</v>
      </c>
      <c r="I124" s="2">
        <v>0.43395833333333328</v>
      </c>
      <c r="J124">
        <v>10</v>
      </c>
      <c r="R124" t="s">
        <v>179</v>
      </c>
      <c r="W124">
        <v>1</v>
      </c>
      <c r="X124" t="s">
        <v>408</v>
      </c>
      <c r="AC124" t="s">
        <v>461</v>
      </c>
    </row>
    <row r="125" spans="1:29" x14ac:dyDescent="0.25">
      <c r="A125" t="s">
        <v>176</v>
      </c>
      <c r="C125" t="s">
        <v>462</v>
      </c>
      <c r="D125" t="s">
        <v>178</v>
      </c>
      <c r="E125" s="1">
        <v>45862</v>
      </c>
      <c r="F125" s="2">
        <v>0.93254629629629626</v>
      </c>
      <c r="G125">
        <v>22</v>
      </c>
      <c r="H125" s="1">
        <v>45862</v>
      </c>
      <c r="I125" s="2">
        <v>0.43254629629629626</v>
      </c>
      <c r="J125">
        <v>10</v>
      </c>
      <c r="R125" t="s">
        <v>179</v>
      </c>
      <c r="W125">
        <v>1</v>
      </c>
      <c r="X125" t="s">
        <v>408</v>
      </c>
      <c r="AC125" t="s">
        <v>463</v>
      </c>
    </row>
    <row r="126" spans="1:29" x14ac:dyDescent="0.25">
      <c r="A126" t="s">
        <v>176</v>
      </c>
      <c r="C126" t="s">
        <v>464</v>
      </c>
      <c r="D126" t="s">
        <v>178</v>
      </c>
      <c r="E126" s="1">
        <v>45862</v>
      </c>
      <c r="F126" s="2">
        <v>0.93427083333333327</v>
      </c>
      <c r="G126">
        <v>22</v>
      </c>
      <c r="H126" s="1">
        <v>45862</v>
      </c>
      <c r="I126" s="2">
        <v>0.43427083333333333</v>
      </c>
      <c r="J126">
        <v>10</v>
      </c>
      <c r="R126" t="s">
        <v>179</v>
      </c>
      <c r="W126">
        <v>1</v>
      </c>
      <c r="X126" t="s">
        <v>408</v>
      </c>
      <c r="AC126" t="s">
        <v>465</v>
      </c>
    </row>
    <row r="127" spans="1:29" x14ac:dyDescent="0.25">
      <c r="A127" t="s">
        <v>176</v>
      </c>
      <c r="C127" t="s">
        <v>466</v>
      </c>
      <c r="D127" t="s">
        <v>178</v>
      </c>
      <c r="E127" s="1">
        <v>45862</v>
      </c>
      <c r="F127" s="2">
        <v>0.93454861111111109</v>
      </c>
      <c r="G127">
        <v>22</v>
      </c>
      <c r="H127" s="1">
        <v>45862</v>
      </c>
      <c r="I127" s="2">
        <v>0.43454861111111115</v>
      </c>
      <c r="J127">
        <v>10</v>
      </c>
      <c r="R127" t="s">
        <v>179</v>
      </c>
      <c r="W127">
        <v>1</v>
      </c>
      <c r="X127" t="s">
        <v>408</v>
      </c>
      <c r="AC127" t="s">
        <v>467</v>
      </c>
    </row>
    <row r="128" spans="1:29" x14ac:dyDescent="0.25">
      <c r="A128" t="s">
        <v>176</v>
      </c>
      <c r="C128" t="s">
        <v>468</v>
      </c>
      <c r="D128" t="s">
        <v>178</v>
      </c>
      <c r="E128" s="1">
        <v>45862</v>
      </c>
      <c r="F128" s="2">
        <v>0.93576388888888884</v>
      </c>
      <c r="G128">
        <v>22</v>
      </c>
      <c r="H128" s="1">
        <v>45862</v>
      </c>
      <c r="I128" s="2">
        <v>0.4357638888888889</v>
      </c>
      <c r="J128">
        <v>10</v>
      </c>
      <c r="R128" t="s">
        <v>179</v>
      </c>
      <c r="W128">
        <v>1</v>
      </c>
      <c r="X128" t="s">
        <v>408</v>
      </c>
      <c r="AC128" t="s">
        <v>469</v>
      </c>
    </row>
    <row r="129" spans="1:29" x14ac:dyDescent="0.25">
      <c r="A129" t="s">
        <v>176</v>
      </c>
      <c r="C129" t="s">
        <v>470</v>
      </c>
      <c r="D129" t="s">
        <v>178</v>
      </c>
      <c r="E129" s="1">
        <v>45862</v>
      </c>
      <c r="F129" s="2">
        <v>0.93768518518518518</v>
      </c>
      <c r="G129">
        <v>22</v>
      </c>
      <c r="H129" s="1">
        <v>45862</v>
      </c>
      <c r="I129" s="2">
        <v>0.43768518518518523</v>
      </c>
      <c r="J129">
        <v>10</v>
      </c>
      <c r="R129" t="s">
        <v>179</v>
      </c>
      <c r="W129">
        <v>1</v>
      </c>
      <c r="X129" t="s">
        <v>408</v>
      </c>
      <c r="AC129" t="s">
        <v>471</v>
      </c>
    </row>
    <row r="130" spans="1:29" x14ac:dyDescent="0.25">
      <c r="A130" t="s">
        <v>176</v>
      </c>
      <c r="C130" t="s">
        <v>472</v>
      </c>
      <c r="D130" t="s">
        <v>178</v>
      </c>
      <c r="E130" s="1">
        <v>45862</v>
      </c>
      <c r="F130" s="2">
        <v>0.94743055555555555</v>
      </c>
      <c r="G130">
        <v>22</v>
      </c>
      <c r="H130" s="1">
        <v>45862</v>
      </c>
      <c r="I130" s="2">
        <v>0.44743055555555555</v>
      </c>
      <c r="J130">
        <v>10</v>
      </c>
      <c r="R130" t="s">
        <v>179</v>
      </c>
      <c r="W130">
        <v>1</v>
      </c>
      <c r="X130" t="s">
        <v>408</v>
      </c>
      <c r="AC130" t="s">
        <v>473</v>
      </c>
    </row>
    <row r="131" spans="1:29" x14ac:dyDescent="0.25">
      <c r="A131" t="s">
        <v>176</v>
      </c>
      <c r="C131" t="s">
        <v>474</v>
      </c>
      <c r="D131" t="s">
        <v>178</v>
      </c>
      <c r="E131" s="1">
        <v>45862</v>
      </c>
      <c r="F131" s="2">
        <v>0.94982638888888893</v>
      </c>
      <c r="G131">
        <v>22</v>
      </c>
      <c r="H131" s="1">
        <v>45862</v>
      </c>
      <c r="I131" s="2">
        <v>0.44982638888888887</v>
      </c>
      <c r="J131">
        <v>10</v>
      </c>
      <c r="R131" t="s">
        <v>179</v>
      </c>
      <c r="W131">
        <v>1</v>
      </c>
      <c r="X131" t="s">
        <v>408</v>
      </c>
      <c r="AC131" t="s">
        <v>475</v>
      </c>
    </row>
    <row r="132" spans="1:29" x14ac:dyDescent="0.25">
      <c r="A132" t="s">
        <v>176</v>
      </c>
      <c r="C132" t="s">
        <v>476</v>
      </c>
      <c r="D132" t="s">
        <v>178</v>
      </c>
      <c r="E132" s="1">
        <v>45862</v>
      </c>
      <c r="F132" s="2">
        <v>0.95357638888888896</v>
      </c>
      <c r="G132">
        <v>22</v>
      </c>
      <c r="H132" s="1">
        <v>45862</v>
      </c>
      <c r="I132" s="2">
        <v>0.4535763888888889</v>
      </c>
      <c r="J132">
        <v>10</v>
      </c>
      <c r="R132" t="s">
        <v>179</v>
      </c>
      <c r="W132">
        <v>1</v>
      </c>
      <c r="X132" t="s">
        <v>408</v>
      </c>
      <c r="AC132" t="s">
        <v>477</v>
      </c>
    </row>
    <row r="133" spans="1:29" x14ac:dyDescent="0.25">
      <c r="A133" t="s">
        <v>176</v>
      </c>
      <c r="C133" t="s">
        <v>478</v>
      </c>
      <c r="D133" t="s">
        <v>178</v>
      </c>
      <c r="E133" s="1">
        <v>45863</v>
      </c>
      <c r="F133" s="2">
        <v>0.16839120370370372</v>
      </c>
      <c r="G133">
        <v>4</v>
      </c>
      <c r="H133" s="1">
        <v>45862</v>
      </c>
      <c r="I133" s="2">
        <v>0.66839120370370375</v>
      </c>
      <c r="J133">
        <v>16</v>
      </c>
      <c r="R133" t="s">
        <v>179</v>
      </c>
      <c r="W133">
        <v>1</v>
      </c>
      <c r="X133" t="s">
        <v>479</v>
      </c>
      <c r="AC133" t="s">
        <v>480</v>
      </c>
    </row>
    <row r="134" spans="1:29" x14ac:dyDescent="0.25">
      <c r="A134" t="s">
        <v>176</v>
      </c>
      <c r="C134" t="s">
        <v>481</v>
      </c>
      <c r="D134" t="s">
        <v>178</v>
      </c>
      <c r="E134" s="1">
        <v>45863</v>
      </c>
      <c r="F134" s="2">
        <v>0.12231481481481482</v>
      </c>
      <c r="G134">
        <v>2</v>
      </c>
      <c r="H134" s="1">
        <v>45862</v>
      </c>
      <c r="I134" s="2">
        <v>0.62231481481481488</v>
      </c>
      <c r="J134">
        <v>14</v>
      </c>
      <c r="R134" t="s">
        <v>179</v>
      </c>
      <c r="W134">
        <v>1</v>
      </c>
      <c r="X134" t="s">
        <v>479</v>
      </c>
      <c r="AC134" t="s">
        <v>482</v>
      </c>
    </row>
    <row r="135" spans="1:29" x14ac:dyDescent="0.25">
      <c r="A135" t="s">
        <v>176</v>
      </c>
      <c r="C135" t="s">
        <v>483</v>
      </c>
      <c r="D135" t="s">
        <v>178</v>
      </c>
      <c r="E135" s="1">
        <v>45863</v>
      </c>
      <c r="F135" s="2">
        <v>4.238425925925926E-2</v>
      </c>
      <c r="G135">
        <v>1</v>
      </c>
      <c r="H135" s="1">
        <v>45862</v>
      </c>
      <c r="I135" s="2">
        <v>0.54238425925925926</v>
      </c>
      <c r="J135">
        <v>13</v>
      </c>
      <c r="R135" t="s">
        <v>179</v>
      </c>
      <c r="W135">
        <v>1</v>
      </c>
      <c r="X135" t="s">
        <v>479</v>
      </c>
      <c r="AC135" t="s">
        <v>484</v>
      </c>
    </row>
    <row r="136" spans="1:29" x14ac:dyDescent="0.25">
      <c r="A136" t="s">
        <v>176</v>
      </c>
      <c r="C136" t="s">
        <v>485</v>
      </c>
      <c r="D136" t="s">
        <v>178</v>
      </c>
      <c r="E136" s="1">
        <v>45862</v>
      </c>
      <c r="F136" s="2">
        <v>0.93547453703703709</v>
      </c>
      <c r="G136">
        <v>22</v>
      </c>
      <c r="H136" s="1">
        <v>45862</v>
      </c>
      <c r="I136" s="2">
        <v>0.43547453703703703</v>
      </c>
      <c r="J136">
        <v>10</v>
      </c>
      <c r="R136" t="s">
        <v>179</v>
      </c>
      <c r="W136">
        <v>1</v>
      </c>
      <c r="X136" t="s">
        <v>479</v>
      </c>
      <c r="AC136" t="s">
        <v>486</v>
      </c>
    </row>
    <row r="137" spans="1:29" x14ac:dyDescent="0.25">
      <c r="A137" t="s">
        <v>176</v>
      </c>
      <c r="C137" t="s">
        <v>487</v>
      </c>
      <c r="D137" t="s">
        <v>178</v>
      </c>
      <c r="E137" s="1">
        <v>45862</v>
      </c>
      <c r="F137" s="2">
        <v>0.93462962962962959</v>
      </c>
      <c r="G137">
        <v>22</v>
      </c>
      <c r="H137" s="1">
        <v>45862</v>
      </c>
      <c r="I137" s="2">
        <v>0.43462962962962964</v>
      </c>
      <c r="J137">
        <v>10</v>
      </c>
      <c r="R137" t="s">
        <v>179</v>
      </c>
      <c r="W137">
        <v>1</v>
      </c>
      <c r="X137" t="s">
        <v>479</v>
      </c>
      <c r="AC137" t="s">
        <v>488</v>
      </c>
    </row>
    <row r="138" spans="1:29" x14ac:dyDescent="0.25">
      <c r="A138" t="s">
        <v>176</v>
      </c>
      <c r="C138" t="s">
        <v>489</v>
      </c>
      <c r="D138" t="s">
        <v>178</v>
      </c>
      <c r="E138" s="1">
        <v>45862</v>
      </c>
      <c r="F138" s="2">
        <v>0.93233796296296301</v>
      </c>
      <c r="G138">
        <v>22</v>
      </c>
      <c r="H138" s="1">
        <v>45862</v>
      </c>
      <c r="I138" s="2">
        <v>0.43233796296296295</v>
      </c>
      <c r="J138">
        <v>10</v>
      </c>
      <c r="R138" t="s">
        <v>179</v>
      </c>
      <c r="W138">
        <v>1</v>
      </c>
      <c r="X138" t="s">
        <v>490</v>
      </c>
      <c r="AC138" t="s">
        <v>491</v>
      </c>
    </row>
    <row r="139" spans="1:29" x14ac:dyDescent="0.25">
      <c r="A139" t="s">
        <v>176</v>
      </c>
      <c r="C139" t="s">
        <v>492</v>
      </c>
      <c r="D139" t="s">
        <v>178</v>
      </c>
      <c r="E139" s="1">
        <v>45863</v>
      </c>
      <c r="F139" s="2">
        <v>5.4201388888888889E-2</v>
      </c>
      <c r="G139">
        <v>1</v>
      </c>
      <c r="H139" s="1">
        <v>45862</v>
      </c>
      <c r="I139" s="2">
        <v>0.55420138888888892</v>
      </c>
      <c r="J139">
        <v>13</v>
      </c>
      <c r="K139" t="s">
        <v>195</v>
      </c>
      <c r="L139" t="s">
        <v>493</v>
      </c>
      <c r="R139" t="s">
        <v>494</v>
      </c>
      <c r="S139">
        <v>18</v>
      </c>
      <c r="T139">
        <v>13</v>
      </c>
      <c r="U139" t="s">
        <v>495</v>
      </c>
      <c r="V139" t="s">
        <v>496</v>
      </c>
      <c r="W139">
        <v>1</v>
      </c>
      <c r="X139" t="s">
        <v>179</v>
      </c>
      <c r="AC139" t="s">
        <v>497</v>
      </c>
    </row>
    <row r="140" spans="1:29" x14ac:dyDescent="0.25">
      <c r="A140" t="s">
        <v>176</v>
      </c>
      <c r="C140" t="s">
        <v>498</v>
      </c>
      <c r="D140" t="s">
        <v>178</v>
      </c>
      <c r="E140" s="1">
        <v>45862</v>
      </c>
      <c r="F140" s="2">
        <v>0.92140046296296296</v>
      </c>
      <c r="G140">
        <v>22</v>
      </c>
      <c r="H140" s="1">
        <v>45862</v>
      </c>
      <c r="I140" s="2">
        <v>0.42140046296296302</v>
      </c>
      <c r="J140">
        <v>10</v>
      </c>
      <c r="R140" t="s">
        <v>200</v>
      </c>
      <c r="S140">
        <v>2</v>
      </c>
      <c r="T140">
        <v>0</v>
      </c>
      <c r="U140">
        <v>0</v>
      </c>
      <c r="V140">
        <v>0</v>
      </c>
      <c r="W140">
        <v>1</v>
      </c>
      <c r="X140" t="s">
        <v>179</v>
      </c>
      <c r="AC140" t="s">
        <v>499</v>
      </c>
    </row>
    <row r="141" spans="1:29" x14ac:dyDescent="0.25">
      <c r="A141" t="s">
        <v>176</v>
      </c>
      <c r="C141" t="s">
        <v>500</v>
      </c>
      <c r="D141" t="s">
        <v>178</v>
      </c>
      <c r="E141" s="1">
        <v>45863</v>
      </c>
      <c r="F141" s="2">
        <v>0.20987268518518518</v>
      </c>
      <c r="G141">
        <v>5</v>
      </c>
      <c r="H141" s="1">
        <v>45862</v>
      </c>
      <c r="I141" s="2">
        <v>0.7098726851851852</v>
      </c>
      <c r="J141">
        <v>17</v>
      </c>
      <c r="R141" t="s">
        <v>179</v>
      </c>
      <c r="W141">
        <v>1</v>
      </c>
      <c r="X141" t="s">
        <v>179</v>
      </c>
      <c r="AC141" t="s">
        <v>501</v>
      </c>
    </row>
    <row r="142" spans="1:29" x14ac:dyDescent="0.25">
      <c r="A142" t="s">
        <v>176</v>
      </c>
      <c r="C142" t="s">
        <v>502</v>
      </c>
      <c r="D142" t="s">
        <v>178</v>
      </c>
      <c r="E142" s="1">
        <v>45863</v>
      </c>
      <c r="F142" s="2">
        <v>0.22068287037037038</v>
      </c>
      <c r="G142">
        <v>5</v>
      </c>
      <c r="H142" s="1">
        <v>45862</v>
      </c>
      <c r="I142" s="2">
        <v>0.72068287037037038</v>
      </c>
      <c r="J142">
        <v>17</v>
      </c>
      <c r="R142" t="s">
        <v>179</v>
      </c>
      <c r="W142">
        <v>1</v>
      </c>
      <c r="X142" t="s">
        <v>179</v>
      </c>
      <c r="AC142" t="s">
        <v>503</v>
      </c>
    </row>
    <row r="143" spans="1:29" x14ac:dyDescent="0.25">
      <c r="A143" t="s">
        <v>176</v>
      </c>
      <c r="C143" t="s">
        <v>504</v>
      </c>
      <c r="D143" t="s">
        <v>178</v>
      </c>
      <c r="E143" s="1">
        <v>45863</v>
      </c>
      <c r="F143" s="2">
        <v>0.21076388888888889</v>
      </c>
      <c r="G143">
        <v>5</v>
      </c>
      <c r="H143" s="1">
        <v>45862</v>
      </c>
      <c r="I143" s="2">
        <v>0.71076388888888886</v>
      </c>
      <c r="J143">
        <v>17</v>
      </c>
      <c r="R143" t="s">
        <v>179</v>
      </c>
      <c r="W143">
        <v>1</v>
      </c>
      <c r="X143" t="s">
        <v>179</v>
      </c>
      <c r="AC143" t="s">
        <v>505</v>
      </c>
    </row>
    <row r="144" spans="1:29" x14ac:dyDescent="0.25">
      <c r="A144" t="s">
        <v>176</v>
      </c>
      <c r="C144" t="s">
        <v>506</v>
      </c>
      <c r="D144" t="s">
        <v>178</v>
      </c>
      <c r="E144" s="1">
        <v>45863</v>
      </c>
      <c r="F144" s="2">
        <v>0.22642361111111112</v>
      </c>
      <c r="G144">
        <v>5</v>
      </c>
      <c r="H144" s="1">
        <v>45862</v>
      </c>
      <c r="I144" s="2">
        <v>0.72642361111111109</v>
      </c>
      <c r="J144">
        <v>17</v>
      </c>
      <c r="R144" t="s">
        <v>179</v>
      </c>
      <c r="W144">
        <v>1</v>
      </c>
      <c r="X144" t="s">
        <v>179</v>
      </c>
      <c r="AC144" t="s">
        <v>507</v>
      </c>
    </row>
    <row r="145" spans="1:29" x14ac:dyDescent="0.25">
      <c r="A145" t="s">
        <v>176</v>
      </c>
      <c r="C145" t="s">
        <v>508</v>
      </c>
      <c r="D145" t="s">
        <v>178</v>
      </c>
      <c r="E145" s="1">
        <v>45863</v>
      </c>
      <c r="F145" s="2">
        <v>0.20975694444444445</v>
      </c>
      <c r="G145">
        <v>5</v>
      </c>
      <c r="H145" s="1">
        <v>45862</v>
      </c>
      <c r="I145" s="2">
        <v>0.70975694444444448</v>
      </c>
      <c r="J145">
        <v>17</v>
      </c>
      <c r="R145" t="s">
        <v>179</v>
      </c>
      <c r="W145">
        <v>1</v>
      </c>
      <c r="X145" t="s">
        <v>179</v>
      </c>
      <c r="AC145" t="s">
        <v>509</v>
      </c>
    </row>
    <row r="146" spans="1:29" ht="12.5" customHeight="1" x14ac:dyDescent="0.25">
      <c r="A146" t="s">
        <v>176</v>
      </c>
      <c r="C146" t="s">
        <v>510</v>
      </c>
      <c r="D146" t="s">
        <v>178</v>
      </c>
      <c r="E146" s="1">
        <v>45863</v>
      </c>
      <c r="F146" s="2">
        <v>0.22689814814814815</v>
      </c>
      <c r="G146">
        <v>5</v>
      </c>
      <c r="H146" s="1">
        <v>45862</v>
      </c>
      <c r="I146" s="2">
        <v>0.72689814814814813</v>
      </c>
      <c r="J146">
        <v>17</v>
      </c>
      <c r="R146" t="s">
        <v>179</v>
      </c>
      <c r="W146">
        <v>1</v>
      </c>
      <c r="X146" t="s">
        <v>179</v>
      </c>
      <c r="AC146" t="s">
        <v>511</v>
      </c>
    </row>
    <row r="147" spans="1:29" ht="12.5" customHeight="1" x14ac:dyDescent="0.25">
      <c r="A147" t="s">
        <v>176</v>
      </c>
      <c r="C147" t="s">
        <v>512</v>
      </c>
      <c r="D147" t="s">
        <v>178</v>
      </c>
      <c r="E147" s="1">
        <v>45863</v>
      </c>
      <c r="F147" s="2">
        <v>0.2290277777777778</v>
      </c>
      <c r="G147">
        <v>5</v>
      </c>
      <c r="H147" s="1">
        <v>45862</v>
      </c>
      <c r="I147" s="2">
        <v>0.72902777777777772</v>
      </c>
      <c r="J147">
        <v>17</v>
      </c>
      <c r="R147" t="s">
        <v>179</v>
      </c>
      <c r="W147">
        <v>1</v>
      </c>
      <c r="X147" t="s">
        <v>179</v>
      </c>
      <c r="AC147" t="s">
        <v>513</v>
      </c>
    </row>
    <row r="148" spans="1:29" ht="12.5" customHeight="1" x14ac:dyDescent="0.25">
      <c r="A148" t="s">
        <v>176</v>
      </c>
      <c r="C148" t="s">
        <v>514</v>
      </c>
      <c r="D148" t="s">
        <v>178</v>
      </c>
      <c r="E148" s="1">
        <v>45863</v>
      </c>
      <c r="F148" s="2">
        <v>0.22395833333333334</v>
      </c>
      <c r="G148">
        <v>5</v>
      </c>
      <c r="H148" s="1">
        <v>45862</v>
      </c>
      <c r="I148" s="2">
        <v>0.72395833333333337</v>
      </c>
      <c r="J148">
        <v>17</v>
      </c>
      <c r="R148" t="s">
        <v>179</v>
      </c>
      <c r="W148">
        <v>1</v>
      </c>
      <c r="X148" t="s">
        <v>179</v>
      </c>
      <c r="AC148" t="s">
        <v>515</v>
      </c>
    </row>
    <row r="149" spans="1:29" ht="12.5" customHeight="1" x14ac:dyDescent="0.25">
      <c r="A149" t="s">
        <v>176</v>
      </c>
      <c r="C149" t="s">
        <v>516</v>
      </c>
      <c r="D149" t="s">
        <v>178</v>
      </c>
      <c r="E149" s="1">
        <v>45863</v>
      </c>
      <c r="F149" s="2">
        <v>0.22888888888888889</v>
      </c>
      <c r="G149">
        <v>5</v>
      </c>
      <c r="H149" s="1">
        <v>45862</v>
      </c>
      <c r="I149" s="2">
        <v>0.72888888888888881</v>
      </c>
      <c r="J149">
        <v>17</v>
      </c>
      <c r="R149" t="s">
        <v>179</v>
      </c>
      <c r="W149">
        <v>1</v>
      </c>
      <c r="X149" t="s">
        <v>179</v>
      </c>
      <c r="AC149" t="s">
        <v>517</v>
      </c>
    </row>
    <row r="150" spans="1:29" ht="12.5" customHeight="1" x14ac:dyDescent="0.25">
      <c r="A150" t="s">
        <v>176</v>
      </c>
      <c r="C150" t="s">
        <v>518</v>
      </c>
      <c r="D150" t="s">
        <v>178</v>
      </c>
      <c r="E150" s="1">
        <v>45863</v>
      </c>
      <c r="F150" s="2">
        <v>0.16854166666666667</v>
      </c>
      <c r="G150">
        <v>4</v>
      </c>
      <c r="H150" s="1">
        <v>45862</v>
      </c>
      <c r="I150" s="2">
        <v>0.6685416666666667</v>
      </c>
      <c r="J150">
        <v>16</v>
      </c>
      <c r="R150" t="s">
        <v>179</v>
      </c>
      <c r="W150">
        <v>1</v>
      </c>
      <c r="X150" t="s">
        <v>179</v>
      </c>
      <c r="AC150" t="s">
        <v>519</v>
      </c>
    </row>
    <row r="151" spans="1:29" ht="12.5" customHeight="1" x14ac:dyDescent="0.25">
      <c r="A151" t="s">
        <v>176</v>
      </c>
      <c r="C151" t="s">
        <v>520</v>
      </c>
      <c r="D151" t="s">
        <v>178</v>
      </c>
      <c r="E151" s="1">
        <v>45863</v>
      </c>
      <c r="F151" s="2">
        <v>0.18035879629629628</v>
      </c>
      <c r="G151">
        <v>4</v>
      </c>
      <c r="H151" s="1">
        <v>45862</v>
      </c>
      <c r="I151" s="2">
        <v>0.68035879629629636</v>
      </c>
      <c r="J151">
        <v>16</v>
      </c>
      <c r="R151" t="s">
        <v>179</v>
      </c>
      <c r="W151">
        <v>1</v>
      </c>
      <c r="X151" t="s">
        <v>179</v>
      </c>
      <c r="AC151" t="s">
        <v>521</v>
      </c>
    </row>
    <row r="152" spans="1:29" ht="12.5" customHeight="1" x14ac:dyDescent="0.25">
      <c r="A152" t="s">
        <v>176</v>
      </c>
      <c r="C152" t="s">
        <v>522</v>
      </c>
      <c r="D152" t="s">
        <v>178</v>
      </c>
      <c r="E152" s="1">
        <v>45863</v>
      </c>
      <c r="F152" s="2">
        <v>0.2010763888888889</v>
      </c>
      <c r="G152">
        <v>4</v>
      </c>
      <c r="H152" s="1">
        <v>45862</v>
      </c>
      <c r="I152" s="2">
        <v>0.70107638888888879</v>
      </c>
      <c r="J152">
        <v>16</v>
      </c>
      <c r="R152" t="s">
        <v>179</v>
      </c>
      <c r="W152">
        <v>1</v>
      </c>
      <c r="X152" t="s">
        <v>179</v>
      </c>
      <c r="AC152" t="s">
        <v>523</v>
      </c>
    </row>
    <row r="153" spans="1:29" ht="12.5" customHeight="1" x14ac:dyDescent="0.25">
      <c r="A153" t="s">
        <v>176</v>
      </c>
      <c r="C153" t="s">
        <v>524</v>
      </c>
      <c r="D153" t="s">
        <v>178</v>
      </c>
      <c r="E153" s="1">
        <v>45863</v>
      </c>
      <c r="F153" s="2">
        <v>0.18410879629629628</v>
      </c>
      <c r="G153">
        <v>4</v>
      </c>
      <c r="H153" s="1">
        <v>45862</v>
      </c>
      <c r="I153" s="2">
        <v>0.68410879629629628</v>
      </c>
      <c r="J153">
        <v>16</v>
      </c>
      <c r="R153" t="s">
        <v>179</v>
      </c>
      <c r="W153">
        <v>1</v>
      </c>
      <c r="X153" t="s">
        <v>179</v>
      </c>
      <c r="AC153" t="s">
        <v>525</v>
      </c>
    </row>
    <row r="154" spans="1:29" ht="12.5" customHeight="1" x14ac:dyDescent="0.25">
      <c r="A154" t="s">
        <v>176</v>
      </c>
      <c r="C154" t="s">
        <v>526</v>
      </c>
      <c r="D154" t="s">
        <v>178</v>
      </c>
      <c r="E154" s="1">
        <v>45863</v>
      </c>
      <c r="F154" s="2">
        <v>0.18439814814814814</v>
      </c>
      <c r="G154">
        <v>4</v>
      </c>
      <c r="H154" s="1">
        <v>45862</v>
      </c>
      <c r="I154" s="2">
        <v>0.68439814814814814</v>
      </c>
      <c r="J154">
        <v>16</v>
      </c>
      <c r="R154" t="s">
        <v>179</v>
      </c>
      <c r="W154">
        <v>1</v>
      </c>
      <c r="X154" t="s">
        <v>179</v>
      </c>
      <c r="AC154" t="s">
        <v>527</v>
      </c>
    </row>
    <row r="155" spans="1:29" ht="12.5" customHeight="1" x14ac:dyDescent="0.25">
      <c r="A155" t="s">
        <v>176</v>
      </c>
      <c r="C155" t="s">
        <v>528</v>
      </c>
      <c r="D155" t="s">
        <v>178</v>
      </c>
      <c r="E155" s="1">
        <v>45863</v>
      </c>
      <c r="F155" s="2">
        <v>0.18230324074074075</v>
      </c>
      <c r="G155">
        <v>4</v>
      </c>
      <c r="H155" s="1">
        <v>45862</v>
      </c>
      <c r="I155" s="2">
        <v>0.68230324074074078</v>
      </c>
      <c r="J155">
        <v>16</v>
      </c>
      <c r="R155" t="s">
        <v>179</v>
      </c>
      <c r="W155">
        <v>1</v>
      </c>
      <c r="X155" t="s">
        <v>179</v>
      </c>
      <c r="AC155" t="s">
        <v>529</v>
      </c>
    </row>
    <row r="156" spans="1:29" ht="12.5" customHeight="1" x14ac:dyDescent="0.25">
      <c r="A156" t="s">
        <v>176</v>
      </c>
      <c r="C156" t="s">
        <v>530</v>
      </c>
      <c r="D156" t="s">
        <v>178</v>
      </c>
      <c r="E156" s="1">
        <v>45863</v>
      </c>
      <c r="F156" s="2">
        <v>0.18819444444444444</v>
      </c>
      <c r="G156">
        <v>4</v>
      </c>
      <c r="H156" s="1">
        <v>45862</v>
      </c>
      <c r="I156" s="2">
        <v>0.68819444444444444</v>
      </c>
      <c r="J156">
        <v>16</v>
      </c>
      <c r="R156" t="s">
        <v>179</v>
      </c>
      <c r="W156">
        <v>1</v>
      </c>
      <c r="X156" t="s">
        <v>179</v>
      </c>
      <c r="AC156" t="s">
        <v>531</v>
      </c>
    </row>
    <row r="157" spans="1:29" ht="12.5" customHeight="1" x14ac:dyDescent="0.25">
      <c r="A157" t="s">
        <v>176</v>
      </c>
      <c r="C157" t="s">
        <v>532</v>
      </c>
      <c r="D157" t="s">
        <v>178</v>
      </c>
      <c r="E157" s="1">
        <v>45863</v>
      </c>
      <c r="F157" s="2">
        <v>0.20098379629629629</v>
      </c>
      <c r="G157">
        <v>4</v>
      </c>
      <c r="H157" s="1">
        <v>45862</v>
      </c>
      <c r="I157" s="2">
        <v>0.70098379629629637</v>
      </c>
      <c r="J157">
        <v>16</v>
      </c>
      <c r="R157" t="s">
        <v>179</v>
      </c>
      <c r="W157">
        <v>1</v>
      </c>
      <c r="X157" t="s">
        <v>179</v>
      </c>
      <c r="AC157" t="s">
        <v>533</v>
      </c>
    </row>
    <row r="158" spans="1:29" ht="12.5" customHeight="1" x14ac:dyDescent="0.25">
      <c r="A158" t="s">
        <v>176</v>
      </c>
      <c r="C158" t="s">
        <v>534</v>
      </c>
      <c r="D158" t="s">
        <v>178</v>
      </c>
      <c r="E158" s="1">
        <v>45863</v>
      </c>
      <c r="F158" s="2">
        <v>0.20281249999999998</v>
      </c>
      <c r="G158">
        <v>4</v>
      </c>
      <c r="H158" s="1">
        <v>45862</v>
      </c>
      <c r="I158" s="2">
        <v>0.70281249999999995</v>
      </c>
      <c r="J158">
        <v>16</v>
      </c>
      <c r="R158" t="s">
        <v>179</v>
      </c>
      <c r="W158">
        <v>1</v>
      </c>
      <c r="X158" t="s">
        <v>179</v>
      </c>
      <c r="AC158" t="s">
        <v>535</v>
      </c>
    </row>
    <row r="159" spans="1:29" ht="12.5" customHeight="1" x14ac:dyDescent="0.25">
      <c r="A159" t="s">
        <v>176</v>
      </c>
      <c r="C159" t="s">
        <v>536</v>
      </c>
      <c r="D159" t="s">
        <v>178</v>
      </c>
      <c r="E159" s="1">
        <v>45863</v>
      </c>
      <c r="F159" s="2">
        <v>0.12729166666666666</v>
      </c>
      <c r="G159">
        <v>3</v>
      </c>
      <c r="H159" s="1">
        <v>45862</v>
      </c>
      <c r="I159" s="2">
        <v>0.62729166666666669</v>
      </c>
      <c r="J159">
        <v>15</v>
      </c>
      <c r="R159" t="s">
        <v>179</v>
      </c>
      <c r="W159">
        <v>1</v>
      </c>
      <c r="X159" t="s">
        <v>179</v>
      </c>
      <c r="AC159" t="s">
        <v>537</v>
      </c>
    </row>
    <row r="160" spans="1:29" ht="12.5" customHeight="1" x14ac:dyDescent="0.25">
      <c r="A160" t="s">
        <v>176</v>
      </c>
      <c r="C160" t="s">
        <v>538</v>
      </c>
      <c r="D160" t="s">
        <v>178</v>
      </c>
      <c r="E160" s="1">
        <v>45863</v>
      </c>
      <c r="F160" s="2">
        <v>0.13115740740740742</v>
      </c>
      <c r="G160">
        <v>3</v>
      </c>
      <c r="H160" s="1">
        <v>45862</v>
      </c>
      <c r="I160" s="2">
        <v>0.63115740740740744</v>
      </c>
      <c r="J160">
        <v>15</v>
      </c>
      <c r="R160" t="s">
        <v>179</v>
      </c>
      <c r="W160">
        <v>1</v>
      </c>
      <c r="X160" t="s">
        <v>179</v>
      </c>
      <c r="AC160" t="s">
        <v>539</v>
      </c>
    </row>
    <row r="161" spans="1:29" ht="12.5" customHeight="1" x14ac:dyDescent="0.25">
      <c r="A161" t="s">
        <v>176</v>
      </c>
      <c r="C161" t="s">
        <v>540</v>
      </c>
      <c r="D161" t="s">
        <v>178</v>
      </c>
      <c r="E161" s="1">
        <v>45863</v>
      </c>
      <c r="F161" s="2">
        <v>0.13973379629629631</v>
      </c>
      <c r="G161">
        <v>3</v>
      </c>
      <c r="H161" s="1">
        <v>45862</v>
      </c>
      <c r="I161" s="2">
        <v>0.63973379629629623</v>
      </c>
      <c r="J161">
        <v>15</v>
      </c>
      <c r="R161" t="s">
        <v>179</v>
      </c>
      <c r="W161">
        <v>1</v>
      </c>
      <c r="X161" t="s">
        <v>179</v>
      </c>
      <c r="AC161" t="s">
        <v>541</v>
      </c>
    </row>
    <row r="162" spans="1:29" ht="12.5" customHeight="1" x14ac:dyDescent="0.25">
      <c r="A162" t="s">
        <v>176</v>
      </c>
      <c r="C162" t="s">
        <v>542</v>
      </c>
      <c r="D162" t="s">
        <v>178</v>
      </c>
      <c r="E162" s="1">
        <v>45863</v>
      </c>
      <c r="F162" s="2">
        <v>0.14483796296296295</v>
      </c>
      <c r="G162">
        <v>3</v>
      </c>
      <c r="H162" s="1">
        <v>45862</v>
      </c>
      <c r="I162" s="2">
        <v>0.64483796296296292</v>
      </c>
      <c r="J162">
        <v>15</v>
      </c>
      <c r="R162" t="s">
        <v>179</v>
      </c>
      <c r="W162">
        <v>1</v>
      </c>
      <c r="X162" t="s">
        <v>179</v>
      </c>
      <c r="AC162" t="s">
        <v>543</v>
      </c>
    </row>
    <row r="163" spans="1:29" ht="12.5" customHeight="1" x14ac:dyDescent="0.25">
      <c r="A163" t="s">
        <v>176</v>
      </c>
      <c r="C163" t="s">
        <v>544</v>
      </c>
      <c r="D163" t="s">
        <v>178</v>
      </c>
      <c r="E163" s="1">
        <v>45863</v>
      </c>
      <c r="F163" s="2">
        <v>0.15484953703703705</v>
      </c>
      <c r="G163">
        <v>3</v>
      </c>
      <c r="H163" s="1">
        <v>45862</v>
      </c>
      <c r="I163" s="2">
        <v>0.65484953703703697</v>
      </c>
      <c r="J163">
        <v>15</v>
      </c>
      <c r="R163" t="s">
        <v>179</v>
      </c>
      <c r="W163">
        <v>1</v>
      </c>
      <c r="X163" t="s">
        <v>179</v>
      </c>
      <c r="AC163" t="s">
        <v>545</v>
      </c>
    </row>
    <row r="164" spans="1:29" ht="12.5" customHeight="1" x14ac:dyDescent="0.25">
      <c r="A164" t="s">
        <v>176</v>
      </c>
      <c r="C164" t="s">
        <v>546</v>
      </c>
      <c r="D164" t="s">
        <v>178</v>
      </c>
      <c r="E164" s="1">
        <v>45863</v>
      </c>
      <c r="F164" s="2">
        <v>0.14792824074074074</v>
      </c>
      <c r="G164">
        <v>3</v>
      </c>
      <c r="H164" s="1">
        <v>45862</v>
      </c>
      <c r="I164" s="2">
        <v>0.64792824074074074</v>
      </c>
      <c r="J164">
        <v>15</v>
      </c>
      <c r="R164" t="s">
        <v>179</v>
      </c>
      <c r="W164">
        <v>1</v>
      </c>
      <c r="X164" t="s">
        <v>179</v>
      </c>
      <c r="AC164" t="s">
        <v>547</v>
      </c>
    </row>
    <row r="165" spans="1:29" ht="12.5" customHeight="1" x14ac:dyDescent="0.25">
      <c r="A165" t="s">
        <v>176</v>
      </c>
      <c r="C165" t="s">
        <v>548</v>
      </c>
      <c r="D165" t="s">
        <v>178</v>
      </c>
      <c r="E165" s="1">
        <v>45863</v>
      </c>
      <c r="F165" s="2">
        <v>0.15246527777777777</v>
      </c>
      <c r="G165">
        <v>3</v>
      </c>
      <c r="H165" s="1">
        <v>45862</v>
      </c>
      <c r="I165" s="2">
        <v>0.65246527777777774</v>
      </c>
      <c r="J165">
        <v>15</v>
      </c>
      <c r="R165" t="s">
        <v>179</v>
      </c>
      <c r="W165">
        <v>1</v>
      </c>
      <c r="X165" t="s">
        <v>179</v>
      </c>
      <c r="AC165" t="s">
        <v>549</v>
      </c>
    </row>
    <row r="166" spans="1:29" ht="12.5" customHeight="1" x14ac:dyDescent="0.25">
      <c r="A166" t="s">
        <v>176</v>
      </c>
      <c r="C166" t="s">
        <v>550</v>
      </c>
      <c r="D166" t="s">
        <v>178</v>
      </c>
      <c r="E166" s="1">
        <v>45863</v>
      </c>
      <c r="F166" s="2">
        <v>8.8171296296296289E-2</v>
      </c>
      <c r="G166">
        <v>2</v>
      </c>
      <c r="H166" s="1">
        <v>45862</v>
      </c>
      <c r="I166" s="2">
        <v>0.58817129629629628</v>
      </c>
      <c r="J166">
        <v>14</v>
      </c>
      <c r="R166" t="s">
        <v>179</v>
      </c>
      <c r="W166">
        <v>1</v>
      </c>
      <c r="X166" t="s">
        <v>179</v>
      </c>
      <c r="AC166" t="s">
        <v>551</v>
      </c>
    </row>
    <row r="167" spans="1:29" ht="12.5" customHeight="1" x14ac:dyDescent="0.25">
      <c r="A167" t="s">
        <v>176</v>
      </c>
      <c r="C167" t="s">
        <v>552</v>
      </c>
      <c r="D167" t="s">
        <v>178</v>
      </c>
      <c r="E167" s="1">
        <v>45863</v>
      </c>
      <c r="F167" s="2">
        <v>8.8912037037037039E-2</v>
      </c>
      <c r="G167">
        <v>2</v>
      </c>
      <c r="H167" s="1">
        <v>45862</v>
      </c>
      <c r="I167" s="2">
        <v>0.58891203703703698</v>
      </c>
      <c r="J167">
        <v>14</v>
      </c>
      <c r="R167" t="s">
        <v>179</v>
      </c>
      <c r="W167">
        <v>1</v>
      </c>
      <c r="X167" t="s">
        <v>179</v>
      </c>
      <c r="AC167" t="s">
        <v>553</v>
      </c>
    </row>
    <row r="168" spans="1:29" ht="12.5" customHeight="1" x14ac:dyDescent="0.25">
      <c r="A168" t="s">
        <v>176</v>
      </c>
      <c r="C168" t="s">
        <v>554</v>
      </c>
      <c r="D168" t="s">
        <v>178</v>
      </c>
      <c r="E168" s="1">
        <v>45863</v>
      </c>
      <c r="F168" s="2">
        <v>9.2094907407407403E-2</v>
      </c>
      <c r="G168">
        <v>2</v>
      </c>
      <c r="H168" s="1">
        <v>45862</v>
      </c>
      <c r="I168" s="2">
        <v>0.59209490740740744</v>
      </c>
      <c r="J168">
        <v>14</v>
      </c>
      <c r="R168" t="s">
        <v>179</v>
      </c>
      <c r="W168">
        <v>1</v>
      </c>
      <c r="X168" t="s">
        <v>179</v>
      </c>
      <c r="AC168" t="s">
        <v>555</v>
      </c>
    </row>
    <row r="169" spans="1:29" ht="12.5" customHeight="1" x14ac:dyDescent="0.25">
      <c r="A169" t="s">
        <v>176</v>
      </c>
      <c r="C169" t="s">
        <v>556</v>
      </c>
      <c r="D169" t="s">
        <v>178</v>
      </c>
      <c r="E169" s="1">
        <v>45863</v>
      </c>
      <c r="F169" s="2">
        <v>9.6863425925925936E-2</v>
      </c>
      <c r="G169">
        <v>2</v>
      </c>
      <c r="H169" s="1">
        <v>45862</v>
      </c>
      <c r="I169" s="2">
        <v>0.59686342592592589</v>
      </c>
      <c r="J169">
        <v>14</v>
      </c>
      <c r="R169" t="s">
        <v>179</v>
      </c>
      <c r="W169">
        <v>1</v>
      </c>
      <c r="X169" t="s">
        <v>179</v>
      </c>
      <c r="AC169" t="s">
        <v>557</v>
      </c>
    </row>
    <row r="170" spans="1:29" ht="12.5" customHeight="1" x14ac:dyDescent="0.25">
      <c r="A170" t="s">
        <v>176</v>
      </c>
      <c r="C170" t="s">
        <v>558</v>
      </c>
      <c r="D170" t="s">
        <v>178</v>
      </c>
      <c r="E170" s="1">
        <v>45863</v>
      </c>
      <c r="F170" s="2">
        <v>0.10065972222222223</v>
      </c>
      <c r="G170">
        <v>2</v>
      </c>
      <c r="H170" s="1">
        <v>45862</v>
      </c>
      <c r="I170" s="2">
        <v>0.60065972222222219</v>
      </c>
      <c r="J170">
        <v>14</v>
      </c>
      <c r="R170" t="s">
        <v>179</v>
      </c>
      <c r="W170">
        <v>1</v>
      </c>
      <c r="X170" t="s">
        <v>179</v>
      </c>
      <c r="AC170" t="s">
        <v>559</v>
      </c>
    </row>
    <row r="171" spans="1:29" ht="12.5" customHeight="1" x14ac:dyDescent="0.25">
      <c r="A171" t="s">
        <v>176</v>
      </c>
      <c r="C171" t="s">
        <v>560</v>
      </c>
      <c r="D171" t="s">
        <v>178</v>
      </c>
      <c r="E171" s="1">
        <v>45863</v>
      </c>
      <c r="F171" s="2">
        <v>0.10300925925925926</v>
      </c>
      <c r="G171">
        <v>2</v>
      </c>
      <c r="H171" s="1">
        <v>45862</v>
      </c>
      <c r="I171" s="2">
        <v>0.60300925925925919</v>
      </c>
      <c r="J171">
        <v>14</v>
      </c>
      <c r="R171" t="s">
        <v>179</v>
      </c>
      <c r="W171">
        <v>1</v>
      </c>
      <c r="X171" t="s">
        <v>179</v>
      </c>
      <c r="AC171" t="s">
        <v>561</v>
      </c>
    </row>
    <row r="172" spans="1:29" ht="12.5" customHeight="1" x14ac:dyDescent="0.25">
      <c r="A172" t="s">
        <v>176</v>
      </c>
      <c r="C172" t="s">
        <v>562</v>
      </c>
      <c r="D172" t="s">
        <v>178</v>
      </c>
      <c r="E172" s="1">
        <v>45863</v>
      </c>
      <c r="F172" s="2">
        <v>0.10724537037037037</v>
      </c>
      <c r="G172">
        <v>2</v>
      </c>
      <c r="H172" s="1">
        <v>45862</v>
      </c>
      <c r="I172" s="2">
        <v>0.6072453703703703</v>
      </c>
      <c r="J172">
        <v>14</v>
      </c>
      <c r="R172" t="s">
        <v>179</v>
      </c>
      <c r="W172">
        <v>1</v>
      </c>
      <c r="X172" t="s">
        <v>179</v>
      </c>
      <c r="AC172" t="s">
        <v>563</v>
      </c>
    </row>
    <row r="173" spans="1:29" ht="12.5" customHeight="1" x14ac:dyDescent="0.25">
      <c r="A173" t="s">
        <v>176</v>
      </c>
      <c r="C173" t="s">
        <v>564</v>
      </c>
      <c r="D173" t="s">
        <v>178</v>
      </c>
      <c r="E173" s="1">
        <v>45863</v>
      </c>
      <c r="F173" s="2">
        <v>0.11376157407407407</v>
      </c>
      <c r="G173">
        <v>2</v>
      </c>
      <c r="H173" s="1">
        <v>45862</v>
      </c>
      <c r="I173" s="2">
        <v>0.61376157407407406</v>
      </c>
      <c r="J173">
        <v>14</v>
      </c>
      <c r="R173" t="s">
        <v>179</v>
      </c>
      <c r="W173">
        <v>1</v>
      </c>
      <c r="X173" t="s">
        <v>179</v>
      </c>
      <c r="AC173" t="s">
        <v>565</v>
      </c>
    </row>
    <row r="174" spans="1:29" ht="12.5" customHeight="1" x14ac:dyDescent="0.25">
      <c r="A174" t="s">
        <v>176</v>
      </c>
      <c r="C174" t="s">
        <v>566</v>
      </c>
      <c r="D174" t="s">
        <v>178</v>
      </c>
      <c r="E174" s="1">
        <v>45863</v>
      </c>
      <c r="F174" s="2">
        <v>0.12152777777777778</v>
      </c>
      <c r="G174">
        <v>2</v>
      </c>
      <c r="H174" s="1">
        <v>45862</v>
      </c>
      <c r="I174" s="2">
        <v>0.62152777777777779</v>
      </c>
      <c r="J174">
        <v>14</v>
      </c>
      <c r="R174" t="s">
        <v>179</v>
      </c>
      <c r="W174">
        <v>1</v>
      </c>
      <c r="X174" t="s">
        <v>179</v>
      </c>
      <c r="AC174" t="s">
        <v>567</v>
      </c>
    </row>
    <row r="175" spans="1:29" ht="12.5" customHeight="1" x14ac:dyDescent="0.25">
      <c r="A175" t="s">
        <v>176</v>
      </c>
      <c r="C175" t="s">
        <v>568</v>
      </c>
      <c r="D175" t="s">
        <v>178</v>
      </c>
      <c r="E175" s="1">
        <v>45863</v>
      </c>
      <c r="F175" s="2">
        <v>0.11877314814814814</v>
      </c>
      <c r="G175">
        <v>2</v>
      </c>
      <c r="H175" s="1">
        <v>45862</v>
      </c>
      <c r="I175" s="2">
        <v>0.6187731481481481</v>
      </c>
      <c r="J175">
        <v>14</v>
      </c>
      <c r="R175" t="s">
        <v>179</v>
      </c>
      <c r="W175">
        <v>1</v>
      </c>
      <c r="X175" t="s">
        <v>179</v>
      </c>
      <c r="AC175" t="s">
        <v>569</v>
      </c>
    </row>
    <row r="176" spans="1:29" ht="12.5" customHeight="1" x14ac:dyDescent="0.25">
      <c r="A176" t="s">
        <v>176</v>
      </c>
      <c r="C176" t="s">
        <v>570</v>
      </c>
      <c r="D176" t="s">
        <v>178</v>
      </c>
      <c r="E176" s="1">
        <v>45863</v>
      </c>
      <c r="F176" s="2">
        <v>0.11194444444444444</v>
      </c>
      <c r="G176">
        <v>2</v>
      </c>
      <c r="H176" s="1">
        <v>45862</v>
      </c>
      <c r="I176" s="2">
        <v>0.61194444444444451</v>
      </c>
      <c r="J176">
        <v>14</v>
      </c>
      <c r="R176" t="s">
        <v>179</v>
      </c>
      <c r="W176">
        <v>1</v>
      </c>
      <c r="X176" t="s">
        <v>179</v>
      </c>
      <c r="AC176" t="s">
        <v>571</v>
      </c>
    </row>
    <row r="177" spans="1:29" ht="12.5" customHeight="1" x14ac:dyDescent="0.25">
      <c r="A177" t="s">
        <v>176</v>
      </c>
      <c r="C177" t="s">
        <v>572</v>
      </c>
      <c r="D177" t="s">
        <v>178</v>
      </c>
      <c r="E177" s="1">
        <v>45863</v>
      </c>
      <c r="F177" s="2">
        <v>0.12434027777777779</v>
      </c>
      <c r="G177">
        <v>2</v>
      </c>
      <c r="H177" s="1">
        <v>45862</v>
      </c>
      <c r="I177" s="2">
        <v>0.62434027777777779</v>
      </c>
      <c r="J177">
        <v>14</v>
      </c>
      <c r="R177" t="s">
        <v>179</v>
      </c>
      <c r="W177">
        <v>1</v>
      </c>
      <c r="X177" t="s">
        <v>179</v>
      </c>
      <c r="AC177" t="s">
        <v>573</v>
      </c>
    </row>
    <row r="178" spans="1:29" ht="12.5" customHeight="1" x14ac:dyDescent="0.25">
      <c r="A178" t="s">
        <v>176</v>
      </c>
      <c r="C178" t="s">
        <v>574</v>
      </c>
      <c r="D178" t="s">
        <v>178</v>
      </c>
      <c r="E178" s="1">
        <v>45863</v>
      </c>
      <c r="F178" s="2">
        <v>4.6689814814814816E-2</v>
      </c>
      <c r="G178">
        <v>1</v>
      </c>
      <c r="H178" s="1">
        <v>45862</v>
      </c>
      <c r="I178" s="2">
        <v>0.54668981481481482</v>
      </c>
      <c r="J178">
        <v>13</v>
      </c>
      <c r="R178" t="s">
        <v>179</v>
      </c>
      <c r="W178">
        <v>1</v>
      </c>
      <c r="X178" t="s">
        <v>179</v>
      </c>
      <c r="AC178" t="s">
        <v>575</v>
      </c>
    </row>
    <row r="179" spans="1:29" ht="12.5" customHeight="1" x14ac:dyDescent="0.25">
      <c r="A179" t="s">
        <v>176</v>
      </c>
      <c r="C179" t="s">
        <v>576</v>
      </c>
      <c r="D179" t="s">
        <v>178</v>
      </c>
      <c r="E179" s="1">
        <v>45863</v>
      </c>
      <c r="F179" s="2">
        <v>6.4490740740740737E-2</v>
      </c>
      <c r="G179">
        <v>1</v>
      </c>
      <c r="H179" s="1">
        <v>45862</v>
      </c>
      <c r="I179" s="2">
        <v>0.56449074074074079</v>
      </c>
      <c r="J179">
        <v>13</v>
      </c>
      <c r="R179" t="s">
        <v>179</v>
      </c>
      <c r="W179">
        <v>1</v>
      </c>
      <c r="X179" t="s">
        <v>179</v>
      </c>
      <c r="AC179" t="s">
        <v>577</v>
      </c>
    </row>
    <row r="180" spans="1:29" ht="12.5" customHeight="1" x14ac:dyDescent="0.25">
      <c r="A180" t="s">
        <v>176</v>
      </c>
      <c r="C180" t="s">
        <v>578</v>
      </c>
      <c r="D180" t="s">
        <v>178</v>
      </c>
      <c r="E180" s="1">
        <v>45863</v>
      </c>
      <c r="F180" s="2">
        <v>6.6087962962962959E-2</v>
      </c>
      <c r="G180">
        <v>1</v>
      </c>
      <c r="H180" s="1">
        <v>45862</v>
      </c>
      <c r="I180" s="2">
        <v>0.56608796296296293</v>
      </c>
      <c r="J180">
        <v>13</v>
      </c>
      <c r="R180" t="s">
        <v>179</v>
      </c>
      <c r="W180">
        <v>1</v>
      </c>
      <c r="X180" t="s">
        <v>179</v>
      </c>
      <c r="AC180" t="s">
        <v>579</v>
      </c>
    </row>
    <row r="181" spans="1:29" ht="12.5" customHeight="1" x14ac:dyDescent="0.25">
      <c r="A181" t="s">
        <v>176</v>
      </c>
      <c r="C181" t="s">
        <v>580</v>
      </c>
      <c r="D181" t="s">
        <v>178</v>
      </c>
      <c r="E181" s="1">
        <v>45863</v>
      </c>
      <c r="F181" s="2">
        <v>7.2928240740740738E-2</v>
      </c>
      <c r="G181">
        <v>1</v>
      </c>
      <c r="H181" s="1">
        <v>45862</v>
      </c>
      <c r="I181" s="2">
        <v>0.57292824074074067</v>
      </c>
      <c r="J181">
        <v>13</v>
      </c>
      <c r="R181" t="s">
        <v>179</v>
      </c>
      <c r="W181">
        <v>1</v>
      </c>
      <c r="X181" t="s">
        <v>179</v>
      </c>
      <c r="AC181" t="s">
        <v>581</v>
      </c>
    </row>
    <row r="182" spans="1:29" ht="12.5" customHeight="1" x14ac:dyDescent="0.25">
      <c r="A182" t="s">
        <v>176</v>
      </c>
      <c r="C182" t="s">
        <v>582</v>
      </c>
      <c r="D182" t="s">
        <v>178</v>
      </c>
      <c r="E182" s="1">
        <v>45863</v>
      </c>
      <c r="F182" s="2">
        <v>7.5173611111111108E-2</v>
      </c>
      <c r="G182">
        <v>1</v>
      </c>
      <c r="H182" s="1">
        <v>45862</v>
      </c>
      <c r="I182" s="2">
        <v>0.57517361111111109</v>
      </c>
      <c r="J182">
        <v>13</v>
      </c>
      <c r="R182" t="s">
        <v>179</v>
      </c>
      <c r="W182">
        <v>1</v>
      </c>
      <c r="X182" t="s">
        <v>179</v>
      </c>
      <c r="AC182" t="s">
        <v>583</v>
      </c>
    </row>
    <row r="183" spans="1:29" ht="12.5" customHeight="1" x14ac:dyDescent="0.25">
      <c r="A183" t="s">
        <v>176</v>
      </c>
      <c r="C183" t="s">
        <v>584</v>
      </c>
      <c r="D183" t="s">
        <v>178</v>
      </c>
      <c r="E183" s="1">
        <v>45863</v>
      </c>
      <c r="F183" s="2">
        <v>8.0717592592592591E-2</v>
      </c>
      <c r="G183">
        <v>1</v>
      </c>
      <c r="H183" s="1">
        <v>45862</v>
      </c>
      <c r="I183" s="2">
        <v>0.58071759259259259</v>
      </c>
      <c r="J183">
        <v>13</v>
      </c>
      <c r="R183" t="s">
        <v>179</v>
      </c>
      <c r="W183">
        <v>1</v>
      </c>
      <c r="X183" t="s">
        <v>179</v>
      </c>
      <c r="AC183" t="s">
        <v>585</v>
      </c>
    </row>
    <row r="184" spans="1:29" ht="12.5" customHeight="1" x14ac:dyDescent="0.25">
      <c r="A184" t="s">
        <v>176</v>
      </c>
      <c r="C184" t="s">
        <v>586</v>
      </c>
      <c r="D184" t="s">
        <v>178</v>
      </c>
      <c r="E184" s="1">
        <v>45863</v>
      </c>
      <c r="F184" s="2">
        <v>8.0937499999999996E-2</v>
      </c>
      <c r="G184">
        <v>1</v>
      </c>
      <c r="H184" s="1">
        <v>45862</v>
      </c>
      <c r="I184" s="2">
        <v>0.5809375</v>
      </c>
      <c r="J184">
        <v>13</v>
      </c>
      <c r="R184" t="s">
        <v>179</v>
      </c>
      <c r="W184">
        <v>1</v>
      </c>
      <c r="X184" t="s">
        <v>179</v>
      </c>
      <c r="AC184" t="s">
        <v>587</v>
      </c>
    </row>
    <row r="185" spans="1:29" ht="12.5" customHeight="1" x14ac:dyDescent="0.25">
      <c r="A185" t="s">
        <v>176</v>
      </c>
      <c r="C185" t="s">
        <v>588</v>
      </c>
      <c r="D185" t="s">
        <v>178</v>
      </c>
      <c r="E185" s="1">
        <v>45863</v>
      </c>
      <c r="F185" s="2">
        <v>7.678240740740741E-2</v>
      </c>
      <c r="G185">
        <v>1</v>
      </c>
      <c r="H185" s="1">
        <v>45862</v>
      </c>
      <c r="I185" s="2">
        <v>0.57678240740740738</v>
      </c>
      <c r="J185">
        <v>13</v>
      </c>
      <c r="R185" t="s">
        <v>179</v>
      </c>
      <c r="W185">
        <v>1</v>
      </c>
      <c r="X185" t="s">
        <v>179</v>
      </c>
      <c r="AC185" t="s">
        <v>589</v>
      </c>
    </row>
    <row r="186" spans="1:29" ht="12.5" customHeight="1" x14ac:dyDescent="0.25">
      <c r="A186" t="s">
        <v>176</v>
      </c>
      <c r="C186" t="s">
        <v>590</v>
      </c>
      <c r="D186" t="s">
        <v>178</v>
      </c>
      <c r="E186" s="1">
        <v>45863</v>
      </c>
      <c r="F186" s="2">
        <v>9.0046296296296298E-3</v>
      </c>
      <c r="G186">
        <v>0</v>
      </c>
      <c r="H186" s="1">
        <v>45862</v>
      </c>
      <c r="I186" s="2">
        <v>0.50900462962962967</v>
      </c>
      <c r="J186">
        <v>12</v>
      </c>
      <c r="R186" t="s">
        <v>179</v>
      </c>
      <c r="W186">
        <v>1</v>
      </c>
      <c r="X186" t="s">
        <v>179</v>
      </c>
      <c r="AC186" t="s">
        <v>591</v>
      </c>
    </row>
    <row r="187" spans="1:29" ht="12.5" customHeight="1" x14ac:dyDescent="0.25">
      <c r="A187" t="s">
        <v>176</v>
      </c>
      <c r="C187" t="s">
        <v>592</v>
      </c>
      <c r="D187" t="s">
        <v>178</v>
      </c>
      <c r="E187" s="1">
        <v>45863</v>
      </c>
      <c r="F187" s="2">
        <v>1.5601851851851851E-2</v>
      </c>
      <c r="G187">
        <v>0</v>
      </c>
      <c r="H187" s="1">
        <v>45862</v>
      </c>
      <c r="I187" s="2">
        <v>0.51560185185185181</v>
      </c>
      <c r="J187">
        <v>12</v>
      </c>
      <c r="R187" t="s">
        <v>179</v>
      </c>
      <c r="W187">
        <v>1</v>
      </c>
      <c r="X187" t="s">
        <v>179</v>
      </c>
      <c r="AC187" t="s">
        <v>593</v>
      </c>
    </row>
    <row r="188" spans="1:29" ht="12.5" customHeight="1" x14ac:dyDescent="0.25">
      <c r="A188" t="s">
        <v>176</v>
      </c>
      <c r="C188" t="s">
        <v>594</v>
      </c>
      <c r="D188" t="s">
        <v>178</v>
      </c>
      <c r="E188" s="1">
        <v>45863</v>
      </c>
      <c r="F188" s="2">
        <v>2.8900462962962961E-2</v>
      </c>
      <c r="G188">
        <v>0</v>
      </c>
      <c r="H188" s="1">
        <v>45862</v>
      </c>
      <c r="I188" s="2">
        <v>0.52890046296296289</v>
      </c>
      <c r="J188">
        <v>12</v>
      </c>
      <c r="R188" t="s">
        <v>179</v>
      </c>
      <c r="W188">
        <v>1</v>
      </c>
      <c r="X188" t="s">
        <v>179</v>
      </c>
      <c r="AC188" t="s">
        <v>595</v>
      </c>
    </row>
    <row r="189" spans="1:29" ht="12.5" customHeight="1" x14ac:dyDescent="0.25">
      <c r="A189" t="s">
        <v>176</v>
      </c>
      <c r="C189" t="s">
        <v>596</v>
      </c>
      <c r="D189" t="s">
        <v>178</v>
      </c>
      <c r="E189" s="1">
        <v>45863</v>
      </c>
      <c r="F189" s="2">
        <v>3.1342592592592596E-2</v>
      </c>
      <c r="G189">
        <v>0</v>
      </c>
      <c r="H189" s="1">
        <v>45862</v>
      </c>
      <c r="I189" s="2">
        <v>0.53134259259259264</v>
      </c>
      <c r="J189">
        <v>12</v>
      </c>
      <c r="R189" t="s">
        <v>179</v>
      </c>
      <c r="W189">
        <v>1</v>
      </c>
      <c r="X189" t="s">
        <v>179</v>
      </c>
      <c r="AC189" t="s">
        <v>597</v>
      </c>
    </row>
    <row r="190" spans="1:29" ht="12.5" customHeight="1" x14ac:dyDescent="0.25">
      <c r="A190" t="s">
        <v>176</v>
      </c>
      <c r="C190" t="s">
        <v>598</v>
      </c>
      <c r="D190" t="s">
        <v>178</v>
      </c>
      <c r="E190" s="1">
        <v>45862</v>
      </c>
      <c r="F190" s="2">
        <v>0.9619212962962963</v>
      </c>
      <c r="G190">
        <v>23</v>
      </c>
      <c r="H190" s="1">
        <v>45862</v>
      </c>
      <c r="I190" s="2">
        <v>0.46192129629629625</v>
      </c>
      <c r="J190">
        <v>11</v>
      </c>
      <c r="R190" t="s">
        <v>179</v>
      </c>
      <c r="W190">
        <v>1</v>
      </c>
      <c r="X190" t="s">
        <v>179</v>
      </c>
      <c r="AC190" t="s">
        <v>599</v>
      </c>
    </row>
    <row r="191" spans="1:29" ht="12.5" customHeight="1" x14ac:dyDescent="0.25">
      <c r="A191" t="s">
        <v>176</v>
      </c>
      <c r="C191" t="s">
        <v>600</v>
      </c>
      <c r="D191" t="s">
        <v>178</v>
      </c>
      <c r="E191" s="1">
        <v>45862</v>
      </c>
      <c r="F191" s="2">
        <v>0.9666203703703703</v>
      </c>
      <c r="G191">
        <v>23</v>
      </c>
      <c r="H191" s="1">
        <v>45862</v>
      </c>
      <c r="I191" s="2">
        <v>0.46662037037037035</v>
      </c>
      <c r="J191">
        <v>11</v>
      </c>
      <c r="R191" t="s">
        <v>179</v>
      </c>
      <c r="W191">
        <v>1</v>
      </c>
      <c r="X191" t="s">
        <v>179</v>
      </c>
      <c r="AC191" t="s">
        <v>601</v>
      </c>
    </row>
    <row r="192" spans="1:29" ht="12.5" customHeight="1" x14ac:dyDescent="0.25">
      <c r="A192" t="s">
        <v>176</v>
      </c>
      <c r="C192" t="s">
        <v>602</v>
      </c>
      <c r="D192" t="s">
        <v>178</v>
      </c>
      <c r="E192" s="1">
        <v>45862</v>
      </c>
      <c r="F192" s="2">
        <v>0.96749999999999992</v>
      </c>
      <c r="G192">
        <v>23</v>
      </c>
      <c r="H192" s="1">
        <v>45862</v>
      </c>
      <c r="I192" s="2">
        <v>0.46750000000000003</v>
      </c>
      <c r="J192">
        <v>11</v>
      </c>
      <c r="R192" t="s">
        <v>179</v>
      </c>
      <c r="W192">
        <v>1</v>
      </c>
      <c r="X192" t="s">
        <v>179</v>
      </c>
      <c r="AC192" t="s">
        <v>603</v>
      </c>
    </row>
    <row r="193" spans="1:29" ht="12.5" customHeight="1" x14ac:dyDescent="0.25">
      <c r="A193" t="s">
        <v>176</v>
      </c>
      <c r="C193" t="s">
        <v>604</v>
      </c>
      <c r="D193" t="s">
        <v>178</v>
      </c>
      <c r="E193" s="1">
        <v>45862</v>
      </c>
      <c r="F193" s="2">
        <v>0.97991898148148149</v>
      </c>
      <c r="G193">
        <v>23</v>
      </c>
      <c r="H193" s="1">
        <v>45862</v>
      </c>
      <c r="I193" s="2">
        <v>0.47991898148148149</v>
      </c>
      <c r="J193">
        <v>11</v>
      </c>
      <c r="R193" t="s">
        <v>179</v>
      </c>
      <c r="W193">
        <v>1</v>
      </c>
      <c r="X193" t="s">
        <v>179</v>
      </c>
      <c r="AC193" t="s">
        <v>605</v>
      </c>
    </row>
    <row r="194" spans="1:29" ht="12.5" customHeight="1" x14ac:dyDescent="0.25">
      <c r="A194" t="s">
        <v>176</v>
      </c>
      <c r="C194" t="s">
        <v>606</v>
      </c>
      <c r="D194" t="s">
        <v>178</v>
      </c>
      <c r="E194" s="1">
        <v>45862</v>
      </c>
      <c r="F194" s="2">
        <v>0.97370370370370374</v>
      </c>
      <c r="G194">
        <v>23</v>
      </c>
      <c r="H194" s="1">
        <v>45862</v>
      </c>
      <c r="I194" s="2">
        <v>0.47370370370370374</v>
      </c>
      <c r="J194">
        <v>11</v>
      </c>
      <c r="R194" t="s">
        <v>179</v>
      </c>
      <c r="W194">
        <v>1</v>
      </c>
      <c r="X194" t="s">
        <v>179</v>
      </c>
      <c r="AC194" t="s">
        <v>607</v>
      </c>
    </row>
    <row r="195" spans="1:29" ht="12.5" customHeight="1" x14ac:dyDescent="0.25">
      <c r="A195" t="s">
        <v>176</v>
      </c>
      <c r="C195" t="s">
        <v>608</v>
      </c>
      <c r="D195" t="s">
        <v>178</v>
      </c>
      <c r="E195" s="1">
        <v>45862</v>
      </c>
      <c r="F195" s="2">
        <v>0.98387731481481477</v>
      </c>
      <c r="G195">
        <v>23</v>
      </c>
      <c r="H195" s="1">
        <v>45862</v>
      </c>
      <c r="I195" s="2">
        <v>0.48387731481481483</v>
      </c>
      <c r="J195">
        <v>11</v>
      </c>
      <c r="R195" t="s">
        <v>179</v>
      </c>
      <c r="W195">
        <v>1</v>
      </c>
      <c r="X195" t="s">
        <v>179</v>
      </c>
      <c r="AC195" t="s">
        <v>609</v>
      </c>
    </row>
    <row r="196" spans="1:29" ht="12.5" customHeight="1" x14ac:dyDescent="0.25">
      <c r="A196" t="s">
        <v>176</v>
      </c>
      <c r="C196" t="s">
        <v>610</v>
      </c>
      <c r="D196" t="s">
        <v>178</v>
      </c>
      <c r="E196" s="1">
        <v>45862</v>
      </c>
      <c r="F196" s="2">
        <v>0.98881944444444436</v>
      </c>
      <c r="G196">
        <v>23</v>
      </c>
      <c r="H196" s="1">
        <v>45862</v>
      </c>
      <c r="I196" s="2">
        <v>0.48881944444444447</v>
      </c>
      <c r="J196">
        <v>11</v>
      </c>
      <c r="R196" t="s">
        <v>179</v>
      </c>
      <c r="W196">
        <v>1</v>
      </c>
      <c r="X196" t="s">
        <v>179</v>
      </c>
      <c r="AC196" t="s">
        <v>611</v>
      </c>
    </row>
    <row r="197" spans="1:29" ht="12.5" customHeight="1" x14ac:dyDescent="0.25">
      <c r="A197" t="s">
        <v>176</v>
      </c>
      <c r="C197" t="s">
        <v>612</v>
      </c>
      <c r="D197" t="s">
        <v>178</v>
      </c>
      <c r="E197" s="1">
        <v>45862</v>
      </c>
      <c r="F197" s="2">
        <v>0.99609953703703702</v>
      </c>
      <c r="G197">
        <v>23</v>
      </c>
      <c r="H197" s="1">
        <v>45862</v>
      </c>
      <c r="I197" s="2">
        <v>0.49609953703703707</v>
      </c>
      <c r="J197">
        <v>11</v>
      </c>
      <c r="R197" t="s">
        <v>179</v>
      </c>
      <c r="W197">
        <v>1</v>
      </c>
      <c r="X197" t="s">
        <v>179</v>
      </c>
      <c r="AC197" t="s">
        <v>613</v>
      </c>
    </row>
    <row r="198" spans="1:29" ht="12.5" customHeight="1" x14ac:dyDescent="0.25">
      <c r="A198" t="s">
        <v>176</v>
      </c>
      <c r="C198" t="s">
        <v>614</v>
      </c>
      <c r="D198" t="s">
        <v>178</v>
      </c>
      <c r="E198" s="1">
        <v>45862</v>
      </c>
      <c r="F198" s="2">
        <v>0.99410879629629623</v>
      </c>
      <c r="G198">
        <v>23</v>
      </c>
      <c r="H198" s="1">
        <v>45862</v>
      </c>
      <c r="I198" s="2">
        <v>0.49410879629629628</v>
      </c>
      <c r="J198">
        <v>11</v>
      </c>
      <c r="R198" t="s">
        <v>179</v>
      </c>
      <c r="W198">
        <v>1</v>
      </c>
      <c r="X198" t="s">
        <v>179</v>
      </c>
      <c r="AC198" t="s">
        <v>615</v>
      </c>
    </row>
    <row r="199" spans="1:29" ht="12.5" customHeight="1" x14ac:dyDescent="0.25">
      <c r="A199" t="s">
        <v>176</v>
      </c>
      <c r="C199" t="s">
        <v>616</v>
      </c>
      <c r="D199" t="s">
        <v>178</v>
      </c>
      <c r="E199" s="1">
        <v>45862</v>
      </c>
      <c r="F199" s="2">
        <v>0.91759259259259263</v>
      </c>
      <c r="G199">
        <v>22</v>
      </c>
      <c r="H199" s="1">
        <v>45862</v>
      </c>
      <c r="I199" s="2">
        <v>0.41759259259259257</v>
      </c>
      <c r="J199">
        <v>10</v>
      </c>
      <c r="R199" t="s">
        <v>179</v>
      </c>
      <c r="W199">
        <v>1</v>
      </c>
      <c r="X199" t="s">
        <v>179</v>
      </c>
      <c r="AC199" t="s">
        <v>617</v>
      </c>
    </row>
    <row r="200" spans="1:29" ht="12.5" customHeight="1" x14ac:dyDescent="0.25">
      <c r="A200" t="s">
        <v>176</v>
      </c>
      <c r="C200" t="s">
        <v>618</v>
      </c>
      <c r="D200" t="s">
        <v>178</v>
      </c>
      <c r="E200" s="1">
        <v>45862</v>
      </c>
      <c r="F200" s="2">
        <v>0.9188425925925926</v>
      </c>
      <c r="G200">
        <v>22</v>
      </c>
      <c r="H200" s="1">
        <v>45862</v>
      </c>
      <c r="I200" s="2">
        <v>0.41884259259259254</v>
      </c>
      <c r="J200">
        <v>10</v>
      </c>
      <c r="R200" t="s">
        <v>179</v>
      </c>
      <c r="W200">
        <v>1</v>
      </c>
      <c r="X200" t="s">
        <v>179</v>
      </c>
      <c r="AC200" t="s">
        <v>619</v>
      </c>
    </row>
    <row r="201" spans="1:29" ht="12.5" customHeight="1" x14ac:dyDescent="0.25">
      <c r="A201" t="s">
        <v>176</v>
      </c>
      <c r="C201" t="s">
        <v>620</v>
      </c>
      <c r="D201" t="s">
        <v>178</v>
      </c>
      <c r="E201" s="1">
        <v>45862</v>
      </c>
      <c r="F201" s="2">
        <v>0.92018518518518511</v>
      </c>
      <c r="G201">
        <v>22</v>
      </c>
      <c r="H201" s="1">
        <v>45862</v>
      </c>
      <c r="I201" s="2">
        <v>0.42018518518518522</v>
      </c>
      <c r="J201">
        <v>10</v>
      </c>
      <c r="R201" t="s">
        <v>179</v>
      </c>
      <c r="W201">
        <v>1</v>
      </c>
      <c r="X201" t="s">
        <v>179</v>
      </c>
      <c r="AC201" t="s">
        <v>621</v>
      </c>
    </row>
    <row r="202" spans="1:29" ht="12.5" customHeight="1" x14ac:dyDescent="0.25">
      <c r="A202" t="s">
        <v>176</v>
      </c>
      <c r="C202" t="s">
        <v>622</v>
      </c>
      <c r="D202" t="s">
        <v>178</v>
      </c>
      <c r="E202" s="1">
        <v>45862</v>
      </c>
      <c r="F202" s="2">
        <v>0.92038194444444443</v>
      </c>
      <c r="G202">
        <v>22</v>
      </c>
      <c r="H202" s="1">
        <v>45862</v>
      </c>
      <c r="I202" s="2">
        <v>0.42038194444444449</v>
      </c>
      <c r="J202">
        <v>10</v>
      </c>
      <c r="R202" t="s">
        <v>179</v>
      </c>
      <c r="W202">
        <v>1</v>
      </c>
      <c r="X202" t="s">
        <v>179</v>
      </c>
      <c r="AC202" t="s">
        <v>623</v>
      </c>
    </row>
    <row r="203" spans="1:29" ht="12.5" customHeight="1" x14ac:dyDescent="0.25">
      <c r="A203" t="s">
        <v>176</v>
      </c>
      <c r="C203" t="s">
        <v>624</v>
      </c>
      <c r="D203" t="s">
        <v>178</v>
      </c>
      <c r="E203" s="1">
        <v>45862</v>
      </c>
      <c r="F203" s="2">
        <v>0.92010416666666661</v>
      </c>
      <c r="G203">
        <v>22</v>
      </c>
      <c r="H203" s="1">
        <v>45862</v>
      </c>
      <c r="I203" s="2">
        <v>0.42010416666666667</v>
      </c>
      <c r="J203">
        <v>10</v>
      </c>
      <c r="R203" t="s">
        <v>179</v>
      </c>
      <c r="W203">
        <v>1</v>
      </c>
      <c r="X203" t="s">
        <v>179</v>
      </c>
      <c r="AC203" t="s">
        <v>625</v>
      </c>
    </row>
    <row r="204" spans="1:29" ht="12.5" customHeight="1" x14ac:dyDescent="0.25">
      <c r="A204" t="s">
        <v>176</v>
      </c>
      <c r="C204" t="s">
        <v>626</v>
      </c>
      <c r="D204" t="s">
        <v>178</v>
      </c>
      <c r="E204" s="1">
        <v>45862</v>
      </c>
      <c r="F204" s="2">
        <v>0.91929398148148145</v>
      </c>
      <c r="G204">
        <v>22</v>
      </c>
      <c r="H204" s="1">
        <v>45862</v>
      </c>
      <c r="I204" s="2">
        <v>0.4192939814814815</v>
      </c>
      <c r="J204">
        <v>10</v>
      </c>
      <c r="R204" t="s">
        <v>179</v>
      </c>
      <c r="W204">
        <v>1</v>
      </c>
      <c r="X204" t="s">
        <v>179</v>
      </c>
      <c r="AC204" t="s">
        <v>627</v>
      </c>
    </row>
    <row r="205" spans="1:29" ht="12.5" customHeight="1" x14ac:dyDescent="0.25">
      <c r="A205" t="s">
        <v>176</v>
      </c>
      <c r="C205" t="s">
        <v>628</v>
      </c>
      <c r="D205" t="s">
        <v>178</v>
      </c>
      <c r="E205" s="1">
        <v>45862</v>
      </c>
      <c r="F205" s="2">
        <v>0.92056712962962972</v>
      </c>
      <c r="G205">
        <v>22</v>
      </c>
      <c r="H205" s="1">
        <v>45862</v>
      </c>
      <c r="I205" s="2">
        <v>0.42056712962962961</v>
      </c>
      <c r="J205">
        <v>10</v>
      </c>
      <c r="R205" t="s">
        <v>179</v>
      </c>
      <c r="W205">
        <v>1</v>
      </c>
      <c r="X205" t="s">
        <v>179</v>
      </c>
      <c r="AC205" t="s">
        <v>629</v>
      </c>
    </row>
    <row r="206" spans="1:29" ht="12.5" customHeight="1" x14ac:dyDescent="0.25">
      <c r="A206" t="s">
        <v>176</v>
      </c>
      <c r="C206" t="s">
        <v>630</v>
      </c>
      <c r="D206" t="s">
        <v>178</v>
      </c>
      <c r="E206" s="1">
        <v>45862</v>
      </c>
      <c r="F206" s="2">
        <v>0.92841435185185184</v>
      </c>
      <c r="G206">
        <v>22</v>
      </c>
      <c r="H206" s="1">
        <v>45862</v>
      </c>
      <c r="I206" s="2">
        <v>0.42841435185185189</v>
      </c>
      <c r="J206">
        <v>10</v>
      </c>
      <c r="R206" t="s">
        <v>179</v>
      </c>
      <c r="W206">
        <v>1</v>
      </c>
      <c r="X206" t="s">
        <v>179</v>
      </c>
      <c r="AC206" t="s">
        <v>631</v>
      </c>
    </row>
    <row r="207" spans="1:29" ht="12.5" customHeight="1" x14ac:dyDescent="0.25">
      <c r="A207" t="s">
        <v>176</v>
      </c>
      <c r="C207" t="s">
        <v>632</v>
      </c>
      <c r="D207" t="s">
        <v>178</v>
      </c>
      <c r="E207" s="1">
        <v>45862</v>
      </c>
      <c r="F207" s="2">
        <v>0.94008101851851855</v>
      </c>
      <c r="G207">
        <v>22</v>
      </c>
      <c r="H207" s="1">
        <v>45862</v>
      </c>
      <c r="I207" s="2">
        <v>0.4400810185185185</v>
      </c>
      <c r="J207">
        <v>10</v>
      </c>
      <c r="R207" t="s">
        <v>179</v>
      </c>
      <c r="W207">
        <v>1</v>
      </c>
      <c r="X207" t="s">
        <v>179</v>
      </c>
      <c r="AC207" t="s">
        <v>633</v>
      </c>
    </row>
    <row r="208" spans="1:29" ht="12.5" customHeight="1" x14ac:dyDescent="0.25">
      <c r="A208" t="s">
        <v>176</v>
      </c>
      <c r="C208" t="s">
        <v>634</v>
      </c>
      <c r="D208" t="s">
        <v>178</v>
      </c>
      <c r="E208" s="1">
        <v>45862</v>
      </c>
      <c r="F208" s="2">
        <v>0.94118055555555558</v>
      </c>
      <c r="G208">
        <v>22</v>
      </c>
      <c r="H208" s="1">
        <v>45862</v>
      </c>
      <c r="I208" s="2">
        <v>0.44118055555555552</v>
      </c>
      <c r="J208">
        <v>10</v>
      </c>
      <c r="R208" t="s">
        <v>179</v>
      </c>
      <c r="W208">
        <v>1</v>
      </c>
      <c r="X208" t="s">
        <v>179</v>
      </c>
      <c r="AC208" t="s">
        <v>635</v>
      </c>
    </row>
    <row r="209" spans="1:29" ht="12.5" customHeight="1" x14ac:dyDescent="0.25">
      <c r="A209" t="s">
        <v>176</v>
      </c>
      <c r="C209" t="s">
        <v>636</v>
      </c>
      <c r="D209" t="s">
        <v>178</v>
      </c>
      <c r="E209" s="1">
        <v>45862</v>
      </c>
      <c r="F209" s="2">
        <v>0.94665509259259262</v>
      </c>
      <c r="G209">
        <v>22</v>
      </c>
      <c r="H209" s="1">
        <v>45862</v>
      </c>
      <c r="I209" s="2">
        <v>0.44665509259259256</v>
      </c>
      <c r="J209">
        <v>10</v>
      </c>
      <c r="R209" t="s">
        <v>179</v>
      </c>
      <c r="W209">
        <v>1</v>
      </c>
      <c r="X209" t="s">
        <v>179</v>
      </c>
      <c r="AC209" t="s">
        <v>637</v>
      </c>
    </row>
    <row r="210" spans="1:29" ht="12.5" customHeight="1" x14ac:dyDescent="0.25">
      <c r="A210" t="s">
        <v>176</v>
      </c>
      <c r="C210" t="s">
        <v>638</v>
      </c>
      <c r="D210" t="s">
        <v>178</v>
      </c>
      <c r="E210" s="1">
        <v>45862</v>
      </c>
      <c r="F210" s="2">
        <v>0.94106481481481474</v>
      </c>
      <c r="G210">
        <v>22</v>
      </c>
      <c r="H210" s="1">
        <v>45862</v>
      </c>
      <c r="I210" s="2">
        <v>0.4410648148148148</v>
      </c>
      <c r="J210">
        <v>10</v>
      </c>
      <c r="R210" t="s">
        <v>179</v>
      </c>
      <c r="W210">
        <v>1</v>
      </c>
      <c r="X210" t="s">
        <v>179</v>
      </c>
      <c r="AC210" t="s">
        <v>639</v>
      </c>
    </row>
    <row r="211" spans="1:29" ht="12.5" customHeight="1" x14ac:dyDescent="0.25">
      <c r="A211" t="s">
        <v>176</v>
      </c>
      <c r="C211" t="s">
        <v>640</v>
      </c>
      <c r="D211" t="s">
        <v>178</v>
      </c>
      <c r="E211" s="1">
        <v>45862</v>
      </c>
      <c r="F211" s="2">
        <v>0.95340277777777782</v>
      </c>
      <c r="G211">
        <v>22</v>
      </c>
      <c r="H211" s="1">
        <v>45862</v>
      </c>
      <c r="I211" s="2">
        <v>0.45340277777777777</v>
      </c>
      <c r="J211">
        <v>10</v>
      </c>
      <c r="R211" t="s">
        <v>179</v>
      </c>
      <c r="W211">
        <v>1</v>
      </c>
      <c r="X211" t="s">
        <v>179</v>
      </c>
      <c r="AC211" t="s">
        <v>641</v>
      </c>
    </row>
    <row r="212" spans="1:29" ht="12.5" customHeight="1" x14ac:dyDescent="0.25">
      <c r="A212" t="s">
        <v>176</v>
      </c>
      <c r="C212" t="s">
        <v>642</v>
      </c>
      <c r="D212" t="s">
        <v>178</v>
      </c>
      <c r="E212" s="1">
        <v>45862</v>
      </c>
      <c r="F212" s="2">
        <v>0.87789351851851849</v>
      </c>
      <c r="G212">
        <v>21</v>
      </c>
      <c r="H212" s="1">
        <v>45862</v>
      </c>
      <c r="I212" s="2">
        <v>0.37789351851851855</v>
      </c>
      <c r="J212">
        <v>9</v>
      </c>
      <c r="R212" t="s">
        <v>179</v>
      </c>
      <c r="W212">
        <v>1</v>
      </c>
      <c r="X212" t="s">
        <v>179</v>
      </c>
      <c r="AC212" t="s">
        <v>643</v>
      </c>
    </row>
    <row r="213" spans="1:29" ht="12.5" customHeight="1" x14ac:dyDescent="0.25">
      <c r="A213" t="s">
        <v>176</v>
      </c>
      <c r="C213" t="s">
        <v>644</v>
      </c>
      <c r="D213" t="s">
        <v>178</v>
      </c>
      <c r="E213" s="1">
        <v>45862</v>
      </c>
      <c r="F213" s="2">
        <v>0.88753472222222218</v>
      </c>
      <c r="G213">
        <v>21</v>
      </c>
      <c r="H213" s="1">
        <v>45862</v>
      </c>
      <c r="I213" s="2">
        <v>0.38753472222222224</v>
      </c>
      <c r="J213">
        <v>9</v>
      </c>
      <c r="R213" t="s">
        <v>179</v>
      </c>
      <c r="W213">
        <v>1</v>
      </c>
      <c r="X213" t="s">
        <v>179</v>
      </c>
      <c r="AC213" t="s">
        <v>645</v>
      </c>
    </row>
    <row r="214" spans="1:29" ht="12.5" customHeight="1" x14ac:dyDescent="0.25">
      <c r="A214" t="s">
        <v>176</v>
      </c>
      <c r="C214" t="s">
        <v>646</v>
      </c>
      <c r="D214" t="s">
        <v>178</v>
      </c>
      <c r="E214" s="1">
        <v>45862</v>
      </c>
      <c r="F214" s="2">
        <v>0.8884375000000001</v>
      </c>
      <c r="G214">
        <v>21</v>
      </c>
      <c r="H214" s="1">
        <v>45862</v>
      </c>
      <c r="I214" s="2">
        <v>0.38843749999999999</v>
      </c>
      <c r="J214">
        <v>9</v>
      </c>
      <c r="R214" t="s">
        <v>179</v>
      </c>
      <c r="W214">
        <v>1</v>
      </c>
      <c r="X214" t="s">
        <v>179</v>
      </c>
      <c r="AC214" t="s">
        <v>647</v>
      </c>
    </row>
    <row r="215" spans="1:29" ht="12.5" customHeight="1" x14ac:dyDescent="0.25">
      <c r="A215" t="s">
        <v>176</v>
      </c>
      <c r="C215" t="s">
        <v>648</v>
      </c>
      <c r="D215" t="s">
        <v>178</v>
      </c>
      <c r="E215" s="1">
        <v>45862</v>
      </c>
      <c r="F215" s="2">
        <v>0.88083333333333336</v>
      </c>
      <c r="G215">
        <v>21</v>
      </c>
      <c r="H215" s="1">
        <v>45862</v>
      </c>
      <c r="I215" s="2">
        <v>0.38083333333333336</v>
      </c>
      <c r="J215">
        <v>9</v>
      </c>
      <c r="R215" t="s">
        <v>179</v>
      </c>
      <c r="W215">
        <v>1</v>
      </c>
      <c r="X215" t="s">
        <v>179</v>
      </c>
      <c r="AC215" t="s">
        <v>649</v>
      </c>
    </row>
    <row r="216" spans="1:29" ht="12.5" customHeight="1" x14ac:dyDescent="0.25">
      <c r="A216" t="s">
        <v>176</v>
      </c>
      <c r="C216" t="s">
        <v>650</v>
      </c>
      <c r="D216" t="s">
        <v>178</v>
      </c>
      <c r="E216" s="1">
        <v>45862</v>
      </c>
      <c r="F216" s="2">
        <v>0.88697916666666676</v>
      </c>
      <c r="G216">
        <v>21</v>
      </c>
      <c r="H216" s="1">
        <v>45862</v>
      </c>
      <c r="I216" s="2">
        <v>0.38697916666666665</v>
      </c>
      <c r="J216">
        <v>9</v>
      </c>
      <c r="R216" t="s">
        <v>179</v>
      </c>
      <c r="W216">
        <v>1</v>
      </c>
      <c r="X216" t="s">
        <v>179</v>
      </c>
      <c r="AC216" t="s">
        <v>651</v>
      </c>
    </row>
    <row r="217" spans="1:29" ht="12.5" customHeight="1" x14ac:dyDescent="0.25">
      <c r="A217" t="s">
        <v>176</v>
      </c>
      <c r="C217" t="s">
        <v>652</v>
      </c>
      <c r="D217" t="s">
        <v>178</v>
      </c>
      <c r="E217" s="1">
        <v>45862</v>
      </c>
      <c r="F217" s="2">
        <v>0.88796296296296295</v>
      </c>
      <c r="G217">
        <v>21</v>
      </c>
      <c r="H217" s="1">
        <v>45862</v>
      </c>
      <c r="I217" s="2">
        <v>0.38796296296296301</v>
      </c>
      <c r="J217">
        <v>9</v>
      </c>
      <c r="R217" t="s">
        <v>179</v>
      </c>
      <c r="W217">
        <v>1</v>
      </c>
      <c r="X217" t="s">
        <v>179</v>
      </c>
      <c r="AC217" t="s">
        <v>653</v>
      </c>
    </row>
    <row r="218" spans="1:29" ht="12.5" customHeight="1" x14ac:dyDescent="0.25">
      <c r="A218" t="s">
        <v>176</v>
      </c>
      <c r="C218" t="s">
        <v>654</v>
      </c>
      <c r="D218" t="s">
        <v>178</v>
      </c>
      <c r="E218" s="1">
        <v>45862</v>
      </c>
      <c r="F218" s="2">
        <v>0.88516203703703711</v>
      </c>
      <c r="G218">
        <v>21</v>
      </c>
      <c r="H218" s="1">
        <v>45862</v>
      </c>
      <c r="I218" s="2">
        <v>0.38516203703703705</v>
      </c>
      <c r="J218">
        <v>9</v>
      </c>
      <c r="R218" t="s">
        <v>179</v>
      </c>
      <c r="W218">
        <v>1</v>
      </c>
      <c r="X218" t="s">
        <v>179</v>
      </c>
      <c r="AC218" t="s">
        <v>655</v>
      </c>
    </row>
    <row r="219" spans="1:29" ht="12.5" customHeight="1" x14ac:dyDescent="0.25">
      <c r="A219" t="s">
        <v>176</v>
      </c>
      <c r="C219" t="s">
        <v>656</v>
      </c>
      <c r="D219" t="s">
        <v>178</v>
      </c>
      <c r="E219" s="1">
        <v>45862</v>
      </c>
      <c r="F219" s="2">
        <v>0.88940972222222225</v>
      </c>
      <c r="G219">
        <v>21</v>
      </c>
      <c r="H219" s="1">
        <v>45862</v>
      </c>
      <c r="I219" s="2">
        <v>0.3894097222222222</v>
      </c>
      <c r="J219">
        <v>9</v>
      </c>
      <c r="R219" t="s">
        <v>179</v>
      </c>
      <c r="W219">
        <v>1</v>
      </c>
      <c r="X219" t="s">
        <v>179</v>
      </c>
      <c r="AC219" t="s">
        <v>657</v>
      </c>
    </row>
    <row r="220" spans="1:29" ht="12.5" customHeight="1" x14ac:dyDescent="0.25">
      <c r="A220" t="s">
        <v>176</v>
      </c>
      <c r="C220" t="s">
        <v>658</v>
      </c>
      <c r="D220" t="s">
        <v>178</v>
      </c>
      <c r="E220" s="1">
        <v>45862</v>
      </c>
      <c r="F220" s="2">
        <v>0.89094907407407409</v>
      </c>
      <c r="G220">
        <v>21</v>
      </c>
      <c r="H220" s="1">
        <v>45862</v>
      </c>
      <c r="I220" s="2">
        <v>0.39094907407407403</v>
      </c>
      <c r="J220">
        <v>9</v>
      </c>
      <c r="R220" t="s">
        <v>179</v>
      </c>
      <c r="W220">
        <v>1</v>
      </c>
      <c r="X220" t="s">
        <v>179</v>
      </c>
      <c r="AC220" t="s">
        <v>659</v>
      </c>
    </row>
    <row r="221" spans="1:29" ht="12.5" customHeight="1" x14ac:dyDescent="0.25">
      <c r="A221" t="s">
        <v>176</v>
      </c>
      <c r="C221" t="s">
        <v>660</v>
      </c>
      <c r="D221" t="s">
        <v>178</v>
      </c>
      <c r="E221" s="1">
        <v>45862</v>
      </c>
      <c r="F221" s="2">
        <v>0.89076388888888891</v>
      </c>
      <c r="G221">
        <v>21</v>
      </c>
      <c r="H221" s="1">
        <v>45862</v>
      </c>
      <c r="I221" s="2">
        <v>0.39076388888888891</v>
      </c>
      <c r="J221">
        <v>9</v>
      </c>
      <c r="R221" t="s">
        <v>179</v>
      </c>
      <c r="W221">
        <v>1</v>
      </c>
      <c r="X221" t="s">
        <v>179</v>
      </c>
      <c r="AC221" t="s">
        <v>661</v>
      </c>
    </row>
    <row r="222" spans="1:29" ht="12.5" customHeight="1" x14ac:dyDescent="0.25">
      <c r="A222" t="s">
        <v>176</v>
      </c>
      <c r="C222" t="s">
        <v>662</v>
      </c>
      <c r="D222" t="s">
        <v>178</v>
      </c>
      <c r="E222" s="1">
        <v>45862</v>
      </c>
      <c r="F222" s="2">
        <v>0.87684027777777773</v>
      </c>
      <c r="G222">
        <v>21</v>
      </c>
      <c r="H222" s="1">
        <v>45862</v>
      </c>
      <c r="I222" s="2">
        <v>0.37684027777777779</v>
      </c>
      <c r="J222">
        <v>9</v>
      </c>
      <c r="R222" t="s">
        <v>179</v>
      </c>
      <c r="W222">
        <v>1</v>
      </c>
      <c r="X222" t="s">
        <v>179</v>
      </c>
      <c r="AC222" t="s">
        <v>663</v>
      </c>
    </row>
    <row r="223" spans="1:29" ht="12.5" customHeight="1" x14ac:dyDescent="0.25">
      <c r="A223" t="s">
        <v>176</v>
      </c>
      <c r="C223" t="s">
        <v>664</v>
      </c>
      <c r="D223" t="s">
        <v>178</v>
      </c>
      <c r="E223" s="1">
        <v>45862</v>
      </c>
      <c r="F223" s="2">
        <v>0.8872916666666667</v>
      </c>
      <c r="G223">
        <v>21</v>
      </c>
      <c r="H223" s="1">
        <v>45862</v>
      </c>
      <c r="I223" s="2">
        <v>0.38729166666666665</v>
      </c>
      <c r="J223">
        <v>9</v>
      </c>
      <c r="R223" t="s">
        <v>179</v>
      </c>
      <c r="W223">
        <v>1</v>
      </c>
      <c r="X223" t="s">
        <v>179</v>
      </c>
      <c r="AC223" t="s">
        <v>665</v>
      </c>
    </row>
    <row r="224" spans="1:29" ht="12.5" customHeight="1" x14ac:dyDescent="0.25">
      <c r="A224" t="s">
        <v>176</v>
      </c>
      <c r="C224" t="s">
        <v>666</v>
      </c>
      <c r="D224" t="s">
        <v>178</v>
      </c>
      <c r="E224" s="1">
        <v>45862</v>
      </c>
      <c r="F224" s="2">
        <v>0.88709490740740737</v>
      </c>
      <c r="G224">
        <v>21</v>
      </c>
      <c r="H224" s="1">
        <v>45862</v>
      </c>
      <c r="I224" s="2">
        <v>0.38709490740740743</v>
      </c>
      <c r="J224">
        <v>9</v>
      </c>
      <c r="R224" t="s">
        <v>179</v>
      </c>
      <c r="W224">
        <v>1</v>
      </c>
      <c r="X224" t="s">
        <v>179</v>
      </c>
      <c r="AC224" t="s">
        <v>667</v>
      </c>
    </row>
    <row r="225" spans="1:29" ht="12.5" customHeight="1" x14ac:dyDescent="0.25">
      <c r="A225" t="s">
        <v>176</v>
      </c>
      <c r="C225" t="s">
        <v>668</v>
      </c>
      <c r="D225" t="s">
        <v>178</v>
      </c>
      <c r="E225" s="1">
        <v>45862</v>
      </c>
      <c r="F225" s="2">
        <v>0.90171296296296299</v>
      </c>
      <c r="G225">
        <v>21</v>
      </c>
      <c r="H225" s="1">
        <v>45862</v>
      </c>
      <c r="I225" s="2">
        <v>0.40171296296296299</v>
      </c>
      <c r="J225">
        <v>9</v>
      </c>
      <c r="R225" t="s">
        <v>179</v>
      </c>
      <c r="W225">
        <v>1</v>
      </c>
      <c r="X225" t="s">
        <v>179</v>
      </c>
      <c r="AC225" t="s">
        <v>669</v>
      </c>
    </row>
    <row r="226" spans="1:29" ht="12.5" customHeight="1" x14ac:dyDescent="0.25">
      <c r="A226" t="s">
        <v>176</v>
      </c>
      <c r="C226" t="s">
        <v>670</v>
      </c>
      <c r="D226" t="s">
        <v>178</v>
      </c>
      <c r="E226" s="1">
        <v>45862</v>
      </c>
      <c r="F226" s="2">
        <v>0.89274305555555555</v>
      </c>
      <c r="G226">
        <v>21</v>
      </c>
      <c r="H226" s="1">
        <v>45862</v>
      </c>
      <c r="I226" s="2">
        <v>0.39274305555555555</v>
      </c>
      <c r="J226">
        <v>9</v>
      </c>
      <c r="R226" t="s">
        <v>179</v>
      </c>
      <c r="W226">
        <v>1</v>
      </c>
      <c r="X226" t="s">
        <v>179</v>
      </c>
      <c r="AC226" t="s">
        <v>671</v>
      </c>
    </row>
    <row r="227" spans="1:29" ht="12.5" customHeight="1" x14ac:dyDescent="0.25">
      <c r="A227" t="s">
        <v>176</v>
      </c>
      <c r="C227" t="s">
        <v>672</v>
      </c>
      <c r="D227" t="s">
        <v>178</v>
      </c>
      <c r="E227" s="1">
        <v>45862</v>
      </c>
      <c r="F227" s="2">
        <v>0.90665509259259258</v>
      </c>
      <c r="G227">
        <v>21</v>
      </c>
      <c r="H227" s="1">
        <v>45862</v>
      </c>
      <c r="I227" s="2">
        <v>0.40665509259259264</v>
      </c>
      <c r="J227">
        <v>9</v>
      </c>
      <c r="R227" t="s">
        <v>179</v>
      </c>
      <c r="W227">
        <v>1</v>
      </c>
      <c r="X227" t="s">
        <v>179</v>
      </c>
      <c r="AC227" t="s">
        <v>673</v>
      </c>
    </row>
    <row r="228" spans="1:29" ht="12.5" customHeight="1" x14ac:dyDescent="0.25">
      <c r="A228" t="s">
        <v>176</v>
      </c>
      <c r="C228" t="s">
        <v>674</v>
      </c>
      <c r="D228" t="s">
        <v>178</v>
      </c>
      <c r="E228" s="1">
        <v>45862</v>
      </c>
      <c r="F228" s="2">
        <v>0.89849537037037042</v>
      </c>
      <c r="G228">
        <v>21</v>
      </c>
      <c r="H228" s="1">
        <v>45862</v>
      </c>
      <c r="I228" s="2">
        <v>0.39849537037037036</v>
      </c>
      <c r="J228">
        <v>9</v>
      </c>
      <c r="R228" t="s">
        <v>179</v>
      </c>
      <c r="W228">
        <v>1</v>
      </c>
      <c r="X228" t="s">
        <v>179</v>
      </c>
      <c r="AC228" t="s">
        <v>675</v>
      </c>
    </row>
    <row r="229" spans="1:29" ht="12.5" customHeight="1" x14ac:dyDescent="0.25">
      <c r="A229" t="s">
        <v>176</v>
      </c>
      <c r="C229" t="s">
        <v>676</v>
      </c>
      <c r="D229" t="s">
        <v>178</v>
      </c>
      <c r="E229" s="1">
        <v>45862</v>
      </c>
      <c r="F229" s="2">
        <v>0.90219907407407407</v>
      </c>
      <c r="G229">
        <v>21</v>
      </c>
      <c r="H229" s="1">
        <v>45862</v>
      </c>
      <c r="I229" s="2">
        <v>0.40219907407407413</v>
      </c>
      <c r="J229">
        <v>9</v>
      </c>
      <c r="R229" t="s">
        <v>179</v>
      </c>
      <c r="W229">
        <v>1</v>
      </c>
      <c r="X229" t="s">
        <v>179</v>
      </c>
      <c r="AC229" t="s">
        <v>677</v>
      </c>
    </row>
    <row r="230" spans="1:29" ht="12.5" customHeight="1" x14ac:dyDescent="0.25">
      <c r="A230" t="s">
        <v>176</v>
      </c>
      <c r="C230" t="s">
        <v>678</v>
      </c>
      <c r="D230" t="s">
        <v>178</v>
      </c>
      <c r="E230" s="1">
        <v>45862</v>
      </c>
      <c r="F230" s="2">
        <v>0.89104166666666673</v>
      </c>
      <c r="G230">
        <v>21</v>
      </c>
      <c r="H230" s="1">
        <v>45862</v>
      </c>
      <c r="I230" s="2">
        <v>0.39104166666666668</v>
      </c>
      <c r="J230">
        <v>9</v>
      </c>
      <c r="R230" t="s">
        <v>179</v>
      </c>
      <c r="W230">
        <v>1</v>
      </c>
      <c r="X230" t="s">
        <v>179</v>
      </c>
      <c r="AC230" t="s">
        <v>679</v>
      </c>
    </row>
    <row r="231" spans="1:29" ht="12.5" customHeight="1" x14ac:dyDescent="0.25">
      <c r="A231" t="s">
        <v>176</v>
      </c>
      <c r="C231" t="s">
        <v>680</v>
      </c>
      <c r="D231" t="s">
        <v>178</v>
      </c>
      <c r="E231" s="1">
        <v>45862</v>
      </c>
      <c r="F231" s="2">
        <v>0.89619212962962969</v>
      </c>
      <c r="G231">
        <v>21</v>
      </c>
      <c r="H231" s="1">
        <v>45862</v>
      </c>
      <c r="I231" s="2">
        <v>0.39619212962962963</v>
      </c>
      <c r="J231">
        <v>9</v>
      </c>
      <c r="R231" t="s">
        <v>179</v>
      </c>
      <c r="W231">
        <v>1</v>
      </c>
      <c r="X231" t="s">
        <v>179</v>
      </c>
      <c r="AC231" t="s">
        <v>681</v>
      </c>
    </row>
    <row r="232" spans="1:29" ht="12.5" customHeight="1" x14ac:dyDescent="0.25">
      <c r="A232" t="s">
        <v>176</v>
      </c>
      <c r="C232" t="s">
        <v>682</v>
      </c>
      <c r="D232" t="s">
        <v>178</v>
      </c>
      <c r="E232" s="1">
        <v>45862</v>
      </c>
      <c r="F232" s="2">
        <v>0.89694444444444443</v>
      </c>
      <c r="G232">
        <v>21</v>
      </c>
      <c r="H232" s="1">
        <v>45862</v>
      </c>
      <c r="I232" s="2">
        <v>0.39694444444444449</v>
      </c>
      <c r="J232">
        <v>9</v>
      </c>
      <c r="R232" t="s">
        <v>179</v>
      </c>
      <c r="W232">
        <v>1</v>
      </c>
      <c r="X232" t="s">
        <v>179</v>
      </c>
      <c r="AC232" t="s">
        <v>683</v>
      </c>
    </row>
    <row r="233" spans="1:29" ht="12.5" customHeight="1" x14ac:dyDescent="0.25">
      <c r="A233" t="s">
        <v>176</v>
      </c>
      <c r="C233" t="s">
        <v>684</v>
      </c>
      <c r="D233" t="s">
        <v>178</v>
      </c>
      <c r="E233" s="1">
        <v>45862</v>
      </c>
      <c r="F233" s="2">
        <v>0.8951041666666667</v>
      </c>
      <c r="G233">
        <v>21</v>
      </c>
      <c r="H233" s="1">
        <v>45862</v>
      </c>
      <c r="I233" s="2">
        <v>0.39510416666666665</v>
      </c>
      <c r="J233">
        <v>9</v>
      </c>
      <c r="R233" t="s">
        <v>179</v>
      </c>
      <c r="W233">
        <v>1</v>
      </c>
      <c r="X233" t="s">
        <v>179</v>
      </c>
      <c r="AC233" t="s">
        <v>685</v>
      </c>
    </row>
    <row r="234" spans="1:29" ht="12.5" customHeight="1" x14ac:dyDescent="0.25">
      <c r="A234" t="s">
        <v>176</v>
      </c>
      <c r="C234" t="s">
        <v>686</v>
      </c>
      <c r="D234" t="s">
        <v>178</v>
      </c>
      <c r="E234" s="1">
        <v>45862</v>
      </c>
      <c r="F234" s="2">
        <v>0.90128472222222233</v>
      </c>
      <c r="G234">
        <v>21</v>
      </c>
      <c r="H234" s="1">
        <v>45862</v>
      </c>
      <c r="I234" s="2">
        <v>0.40128472222222222</v>
      </c>
      <c r="J234">
        <v>9</v>
      </c>
      <c r="R234" t="s">
        <v>179</v>
      </c>
      <c r="W234">
        <v>1</v>
      </c>
      <c r="X234" t="s">
        <v>179</v>
      </c>
      <c r="AC234" t="s">
        <v>687</v>
      </c>
    </row>
    <row r="235" spans="1:29" ht="12.5" customHeight="1" x14ac:dyDescent="0.25">
      <c r="A235" t="s">
        <v>176</v>
      </c>
      <c r="C235" t="s">
        <v>688</v>
      </c>
      <c r="D235" t="s">
        <v>178</v>
      </c>
      <c r="E235" s="1">
        <v>45862</v>
      </c>
      <c r="F235" s="2">
        <v>0.90256944444444442</v>
      </c>
      <c r="G235">
        <v>21</v>
      </c>
      <c r="H235" s="1">
        <v>45862</v>
      </c>
      <c r="I235" s="2">
        <v>0.40256944444444448</v>
      </c>
      <c r="J235">
        <v>9</v>
      </c>
      <c r="R235" t="s">
        <v>179</v>
      </c>
      <c r="W235">
        <v>1</v>
      </c>
      <c r="X235" t="s">
        <v>179</v>
      </c>
      <c r="AC235" t="s">
        <v>689</v>
      </c>
    </row>
    <row r="236" spans="1:29" ht="12.5" customHeight="1" x14ac:dyDescent="0.25">
      <c r="A236" t="s">
        <v>176</v>
      </c>
      <c r="C236" t="s">
        <v>690</v>
      </c>
      <c r="D236" t="s">
        <v>178</v>
      </c>
      <c r="E236" s="1">
        <v>45862</v>
      </c>
      <c r="F236" s="2">
        <v>0.90715277777777781</v>
      </c>
      <c r="G236">
        <v>21</v>
      </c>
      <c r="H236" s="1">
        <v>45862</v>
      </c>
      <c r="I236" s="2">
        <v>0.40715277777777775</v>
      </c>
      <c r="J236">
        <v>9</v>
      </c>
      <c r="R236" t="s">
        <v>179</v>
      </c>
      <c r="W236">
        <v>1</v>
      </c>
      <c r="X236" t="s">
        <v>179</v>
      </c>
      <c r="AC236" t="s">
        <v>691</v>
      </c>
    </row>
    <row r="237" spans="1:29" ht="12.5" customHeight="1" x14ac:dyDescent="0.25">
      <c r="A237" t="s">
        <v>176</v>
      </c>
      <c r="C237" t="s">
        <v>692</v>
      </c>
      <c r="D237" t="s">
        <v>178</v>
      </c>
      <c r="E237" s="1">
        <v>45862</v>
      </c>
      <c r="F237" s="2">
        <v>0.89997685185185183</v>
      </c>
      <c r="G237">
        <v>21</v>
      </c>
      <c r="H237" s="1">
        <v>45862</v>
      </c>
      <c r="I237" s="2">
        <v>0.39997685185185183</v>
      </c>
      <c r="J237">
        <v>9</v>
      </c>
      <c r="R237" t="s">
        <v>179</v>
      </c>
      <c r="W237">
        <v>1</v>
      </c>
      <c r="X237" t="s">
        <v>179</v>
      </c>
      <c r="AC237" t="s">
        <v>693</v>
      </c>
    </row>
    <row r="238" spans="1:29" ht="12.5" customHeight="1" x14ac:dyDescent="0.25">
      <c r="A238" t="s">
        <v>176</v>
      </c>
      <c r="C238" t="s">
        <v>694</v>
      </c>
      <c r="D238" t="s">
        <v>178</v>
      </c>
      <c r="E238" s="1">
        <v>45862</v>
      </c>
      <c r="F238" s="2">
        <v>0.91074074074074074</v>
      </c>
      <c r="G238">
        <v>21</v>
      </c>
      <c r="H238" s="1">
        <v>45862</v>
      </c>
      <c r="I238" s="2">
        <v>0.4107407407407408</v>
      </c>
      <c r="J238">
        <v>9</v>
      </c>
      <c r="R238" t="s">
        <v>179</v>
      </c>
      <c r="W238">
        <v>1</v>
      </c>
      <c r="X238" t="s">
        <v>179</v>
      </c>
      <c r="AC238" t="s">
        <v>695</v>
      </c>
    </row>
    <row r="239" spans="1:29" ht="12.5" customHeight="1" x14ac:dyDescent="0.25">
      <c r="A239" t="s">
        <v>176</v>
      </c>
      <c r="C239" t="s">
        <v>696</v>
      </c>
      <c r="D239" t="s">
        <v>178</v>
      </c>
      <c r="E239" s="1">
        <v>45862</v>
      </c>
      <c r="F239" s="2">
        <v>0.90819444444444442</v>
      </c>
      <c r="G239">
        <v>21</v>
      </c>
      <c r="H239" s="1">
        <v>45862</v>
      </c>
      <c r="I239" s="2">
        <v>0.40819444444444447</v>
      </c>
      <c r="J239">
        <v>9</v>
      </c>
      <c r="R239" t="s">
        <v>179</v>
      </c>
      <c r="W239">
        <v>1</v>
      </c>
      <c r="X239" t="s">
        <v>179</v>
      </c>
      <c r="AC239" t="s">
        <v>697</v>
      </c>
    </row>
    <row r="240" spans="1:29" ht="12.5" customHeight="1" x14ac:dyDescent="0.25">
      <c r="A240" t="s">
        <v>176</v>
      </c>
      <c r="C240" t="s">
        <v>698</v>
      </c>
      <c r="D240" t="s">
        <v>178</v>
      </c>
      <c r="E240" s="1">
        <v>45862</v>
      </c>
      <c r="F240" s="2">
        <v>0.91623842592592597</v>
      </c>
      <c r="G240">
        <v>21</v>
      </c>
      <c r="H240" s="1">
        <v>45862</v>
      </c>
      <c r="I240" s="2">
        <v>0.41623842592592591</v>
      </c>
      <c r="J240">
        <v>9</v>
      </c>
      <c r="R240" t="s">
        <v>179</v>
      </c>
      <c r="W240">
        <v>1</v>
      </c>
      <c r="X240" t="s">
        <v>179</v>
      </c>
      <c r="AC240" t="s">
        <v>699</v>
      </c>
    </row>
    <row r="241" spans="1:29" ht="12.5" customHeight="1" x14ac:dyDescent="0.25">
      <c r="A241" t="s">
        <v>176</v>
      </c>
      <c r="C241" t="s">
        <v>700</v>
      </c>
      <c r="D241" t="s">
        <v>178</v>
      </c>
      <c r="E241" s="1">
        <v>45862</v>
      </c>
      <c r="F241" s="2">
        <v>0.91123842592592597</v>
      </c>
      <c r="G241">
        <v>21</v>
      </c>
      <c r="H241" s="1">
        <v>45862</v>
      </c>
      <c r="I241" s="2">
        <v>0.41123842592592591</v>
      </c>
      <c r="J241">
        <v>9</v>
      </c>
      <c r="R241" t="s">
        <v>179</v>
      </c>
      <c r="W241">
        <v>1</v>
      </c>
      <c r="X241" t="s">
        <v>179</v>
      </c>
      <c r="AC241" t="s">
        <v>701</v>
      </c>
    </row>
    <row r="242" spans="1:29" ht="12.5" customHeight="1" x14ac:dyDescent="0.25">
      <c r="A242" t="s">
        <v>176</v>
      </c>
      <c r="C242" t="s">
        <v>702</v>
      </c>
      <c r="D242" t="s">
        <v>178</v>
      </c>
      <c r="E242" s="1">
        <v>45862</v>
      </c>
      <c r="F242" s="2">
        <v>0.91178240740740746</v>
      </c>
      <c r="G242">
        <v>21</v>
      </c>
      <c r="H242" s="1">
        <v>45862</v>
      </c>
      <c r="I242" s="2">
        <v>0.4117824074074074</v>
      </c>
      <c r="J242">
        <v>9</v>
      </c>
      <c r="R242" t="s">
        <v>179</v>
      </c>
      <c r="W242">
        <v>1</v>
      </c>
      <c r="X242" t="s">
        <v>179</v>
      </c>
      <c r="AC242" t="s">
        <v>703</v>
      </c>
    </row>
    <row r="243" spans="1:29" ht="12.5" customHeight="1" x14ac:dyDescent="0.25">
      <c r="A243" t="s">
        <v>176</v>
      </c>
      <c r="C243" t="s">
        <v>704</v>
      </c>
      <c r="D243" t="s">
        <v>178</v>
      </c>
      <c r="E243" s="1">
        <v>45863</v>
      </c>
      <c r="F243" s="2">
        <v>0.14047453703703702</v>
      </c>
      <c r="G243">
        <v>3</v>
      </c>
      <c r="H243" s="1">
        <v>45862</v>
      </c>
      <c r="I243" s="2">
        <v>0.64047453703703705</v>
      </c>
      <c r="J243">
        <v>15</v>
      </c>
      <c r="R243" t="s">
        <v>179</v>
      </c>
      <c r="W243">
        <v>1</v>
      </c>
      <c r="X243" t="s">
        <v>148</v>
      </c>
      <c r="AC243" t="s">
        <v>705</v>
      </c>
    </row>
    <row r="244" spans="1:29" ht="12.5" customHeight="1" x14ac:dyDescent="0.25">
      <c r="A244" t="s">
        <v>176</v>
      </c>
      <c r="C244" t="s">
        <v>706</v>
      </c>
      <c r="D244" t="s">
        <v>178</v>
      </c>
      <c r="E244" s="1">
        <v>45863</v>
      </c>
      <c r="F244" s="2">
        <v>7.4259259259259261E-2</v>
      </c>
      <c r="G244">
        <v>1</v>
      </c>
      <c r="H244" s="1">
        <v>45862</v>
      </c>
      <c r="I244" s="2">
        <v>0.57425925925925925</v>
      </c>
      <c r="J244">
        <v>13</v>
      </c>
      <c r="R244" t="s">
        <v>494</v>
      </c>
      <c r="S244">
        <v>7</v>
      </c>
      <c r="T244">
        <v>7</v>
      </c>
      <c r="U244">
        <v>1</v>
      </c>
      <c r="V244" t="s">
        <v>707</v>
      </c>
      <c r="W244">
        <v>1</v>
      </c>
      <c r="X244" t="s">
        <v>29</v>
      </c>
      <c r="AC244" t="s">
        <v>708</v>
      </c>
    </row>
    <row r="245" spans="1:29" ht="12.5" customHeight="1" x14ac:dyDescent="0.25">
      <c r="A245" t="s">
        <v>176</v>
      </c>
      <c r="C245" t="s">
        <v>709</v>
      </c>
      <c r="D245" t="s">
        <v>178</v>
      </c>
      <c r="E245" s="1">
        <v>45862</v>
      </c>
      <c r="F245" s="2">
        <v>0.93108796296296292</v>
      </c>
      <c r="G245">
        <v>22</v>
      </c>
      <c r="H245" s="1">
        <v>45862</v>
      </c>
      <c r="I245" s="2">
        <v>0.43108796296296298</v>
      </c>
      <c r="J245">
        <v>10</v>
      </c>
      <c r="K245" t="s">
        <v>195</v>
      </c>
      <c r="R245" t="s">
        <v>494</v>
      </c>
      <c r="S245">
        <v>10</v>
      </c>
      <c r="T245">
        <v>9</v>
      </c>
      <c r="U245" t="s">
        <v>710</v>
      </c>
      <c r="V245" t="s">
        <v>711</v>
      </c>
      <c r="W245">
        <v>1</v>
      </c>
      <c r="X245" t="s">
        <v>29</v>
      </c>
      <c r="AC245" t="s">
        <v>712</v>
      </c>
    </row>
    <row r="246" spans="1:29" ht="12.5" customHeight="1" x14ac:dyDescent="0.25">
      <c r="A246" t="s">
        <v>176</v>
      </c>
      <c r="C246" t="s">
        <v>713</v>
      </c>
      <c r="D246" t="s">
        <v>178</v>
      </c>
      <c r="E246" s="1">
        <v>45863</v>
      </c>
      <c r="F246" s="2">
        <v>0.12256944444444444</v>
      </c>
      <c r="G246">
        <v>2</v>
      </c>
      <c r="H246" s="1">
        <v>45862</v>
      </c>
      <c r="I246" s="2">
        <v>0.6225694444444444</v>
      </c>
      <c r="J246">
        <v>14</v>
      </c>
      <c r="K246" t="s">
        <v>195</v>
      </c>
      <c r="R246" t="s">
        <v>494</v>
      </c>
      <c r="S246">
        <v>18</v>
      </c>
      <c r="T246">
        <v>11</v>
      </c>
      <c r="U246" t="s">
        <v>714</v>
      </c>
      <c r="V246" t="s">
        <v>715</v>
      </c>
      <c r="W246">
        <v>1</v>
      </c>
      <c r="X246" t="s">
        <v>29</v>
      </c>
      <c r="AC246" t="s">
        <v>716</v>
      </c>
    </row>
    <row r="247" spans="1:29" ht="12.5" customHeight="1" x14ac:dyDescent="0.25">
      <c r="A247" t="s">
        <v>176</v>
      </c>
      <c r="C247" t="s">
        <v>717</v>
      </c>
      <c r="D247" t="s">
        <v>178</v>
      </c>
      <c r="E247" s="1">
        <v>45863</v>
      </c>
      <c r="F247" s="2">
        <v>6.1828703703703712E-2</v>
      </c>
      <c r="G247">
        <v>1</v>
      </c>
      <c r="H247" s="1">
        <v>45862</v>
      </c>
      <c r="I247" s="2">
        <v>0.56182870370370364</v>
      </c>
      <c r="J247">
        <v>13</v>
      </c>
      <c r="K247" t="s">
        <v>195</v>
      </c>
      <c r="R247" t="s">
        <v>494</v>
      </c>
      <c r="S247">
        <v>14</v>
      </c>
      <c r="T247">
        <v>6</v>
      </c>
      <c r="U247" t="s">
        <v>718</v>
      </c>
      <c r="V247" t="s">
        <v>719</v>
      </c>
      <c r="W247">
        <v>1</v>
      </c>
      <c r="X247" t="s">
        <v>29</v>
      </c>
      <c r="AC247" t="s">
        <v>720</v>
      </c>
    </row>
    <row r="248" spans="1:29" ht="12.5" customHeight="1" x14ac:dyDescent="0.25">
      <c r="A248" t="s">
        <v>176</v>
      </c>
      <c r="C248" t="s">
        <v>721</v>
      </c>
      <c r="D248" t="s">
        <v>178</v>
      </c>
      <c r="E248" s="1">
        <v>45863</v>
      </c>
      <c r="F248" s="2">
        <v>0.12672453703703704</v>
      </c>
      <c r="G248">
        <v>3</v>
      </c>
      <c r="H248" s="1">
        <v>45862</v>
      </c>
      <c r="I248" s="2">
        <v>0.62672453703703701</v>
      </c>
      <c r="J248">
        <v>15</v>
      </c>
      <c r="R248" t="s">
        <v>200</v>
      </c>
      <c r="S248">
        <v>7</v>
      </c>
      <c r="T248">
        <v>0</v>
      </c>
      <c r="U248">
        <v>0</v>
      </c>
      <c r="V248">
        <v>0</v>
      </c>
      <c r="W248">
        <v>1</v>
      </c>
      <c r="X248" t="s">
        <v>29</v>
      </c>
      <c r="AC248" t="s">
        <v>722</v>
      </c>
    </row>
    <row r="249" spans="1:29" ht="12.5" customHeight="1" x14ac:dyDescent="0.25">
      <c r="A249" t="s">
        <v>176</v>
      </c>
      <c r="C249" t="s">
        <v>723</v>
      </c>
      <c r="D249" t="s">
        <v>178</v>
      </c>
      <c r="E249" s="1">
        <v>45863</v>
      </c>
      <c r="F249" s="2">
        <v>0.12680555555555556</v>
      </c>
      <c r="G249">
        <v>3</v>
      </c>
      <c r="H249" s="1">
        <v>45862</v>
      </c>
      <c r="I249" s="2">
        <v>0.6268055555555555</v>
      </c>
      <c r="J249">
        <v>15</v>
      </c>
      <c r="R249" t="s">
        <v>200</v>
      </c>
      <c r="S249">
        <v>4</v>
      </c>
      <c r="T249">
        <v>0</v>
      </c>
      <c r="U249">
        <v>0</v>
      </c>
      <c r="V249">
        <v>0</v>
      </c>
      <c r="W249">
        <v>1</v>
      </c>
      <c r="X249" t="s">
        <v>29</v>
      </c>
      <c r="AC249" t="s">
        <v>724</v>
      </c>
    </row>
    <row r="250" spans="1:29" ht="12.5" customHeight="1" x14ac:dyDescent="0.25">
      <c r="A250" t="s">
        <v>176</v>
      </c>
      <c r="C250" t="s">
        <v>725</v>
      </c>
      <c r="D250" t="s">
        <v>178</v>
      </c>
      <c r="E250" s="1">
        <v>45863</v>
      </c>
      <c r="F250" s="2">
        <v>0.14039351851851853</v>
      </c>
      <c r="G250">
        <v>3</v>
      </c>
      <c r="H250" s="1">
        <v>45862</v>
      </c>
      <c r="I250" s="2">
        <v>0.64039351851851845</v>
      </c>
      <c r="J250">
        <v>15</v>
      </c>
      <c r="R250" t="s">
        <v>200</v>
      </c>
      <c r="S250">
        <v>16</v>
      </c>
      <c r="T250">
        <v>0</v>
      </c>
      <c r="U250">
        <v>0</v>
      </c>
      <c r="V250">
        <v>0</v>
      </c>
      <c r="W250">
        <v>1</v>
      </c>
      <c r="X250" t="s">
        <v>29</v>
      </c>
      <c r="AC250" t="s">
        <v>726</v>
      </c>
    </row>
    <row r="251" spans="1:29" ht="12.5" customHeight="1" x14ac:dyDescent="0.25">
      <c r="A251" t="s">
        <v>176</v>
      </c>
      <c r="C251" t="s">
        <v>727</v>
      </c>
      <c r="D251" t="s">
        <v>178</v>
      </c>
      <c r="E251" s="1">
        <v>45863</v>
      </c>
      <c r="F251" s="2">
        <v>0.11408564814814814</v>
      </c>
      <c r="G251">
        <v>2</v>
      </c>
      <c r="H251" s="1">
        <v>45862</v>
      </c>
      <c r="I251" s="2">
        <v>0.61408564814814814</v>
      </c>
      <c r="J251">
        <v>14</v>
      </c>
      <c r="K251" t="s">
        <v>494</v>
      </c>
      <c r="L251" t="s">
        <v>195</v>
      </c>
      <c r="R251" t="s">
        <v>200</v>
      </c>
      <c r="S251">
        <v>2</v>
      </c>
      <c r="T251">
        <v>0</v>
      </c>
      <c r="U251">
        <v>0</v>
      </c>
      <c r="V251">
        <v>0</v>
      </c>
      <c r="W251">
        <v>1</v>
      </c>
      <c r="X251" t="s">
        <v>29</v>
      </c>
      <c r="AC251" t="s">
        <v>728</v>
      </c>
    </row>
    <row r="252" spans="1:29" ht="12.5" customHeight="1" x14ac:dyDescent="0.25">
      <c r="A252" t="s">
        <v>176</v>
      </c>
      <c r="C252" t="s">
        <v>729</v>
      </c>
      <c r="D252" t="s">
        <v>178</v>
      </c>
      <c r="E252" s="1">
        <v>45863</v>
      </c>
      <c r="F252" s="2">
        <v>0.12265046296296296</v>
      </c>
      <c r="G252">
        <v>2</v>
      </c>
      <c r="H252" s="1">
        <v>45862</v>
      </c>
      <c r="I252" s="2">
        <v>0.62265046296296289</v>
      </c>
      <c r="J252">
        <v>14</v>
      </c>
      <c r="R252" t="s">
        <v>200</v>
      </c>
      <c r="S252">
        <v>3</v>
      </c>
      <c r="T252">
        <v>0</v>
      </c>
      <c r="U252">
        <v>0</v>
      </c>
      <c r="V252">
        <v>0</v>
      </c>
      <c r="W252">
        <v>1</v>
      </c>
      <c r="X252" t="s">
        <v>29</v>
      </c>
      <c r="AC252" t="s">
        <v>730</v>
      </c>
    </row>
    <row r="253" spans="1:29" ht="12.5" customHeight="1" x14ac:dyDescent="0.25">
      <c r="A253" t="s">
        <v>176</v>
      </c>
      <c r="C253" t="s">
        <v>731</v>
      </c>
      <c r="D253" t="s">
        <v>178</v>
      </c>
      <c r="E253" s="1">
        <v>45862</v>
      </c>
      <c r="F253" s="2">
        <v>0.96953703703703698</v>
      </c>
      <c r="G253">
        <v>23</v>
      </c>
      <c r="H253" s="1">
        <v>45862</v>
      </c>
      <c r="I253" s="2">
        <v>0.46953703703703703</v>
      </c>
      <c r="J253">
        <v>11</v>
      </c>
      <c r="R253" t="s">
        <v>200</v>
      </c>
      <c r="S253">
        <v>5</v>
      </c>
      <c r="T253">
        <v>0</v>
      </c>
      <c r="U253">
        <v>0</v>
      </c>
      <c r="V253">
        <v>0</v>
      </c>
      <c r="W253">
        <v>1</v>
      </c>
      <c r="X253" t="s">
        <v>29</v>
      </c>
      <c r="AC253" t="s">
        <v>732</v>
      </c>
    </row>
    <row r="254" spans="1:29" ht="12.5" customHeight="1" x14ac:dyDescent="0.25">
      <c r="A254" t="s">
        <v>176</v>
      </c>
      <c r="C254" t="s">
        <v>733</v>
      </c>
      <c r="D254" t="s">
        <v>178</v>
      </c>
      <c r="E254" s="1">
        <v>45862</v>
      </c>
      <c r="F254" s="2">
        <v>0.96944444444444444</v>
      </c>
      <c r="G254">
        <v>23</v>
      </c>
      <c r="H254" s="1">
        <v>45862</v>
      </c>
      <c r="I254" s="2">
        <v>0.4694444444444445</v>
      </c>
      <c r="J254">
        <v>11</v>
      </c>
      <c r="K254" t="s">
        <v>494</v>
      </c>
      <c r="L254" t="s">
        <v>493</v>
      </c>
      <c r="R254" t="s">
        <v>195</v>
      </c>
      <c r="S254">
        <v>5</v>
      </c>
      <c r="T254">
        <v>3</v>
      </c>
      <c r="U254" t="s">
        <v>734</v>
      </c>
      <c r="V254" t="s">
        <v>735</v>
      </c>
      <c r="W254">
        <v>1</v>
      </c>
      <c r="X254" t="s">
        <v>736</v>
      </c>
      <c r="AC254" t="s">
        <v>737</v>
      </c>
    </row>
    <row r="255" spans="1:29" ht="12.5" customHeight="1" x14ac:dyDescent="0.25">
      <c r="A255" t="s">
        <v>176</v>
      </c>
      <c r="C255" t="s">
        <v>738</v>
      </c>
      <c r="D255" t="s">
        <v>178</v>
      </c>
      <c r="E255" s="1">
        <v>45862</v>
      </c>
      <c r="F255" s="2">
        <v>0.92680555555555555</v>
      </c>
      <c r="G255">
        <v>22</v>
      </c>
      <c r="H255" s="1">
        <v>45862</v>
      </c>
      <c r="I255" s="2">
        <v>0.4268055555555556</v>
      </c>
      <c r="J255">
        <v>10</v>
      </c>
      <c r="R255" t="s">
        <v>494</v>
      </c>
      <c r="S255">
        <v>7</v>
      </c>
      <c r="T255">
        <v>7</v>
      </c>
      <c r="U255">
        <v>1</v>
      </c>
      <c r="V255" t="s">
        <v>739</v>
      </c>
      <c r="W255">
        <v>1</v>
      </c>
      <c r="X255" t="s">
        <v>736</v>
      </c>
      <c r="AC255" t="s">
        <v>740</v>
      </c>
    </row>
    <row r="256" spans="1:29" ht="12.5" customHeight="1" x14ac:dyDescent="0.25">
      <c r="A256" t="s">
        <v>176</v>
      </c>
      <c r="C256" t="s">
        <v>741</v>
      </c>
      <c r="D256" t="s">
        <v>178</v>
      </c>
      <c r="E256" s="1">
        <v>45862</v>
      </c>
      <c r="F256" s="2">
        <v>0.92692129629629638</v>
      </c>
      <c r="G256">
        <v>22</v>
      </c>
      <c r="H256" s="1">
        <v>45862</v>
      </c>
      <c r="I256" s="2">
        <v>0.42692129629629627</v>
      </c>
      <c r="J256">
        <v>10</v>
      </c>
      <c r="K256" t="s">
        <v>195</v>
      </c>
      <c r="R256" t="s">
        <v>494</v>
      </c>
      <c r="S256">
        <v>11</v>
      </c>
      <c r="T256">
        <v>11</v>
      </c>
      <c r="U256">
        <v>1</v>
      </c>
      <c r="V256" t="s">
        <v>742</v>
      </c>
      <c r="W256">
        <v>1</v>
      </c>
      <c r="X256" t="s">
        <v>736</v>
      </c>
      <c r="AC256" t="s">
        <v>743</v>
      </c>
    </row>
    <row r="257" spans="1:29" ht="12.5" customHeight="1" x14ac:dyDescent="0.25">
      <c r="A257" t="s">
        <v>176</v>
      </c>
      <c r="C257" t="s">
        <v>744</v>
      </c>
      <c r="D257" t="s">
        <v>178</v>
      </c>
      <c r="E257" s="1">
        <v>45863</v>
      </c>
      <c r="F257" s="2">
        <v>3.8634259259259257E-2</v>
      </c>
      <c r="G257">
        <v>0</v>
      </c>
      <c r="H257" s="1">
        <v>45862</v>
      </c>
      <c r="I257" s="2">
        <v>0.53863425925925923</v>
      </c>
      <c r="J257">
        <v>12</v>
      </c>
      <c r="K257" t="s">
        <v>189</v>
      </c>
      <c r="L257" t="s">
        <v>195</v>
      </c>
      <c r="R257" t="s">
        <v>182</v>
      </c>
      <c r="S257">
        <v>7</v>
      </c>
      <c r="T257">
        <v>7</v>
      </c>
      <c r="U257">
        <v>1</v>
      </c>
      <c r="V257" t="s">
        <v>745</v>
      </c>
      <c r="W257">
        <v>1</v>
      </c>
      <c r="X257" t="s">
        <v>746</v>
      </c>
      <c r="AC257" t="s">
        <v>747</v>
      </c>
    </row>
    <row r="258" spans="1:29" ht="12.5" customHeight="1" x14ac:dyDescent="0.25">
      <c r="A258" t="s">
        <v>176</v>
      </c>
      <c r="C258" t="s">
        <v>748</v>
      </c>
      <c r="D258" t="s">
        <v>178</v>
      </c>
      <c r="E258" s="1">
        <v>45862</v>
      </c>
      <c r="F258" s="2">
        <v>0.93099537037037028</v>
      </c>
      <c r="G258">
        <v>22</v>
      </c>
      <c r="H258" s="1">
        <v>45862</v>
      </c>
      <c r="I258" s="2">
        <v>0.43099537037037039</v>
      </c>
      <c r="J258">
        <v>10</v>
      </c>
      <c r="K258" t="s">
        <v>195</v>
      </c>
      <c r="R258" t="s">
        <v>494</v>
      </c>
      <c r="S258">
        <v>19</v>
      </c>
      <c r="T258">
        <v>19</v>
      </c>
      <c r="U258">
        <v>1</v>
      </c>
      <c r="V258" t="s">
        <v>749</v>
      </c>
      <c r="W258">
        <v>1</v>
      </c>
      <c r="X258" t="s">
        <v>746</v>
      </c>
      <c r="AC258" t="s">
        <v>750</v>
      </c>
    </row>
    <row r="259" spans="1:29" ht="12.5" customHeight="1" x14ac:dyDescent="0.25">
      <c r="A259" t="s">
        <v>176</v>
      </c>
      <c r="C259" t="s">
        <v>751</v>
      </c>
      <c r="D259" t="s">
        <v>178</v>
      </c>
      <c r="E259" s="1">
        <v>45862</v>
      </c>
      <c r="F259" s="2">
        <v>0.93841435185185185</v>
      </c>
      <c r="G259">
        <v>22</v>
      </c>
      <c r="H259" s="1">
        <v>45862</v>
      </c>
      <c r="I259" s="2">
        <v>0.4384143518518519</v>
      </c>
      <c r="J259">
        <v>10</v>
      </c>
      <c r="R259" t="s">
        <v>200</v>
      </c>
      <c r="S259">
        <v>11</v>
      </c>
      <c r="T259">
        <v>0</v>
      </c>
      <c r="U259">
        <v>0</v>
      </c>
      <c r="V259">
        <v>0</v>
      </c>
      <c r="W259">
        <v>1</v>
      </c>
      <c r="X259" t="s">
        <v>33</v>
      </c>
      <c r="AC259" t="s">
        <v>752</v>
      </c>
    </row>
    <row r="260" spans="1:29" ht="12.5" customHeight="1" x14ac:dyDescent="0.25">
      <c r="A260" t="s">
        <v>176</v>
      </c>
      <c r="C260" t="s">
        <v>753</v>
      </c>
      <c r="D260" t="s">
        <v>178</v>
      </c>
      <c r="E260" s="1">
        <v>45863</v>
      </c>
      <c r="F260" s="2">
        <v>7.480324074074074E-2</v>
      </c>
      <c r="G260">
        <v>1</v>
      </c>
      <c r="H260" s="1">
        <v>45862</v>
      </c>
      <c r="I260" s="2">
        <v>0.57480324074074074</v>
      </c>
      <c r="J260">
        <v>13</v>
      </c>
      <c r="R260" t="s">
        <v>179</v>
      </c>
      <c r="W260">
        <v>1</v>
      </c>
      <c r="X260" t="s">
        <v>754</v>
      </c>
      <c r="AC260" t="s">
        <v>755</v>
      </c>
    </row>
    <row r="261" spans="1:29" ht="12.5" customHeight="1" x14ac:dyDescent="0.25">
      <c r="A261" t="s">
        <v>176</v>
      </c>
      <c r="C261" t="s">
        <v>756</v>
      </c>
      <c r="D261" t="s">
        <v>178</v>
      </c>
      <c r="E261" s="1">
        <v>45863</v>
      </c>
      <c r="F261" s="2">
        <v>7.464120370370371E-2</v>
      </c>
      <c r="G261">
        <v>1</v>
      </c>
      <c r="H261" s="1">
        <v>45862</v>
      </c>
      <c r="I261" s="2">
        <v>0.57464120370370375</v>
      </c>
      <c r="J261">
        <v>13</v>
      </c>
      <c r="R261" t="s">
        <v>757</v>
      </c>
      <c r="S261">
        <v>5</v>
      </c>
      <c r="T261">
        <v>5</v>
      </c>
      <c r="U261">
        <v>1</v>
      </c>
      <c r="V261" t="s">
        <v>758</v>
      </c>
      <c r="W261">
        <v>1</v>
      </c>
      <c r="X261" t="s">
        <v>754</v>
      </c>
      <c r="AC261" t="s">
        <v>759</v>
      </c>
    </row>
    <row r="262" spans="1:29" ht="12.5" customHeight="1" x14ac:dyDescent="0.25">
      <c r="A262" t="s">
        <v>176</v>
      </c>
      <c r="C262" t="s">
        <v>760</v>
      </c>
      <c r="D262" t="s">
        <v>178</v>
      </c>
      <c r="E262" s="1">
        <v>45863</v>
      </c>
      <c r="F262" s="2">
        <v>0.13508101851851853</v>
      </c>
      <c r="G262">
        <v>3</v>
      </c>
      <c r="H262" s="1">
        <v>45862</v>
      </c>
      <c r="I262" s="2">
        <v>0.6350810185185185</v>
      </c>
      <c r="J262">
        <v>15</v>
      </c>
      <c r="K262" t="s">
        <v>761</v>
      </c>
      <c r="L262" t="s">
        <v>494</v>
      </c>
      <c r="R262" t="s">
        <v>757</v>
      </c>
      <c r="S262">
        <v>4</v>
      </c>
      <c r="T262">
        <v>3</v>
      </c>
      <c r="U262" t="s">
        <v>762</v>
      </c>
      <c r="V262" t="s">
        <v>763</v>
      </c>
      <c r="W262">
        <v>1</v>
      </c>
      <c r="X262" t="s">
        <v>754</v>
      </c>
      <c r="AC262" t="s">
        <v>764</v>
      </c>
    </row>
    <row r="263" spans="1:29" ht="12.5" customHeight="1" x14ac:dyDescent="0.25">
      <c r="A263" t="s">
        <v>176</v>
      </c>
      <c r="C263" t="s">
        <v>765</v>
      </c>
      <c r="D263" t="s">
        <v>178</v>
      </c>
      <c r="E263" s="1">
        <v>45862</v>
      </c>
      <c r="F263" s="2">
        <v>0.96087962962962958</v>
      </c>
      <c r="G263">
        <v>23</v>
      </c>
      <c r="H263" s="1">
        <v>45862</v>
      </c>
      <c r="I263" s="2">
        <v>0.46087962962962964</v>
      </c>
      <c r="J263">
        <v>11</v>
      </c>
      <c r="R263" t="s">
        <v>179</v>
      </c>
      <c r="W263">
        <v>1</v>
      </c>
      <c r="X263" t="s">
        <v>766</v>
      </c>
      <c r="AC263" t="s">
        <v>767</v>
      </c>
    </row>
    <row r="264" spans="1:29" ht="12.5" customHeight="1" x14ac:dyDescent="0.25">
      <c r="A264" t="s">
        <v>176</v>
      </c>
      <c r="C264" t="s">
        <v>768</v>
      </c>
      <c r="D264" t="s">
        <v>178</v>
      </c>
      <c r="E264" s="1">
        <v>45863</v>
      </c>
      <c r="F264" s="2">
        <v>0.12223379629629628</v>
      </c>
      <c r="G264">
        <v>2</v>
      </c>
      <c r="H264" s="1">
        <v>45862</v>
      </c>
      <c r="I264" s="2">
        <v>0.62223379629629627</v>
      </c>
      <c r="J264">
        <v>14</v>
      </c>
      <c r="R264" t="s">
        <v>200</v>
      </c>
      <c r="S264">
        <v>3</v>
      </c>
      <c r="T264">
        <v>0</v>
      </c>
      <c r="U264">
        <v>0</v>
      </c>
      <c r="V264">
        <v>0</v>
      </c>
      <c r="W264">
        <v>1</v>
      </c>
      <c r="X264" t="s">
        <v>769</v>
      </c>
      <c r="AC264" t="s">
        <v>770</v>
      </c>
    </row>
    <row r="265" spans="1:29" ht="12.5" customHeight="1" x14ac:dyDescent="0.25">
      <c r="A265" t="s">
        <v>176</v>
      </c>
      <c r="C265" t="s">
        <v>771</v>
      </c>
      <c r="D265" t="s">
        <v>178</v>
      </c>
      <c r="E265" s="1">
        <v>45863</v>
      </c>
      <c r="F265" s="2">
        <v>0.13440972222222222</v>
      </c>
      <c r="G265">
        <v>3</v>
      </c>
      <c r="H265" s="1">
        <v>45862</v>
      </c>
      <c r="I265" s="2">
        <v>0.63440972222222225</v>
      </c>
      <c r="J265">
        <v>15</v>
      </c>
      <c r="R265" t="s">
        <v>200</v>
      </c>
      <c r="S265">
        <v>8</v>
      </c>
      <c r="T265">
        <v>0</v>
      </c>
      <c r="U265">
        <v>0</v>
      </c>
      <c r="V265">
        <v>0</v>
      </c>
      <c r="W265">
        <v>1</v>
      </c>
      <c r="X265" t="s">
        <v>144</v>
      </c>
      <c r="AC265" t="s">
        <v>772</v>
      </c>
    </row>
    <row r="266" spans="1:29" ht="12.5" customHeight="1" x14ac:dyDescent="0.25">
      <c r="A266" t="s">
        <v>176</v>
      </c>
      <c r="C266" t="s">
        <v>773</v>
      </c>
      <c r="D266" t="s">
        <v>178</v>
      </c>
      <c r="E266" s="1">
        <v>45863</v>
      </c>
      <c r="F266" s="2">
        <v>0.12245370370370372</v>
      </c>
      <c r="G266">
        <v>2</v>
      </c>
      <c r="H266" s="1">
        <v>45862</v>
      </c>
      <c r="I266" s="2">
        <v>0.62245370370370368</v>
      </c>
      <c r="J266">
        <v>14</v>
      </c>
      <c r="R266" t="s">
        <v>200</v>
      </c>
      <c r="S266">
        <v>16</v>
      </c>
      <c r="T266">
        <v>0</v>
      </c>
      <c r="U266">
        <v>0</v>
      </c>
      <c r="V266">
        <v>0</v>
      </c>
      <c r="W266">
        <v>1</v>
      </c>
      <c r="X266" t="s">
        <v>144</v>
      </c>
      <c r="AC266" t="s">
        <v>774</v>
      </c>
    </row>
    <row r="267" spans="1:29" ht="12.5" customHeight="1" x14ac:dyDescent="0.25">
      <c r="A267" t="s">
        <v>176</v>
      </c>
      <c r="C267" t="s">
        <v>775</v>
      </c>
      <c r="D267" t="s">
        <v>178</v>
      </c>
      <c r="E267" s="1">
        <v>45863</v>
      </c>
      <c r="F267" s="2">
        <v>7.2523148148148142E-2</v>
      </c>
      <c r="G267">
        <v>1</v>
      </c>
      <c r="H267" s="1">
        <v>45862</v>
      </c>
      <c r="I267" s="2">
        <v>0.5725231481481482</v>
      </c>
      <c r="J267">
        <v>13</v>
      </c>
      <c r="R267" t="s">
        <v>200</v>
      </c>
      <c r="S267">
        <v>6</v>
      </c>
      <c r="T267">
        <v>0</v>
      </c>
      <c r="U267">
        <v>0</v>
      </c>
      <c r="V267">
        <v>0</v>
      </c>
      <c r="W267">
        <v>1</v>
      </c>
      <c r="X267" t="s">
        <v>144</v>
      </c>
      <c r="AC267" t="s">
        <v>776</v>
      </c>
    </row>
    <row r="268" spans="1:29" ht="12.5" customHeight="1" x14ac:dyDescent="0.25">
      <c r="A268" t="s">
        <v>176</v>
      </c>
      <c r="C268" t="s">
        <v>777</v>
      </c>
      <c r="D268" t="s">
        <v>178</v>
      </c>
      <c r="E268" s="1">
        <v>45863</v>
      </c>
      <c r="F268" s="2">
        <v>0.11400462962962964</v>
      </c>
      <c r="G268">
        <v>2</v>
      </c>
      <c r="H268" s="1">
        <v>45862</v>
      </c>
      <c r="I268" s="2">
        <v>0.61400462962962965</v>
      </c>
      <c r="J268">
        <v>14</v>
      </c>
      <c r="R268" t="s">
        <v>200</v>
      </c>
      <c r="S268">
        <v>13</v>
      </c>
      <c r="T268">
        <v>0</v>
      </c>
      <c r="U268">
        <v>0</v>
      </c>
      <c r="V268">
        <v>0</v>
      </c>
      <c r="W268">
        <v>1</v>
      </c>
      <c r="X268" t="s">
        <v>144</v>
      </c>
      <c r="AC268" t="s">
        <v>778</v>
      </c>
    </row>
    <row r="269" spans="1:29" ht="12.5" customHeight="1" x14ac:dyDescent="0.25">
      <c r="A269" t="s">
        <v>176</v>
      </c>
      <c r="C269" t="s">
        <v>779</v>
      </c>
      <c r="D269" t="s">
        <v>178</v>
      </c>
      <c r="E269" s="1">
        <v>45863</v>
      </c>
      <c r="F269" s="2">
        <v>6.1932870370370374E-2</v>
      </c>
      <c r="G269">
        <v>1</v>
      </c>
      <c r="H269" s="1">
        <v>45862</v>
      </c>
      <c r="I269" s="2">
        <v>0.56193287037037043</v>
      </c>
      <c r="J269">
        <v>13</v>
      </c>
      <c r="R269" t="s">
        <v>200</v>
      </c>
      <c r="S269">
        <v>5</v>
      </c>
      <c r="T269">
        <v>0</v>
      </c>
      <c r="U269">
        <v>0</v>
      </c>
      <c r="V269">
        <v>0</v>
      </c>
      <c r="W269">
        <v>1</v>
      </c>
      <c r="X269" t="s">
        <v>144</v>
      </c>
      <c r="AC269" t="s">
        <v>780</v>
      </c>
    </row>
    <row r="270" spans="1:29" ht="12.5" customHeight="1" x14ac:dyDescent="0.25">
      <c r="A270" t="s">
        <v>176</v>
      </c>
      <c r="C270" t="s">
        <v>781</v>
      </c>
      <c r="D270" t="s">
        <v>178</v>
      </c>
      <c r="E270" s="1">
        <v>45863</v>
      </c>
      <c r="F270" s="2">
        <v>7.2453703703703701E-2</v>
      </c>
      <c r="G270">
        <v>1</v>
      </c>
      <c r="H270" s="1">
        <v>45862</v>
      </c>
      <c r="I270" s="2">
        <v>0.57245370370370374</v>
      </c>
      <c r="J270">
        <v>13</v>
      </c>
      <c r="R270" t="s">
        <v>200</v>
      </c>
      <c r="S270">
        <v>14</v>
      </c>
      <c r="T270">
        <v>0</v>
      </c>
      <c r="U270">
        <v>0</v>
      </c>
      <c r="V270">
        <v>0</v>
      </c>
      <c r="W270">
        <v>1</v>
      </c>
      <c r="X270" t="s">
        <v>144</v>
      </c>
      <c r="AC270" t="s">
        <v>782</v>
      </c>
    </row>
    <row r="271" spans="1:29" ht="12.5" customHeight="1" x14ac:dyDescent="0.25">
      <c r="E271" s="1"/>
      <c r="F271" s="2"/>
      <c r="H271" s="1"/>
      <c r="I271" s="2"/>
    </row>
    <row r="272" spans="1:29" ht="12.5" customHeight="1" x14ac:dyDescent="0.25">
      <c r="E272" s="1"/>
      <c r="F272" s="2"/>
      <c r="H272" s="1"/>
      <c r="I272" s="2"/>
    </row>
    <row r="273" spans="5:9" ht="12.5" customHeight="1" x14ac:dyDescent="0.25">
      <c r="E273" s="1"/>
      <c r="F273" s="2"/>
      <c r="H273" s="1"/>
      <c r="I273" s="2"/>
    </row>
    <row r="274" spans="5:9" ht="12.5" customHeight="1" x14ac:dyDescent="0.25">
      <c r="E274" s="1"/>
      <c r="F274" s="2"/>
      <c r="H274" s="1"/>
      <c r="I274" s="2"/>
    </row>
    <row r="275" spans="5:9" ht="12.5" customHeight="1" x14ac:dyDescent="0.25">
      <c r="E275" s="1"/>
      <c r="F275" s="2"/>
      <c r="H275" s="1"/>
      <c r="I275" s="2"/>
    </row>
    <row r="276" spans="5:9" ht="12.5" customHeight="1" x14ac:dyDescent="0.25">
      <c r="E276" s="1"/>
      <c r="F276" s="2"/>
      <c r="H276" s="1"/>
      <c r="I276" s="2"/>
    </row>
    <row r="277" spans="5:9" ht="12.5" customHeight="1" x14ac:dyDescent="0.25">
      <c r="E277" s="1"/>
      <c r="F277" s="2"/>
      <c r="H277" s="1"/>
      <c r="I277" s="2"/>
    </row>
    <row r="278" spans="5:9" ht="12.5" customHeight="1" x14ac:dyDescent="0.25">
      <c r="E278" s="1"/>
      <c r="F278" s="2"/>
      <c r="H278" s="1"/>
      <c r="I278" s="2"/>
    </row>
    <row r="279" spans="5:9" ht="12.5" customHeight="1" x14ac:dyDescent="0.25">
      <c r="E279" s="1"/>
      <c r="F279" s="2"/>
      <c r="H279" s="1"/>
      <c r="I279" s="2"/>
    </row>
    <row r="280" spans="5:9" ht="12.5" customHeight="1" x14ac:dyDescent="0.25">
      <c r="E280" s="1"/>
      <c r="F280" s="2"/>
      <c r="H280" s="1"/>
      <c r="I280" s="2"/>
    </row>
    <row r="281" spans="5:9" ht="12.5" customHeight="1" x14ac:dyDescent="0.25">
      <c r="E281" s="1"/>
      <c r="F281" s="2"/>
      <c r="H281" s="1"/>
      <c r="I281" s="2"/>
    </row>
    <row r="282" spans="5:9" ht="12.5" customHeight="1" x14ac:dyDescent="0.25">
      <c r="E282" s="1"/>
      <c r="F282" s="2"/>
      <c r="H282" s="1"/>
      <c r="I282" s="2"/>
    </row>
    <row r="283" spans="5:9" ht="12.5" customHeight="1" x14ac:dyDescent="0.25">
      <c r="E283" s="1"/>
      <c r="F283" s="2"/>
      <c r="H283" s="1"/>
      <c r="I283" s="2"/>
    </row>
    <row r="284" spans="5:9" ht="12.5" customHeight="1" x14ac:dyDescent="0.25">
      <c r="E284" s="1"/>
      <c r="F284" s="2"/>
      <c r="H284" s="1"/>
      <c r="I284" s="2"/>
    </row>
    <row r="285" spans="5:9" ht="12.5" customHeight="1" x14ac:dyDescent="0.25">
      <c r="E285" s="1"/>
      <c r="F285" s="2"/>
      <c r="H285" s="1"/>
      <c r="I285" s="2"/>
    </row>
    <row r="286" spans="5:9" ht="12.5" customHeight="1" x14ac:dyDescent="0.25">
      <c r="E286" s="1"/>
      <c r="F286" s="2"/>
      <c r="H286" s="1"/>
      <c r="I286" s="2"/>
    </row>
    <row r="287" spans="5:9" ht="12.5" customHeight="1" x14ac:dyDescent="0.25">
      <c r="E287" s="1"/>
      <c r="F287" s="2"/>
      <c r="H287" s="1"/>
      <c r="I287" s="2"/>
    </row>
    <row r="288" spans="5:9" ht="12.5" customHeight="1" x14ac:dyDescent="0.25">
      <c r="E288" s="1"/>
      <c r="F288" s="2"/>
      <c r="H288" s="1"/>
      <c r="I288" s="2"/>
    </row>
    <row r="289" spans="5:9" ht="12.5" customHeight="1" x14ac:dyDescent="0.25">
      <c r="E289" s="1"/>
      <c r="F289" s="2"/>
      <c r="H289" s="1"/>
      <c r="I289" s="2"/>
    </row>
    <row r="290" spans="5:9" ht="12.5" customHeight="1" x14ac:dyDescent="0.25">
      <c r="E290" s="1"/>
      <c r="F290" s="2"/>
      <c r="H290" s="1"/>
      <c r="I290" s="2"/>
    </row>
    <row r="291" spans="5:9" ht="12.5" customHeight="1" x14ac:dyDescent="0.25">
      <c r="E291" s="1"/>
      <c r="F291" s="2"/>
      <c r="H291" s="1"/>
      <c r="I291" s="2"/>
    </row>
    <row r="292" spans="5:9" ht="12.5" customHeight="1" x14ac:dyDescent="0.25">
      <c r="E292" s="1"/>
      <c r="F292" s="2"/>
      <c r="H292" s="1"/>
      <c r="I292" s="2"/>
    </row>
    <row r="293" spans="5:9" ht="12.5" customHeight="1" x14ac:dyDescent="0.25">
      <c r="E293" s="1"/>
      <c r="F293" s="2"/>
      <c r="H293" s="1"/>
      <c r="I293" s="2"/>
    </row>
    <row r="294" spans="5:9" ht="12.5" customHeight="1" x14ac:dyDescent="0.25">
      <c r="E294" s="1"/>
      <c r="F294" s="2"/>
      <c r="H294" s="1"/>
      <c r="I294" s="2"/>
    </row>
    <row r="295" spans="5:9" ht="12.5" customHeight="1" x14ac:dyDescent="0.25">
      <c r="E295" s="1"/>
      <c r="F295" s="2"/>
      <c r="H295" s="1"/>
      <c r="I295" s="2"/>
    </row>
    <row r="296" spans="5:9" ht="12.5" customHeight="1" x14ac:dyDescent="0.25">
      <c r="E296" s="1"/>
      <c r="F296" s="2"/>
      <c r="H296" s="1"/>
      <c r="I296" s="2"/>
    </row>
    <row r="297" spans="5:9" ht="12.5" customHeight="1" x14ac:dyDescent="0.25">
      <c r="E297" s="1"/>
      <c r="F297" s="2"/>
      <c r="H297" s="1"/>
      <c r="I297" s="2"/>
    </row>
    <row r="298" spans="5:9" ht="12.5" customHeight="1" x14ac:dyDescent="0.25">
      <c r="E298" s="1"/>
      <c r="F298" s="2"/>
      <c r="H298" s="1"/>
      <c r="I298" s="2"/>
    </row>
    <row r="299" spans="5:9" ht="12.5" customHeight="1" x14ac:dyDescent="0.25">
      <c r="E299" s="1"/>
      <c r="F299" s="2"/>
      <c r="H299" s="1"/>
      <c r="I299" s="2"/>
    </row>
    <row r="300" spans="5:9" ht="12.5" customHeight="1" x14ac:dyDescent="0.25">
      <c r="E300" s="1"/>
      <c r="F300" s="2"/>
      <c r="H300" s="1"/>
      <c r="I300" s="2"/>
    </row>
    <row r="301" spans="5:9" ht="12.5" customHeight="1" x14ac:dyDescent="0.25">
      <c r="E301" s="1"/>
      <c r="F301" s="2"/>
      <c r="H301" s="1"/>
      <c r="I301" s="2"/>
    </row>
    <row r="302" spans="5:9" ht="12.5" customHeight="1" x14ac:dyDescent="0.25">
      <c r="E302" s="1"/>
      <c r="F302" s="2"/>
      <c r="H302" s="1"/>
      <c r="I302" s="2"/>
    </row>
    <row r="303" spans="5:9" ht="12.5" customHeight="1" x14ac:dyDescent="0.25">
      <c r="E303" s="1"/>
      <c r="F303" s="2"/>
      <c r="H303" s="1"/>
      <c r="I303" s="2"/>
    </row>
    <row r="304" spans="5:9" ht="12.5" customHeight="1" x14ac:dyDescent="0.25">
      <c r="E304" s="1"/>
      <c r="F304" s="2"/>
      <c r="H304" s="1"/>
      <c r="I304" s="2"/>
    </row>
    <row r="305" spans="5:9" ht="12.5" customHeight="1" x14ac:dyDescent="0.25">
      <c r="E305" s="1"/>
      <c r="F305" s="2"/>
      <c r="H305" s="1"/>
      <c r="I305" s="2"/>
    </row>
    <row r="306" spans="5:9" ht="12.5" customHeight="1" x14ac:dyDescent="0.25">
      <c r="E306" s="1"/>
      <c r="F306" s="2"/>
      <c r="H306" s="1"/>
      <c r="I306" s="2"/>
    </row>
    <row r="307" spans="5:9" ht="12.5" customHeight="1" x14ac:dyDescent="0.25">
      <c r="E307" s="1"/>
      <c r="F307" s="2"/>
      <c r="H307" s="1"/>
      <c r="I307" s="2"/>
    </row>
    <row r="308" spans="5:9" ht="12.5" customHeight="1" x14ac:dyDescent="0.25">
      <c r="E308" s="1"/>
      <c r="F308" s="2"/>
      <c r="H308" s="1"/>
      <c r="I308" s="2"/>
    </row>
    <row r="309" spans="5:9" ht="12.5" customHeight="1" x14ac:dyDescent="0.25">
      <c r="E309" s="1"/>
      <c r="F309" s="2"/>
      <c r="H309" s="1"/>
      <c r="I309" s="2"/>
    </row>
    <row r="310" spans="5:9" ht="12.5" customHeight="1" x14ac:dyDescent="0.25">
      <c r="E310" s="1"/>
      <c r="F310" s="2"/>
      <c r="H310" s="1"/>
      <c r="I310" s="2"/>
    </row>
    <row r="311" spans="5:9" ht="12.5" customHeight="1" x14ac:dyDescent="0.25">
      <c r="E311" s="1"/>
      <c r="F311" s="2"/>
      <c r="H311" s="1"/>
      <c r="I311" s="2"/>
    </row>
    <row r="312" spans="5:9" ht="12.5" customHeight="1" x14ac:dyDescent="0.25">
      <c r="E312" s="1"/>
      <c r="F312" s="2"/>
      <c r="H312" s="1"/>
      <c r="I312" s="2"/>
    </row>
    <row r="313" spans="5:9" ht="12.5" customHeight="1" x14ac:dyDescent="0.25">
      <c r="E313" s="1"/>
      <c r="F313" s="2"/>
      <c r="H313" s="1"/>
      <c r="I313" s="2"/>
    </row>
    <row r="314" spans="5:9" ht="12.5" customHeight="1" x14ac:dyDescent="0.25">
      <c r="E314" s="1"/>
      <c r="F314" s="2"/>
      <c r="H314" s="1"/>
      <c r="I314" s="2"/>
    </row>
    <row r="315" spans="5:9" ht="12.5" customHeight="1" x14ac:dyDescent="0.25">
      <c r="E315" s="1"/>
      <c r="F315" s="2"/>
      <c r="H315" s="1"/>
      <c r="I315" s="2"/>
    </row>
    <row r="316" spans="5:9" ht="12.5" customHeight="1" x14ac:dyDescent="0.25">
      <c r="E316" s="1"/>
      <c r="F316" s="2"/>
      <c r="H316" s="1"/>
      <c r="I316" s="2"/>
    </row>
    <row r="317" spans="5:9" ht="12.5" customHeight="1" x14ac:dyDescent="0.25">
      <c r="E317" s="1"/>
      <c r="F317" s="2"/>
      <c r="H317" s="1"/>
      <c r="I317" s="2"/>
    </row>
    <row r="318" spans="5:9" ht="12.5" customHeight="1" x14ac:dyDescent="0.25">
      <c r="E318" s="1"/>
      <c r="F318" s="2"/>
      <c r="H318" s="1"/>
      <c r="I318" s="2"/>
    </row>
    <row r="319" spans="5:9" ht="12.5" customHeight="1" x14ac:dyDescent="0.25">
      <c r="E319" s="1"/>
      <c r="F319" s="2"/>
      <c r="H319" s="1"/>
      <c r="I319" s="2"/>
    </row>
    <row r="320" spans="5:9" ht="12.5" customHeight="1" x14ac:dyDescent="0.25">
      <c r="E320" s="1"/>
      <c r="F320" s="2"/>
      <c r="H320" s="1"/>
      <c r="I320" s="2"/>
    </row>
    <row r="321" spans="5:9" ht="12.5" customHeight="1" x14ac:dyDescent="0.25">
      <c r="E321" s="1"/>
      <c r="F321" s="2"/>
      <c r="H321" s="1"/>
      <c r="I321" s="2"/>
    </row>
    <row r="322" spans="5:9" ht="12.5" customHeight="1" x14ac:dyDescent="0.25">
      <c r="E322" s="1"/>
      <c r="F322" s="2"/>
      <c r="H322" s="1"/>
      <c r="I322" s="2"/>
    </row>
    <row r="323" spans="5:9" ht="12.5" customHeight="1" x14ac:dyDescent="0.25">
      <c r="E323" s="1"/>
      <c r="F323" s="2"/>
      <c r="H323" s="1"/>
      <c r="I323" s="2"/>
    </row>
    <row r="324" spans="5:9" ht="12.5" customHeight="1" x14ac:dyDescent="0.25">
      <c r="E324" s="1"/>
      <c r="F324" s="2"/>
      <c r="H324" s="1"/>
      <c r="I324" s="2"/>
    </row>
    <row r="325" spans="5:9" ht="12.5" customHeight="1" x14ac:dyDescent="0.25">
      <c r="E325" s="1"/>
      <c r="F325" s="2"/>
      <c r="H325" s="1"/>
      <c r="I325" s="2"/>
    </row>
    <row r="326" spans="5:9" ht="12.5" customHeight="1" x14ac:dyDescent="0.25">
      <c r="E326" s="1"/>
      <c r="F326" s="2"/>
      <c r="H326" s="1"/>
      <c r="I326" s="2"/>
    </row>
    <row r="327" spans="5:9" ht="12.5" customHeight="1" x14ac:dyDescent="0.25">
      <c r="E327" s="1"/>
      <c r="F327" s="2"/>
      <c r="H327" s="1"/>
      <c r="I327" s="2"/>
    </row>
    <row r="328" spans="5:9" ht="12.5" customHeight="1" x14ac:dyDescent="0.25">
      <c r="E328" s="1"/>
      <c r="F328" s="2"/>
      <c r="H328" s="1"/>
      <c r="I328" s="2"/>
    </row>
    <row r="329" spans="5:9" ht="12.5" customHeight="1" x14ac:dyDescent="0.25">
      <c r="E329" s="1"/>
      <c r="F329" s="2"/>
      <c r="H329" s="1"/>
      <c r="I329" s="2"/>
    </row>
    <row r="330" spans="5:9" ht="12.5" customHeight="1" x14ac:dyDescent="0.25">
      <c r="E330" s="1"/>
      <c r="F330" s="2"/>
      <c r="H330" s="1"/>
      <c r="I330" s="2"/>
    </row>
    <row r="331" spans="5:9" ht="12.5" customHeight="1" x14ac:dyDescent="0.25">
      <c r="E331" s="1"/>
      <c r="F331" s="2"/>
      <c r="H331" s="1"/>
      <c r="I331" s="2"/>
    </row>
    <row r="332" spans="5:9" ht="12.5" customHeight="1" x14ac:dyDescent="0.25">
      <c r="E332" s="1"/>
      <c r="F332" s="2"/>
      <c r="H332" s="1"/>
      <c r="I332" s="2"/>
    </row>
    <row r="333" spans="5:9" ht="12.5" customHeight="1" x14ac:dyDescent="0.25">
      <c r="E333" s="1"/>
      <c r="F333" s="2"/>
      <c r="H333" s="1"/>
      <c r="I333" s="2"/>
    </row>
    <row r="334" spans="5:9" ht="12.5" customHeight="1" x14ac:dyDescent="0.25">
      <c r="E334" s="1"/>
      <c r="F334" s="2"/>
      <c r="H334" s="1"/>
      <c r="I334" s="2"/>
    </row>
    <row r="335" spans="5:9" ht="12.5" customHeight="1" x14ac:dyDescent="0.25">
      <c r="E335" s="1"/>
      <c r="F335" s="2"/>
      <c r="H335" s="1"/>
      <c r="I335" s="2"/>
    </row>
    <row r="336" spans="5:9" ht="12.5" customHeight="1" x14ac:dyDescent="0.25">
      <c r="E336" s="1"/>
      <c r="F336" s="2"/>
      <c r="H336" s="1"/>
      <c r="I336" s="2"/>
    </row>
    <row r="337" spans="5:9" ht="12.5" customHeight="1" x14ac:dyDescent="0.25">
      <c r="E337" s="1"/>
      <c r="F337" s="2"/>
      <c r="H337" s="1"/>
      <c r="I337" s="2"/>
    </row>
    <row r="338" spans="5:9" ht="12.5" customHeight="1" x14ac:dyDescent="0.25">
      <c r="E338" s="1"/>
      <c r="F338" s="2"/>
      <c r="H338" s="1"/>
      <c r="I338" s="2"/>
    </row>
    <row r="339" spans="5:9" ht="12.5" customHeight="1" x14ac:dyDescent="0.25">
      <c r="E339" s="1"/>
      <c r="F339" s="2"/>
      <c r="H339" s="1"/>
      <c r="I339" s="2"/>
    </row>
    <row r="340" spans="5:9" ht="12.5" customHeight="1" x14ac:dyDescent="0.25">
      <c r="E340" s="1"/>
      <c r="F340" s="2"/>
      <c r="H340" s="1"/>
      <c r="I340" s="2"/>
    </row>
    <row r="341" spans="5:9" ht="12.5" customHeight="1" x14ac:dyDescent="0.25">
      <c r="E341" s="1"/>
      <c r="F341" s="2"/>
      <c r="H341" s="1"/>
      <c r="I341" s="2"/>
    </row>
    <row r="342" spans="5:9" ht="12.5" customHeight="1" x14ac:dyDescent="0.25">
      <c r="E342" s="1"/>
      <c r="F342" s="2"/>
      <c r="H342" s="1"/>
      <c r="I342" s="2"/>
    </row>
    <row r="343" spans="5:9" ht="12.5" customHeight="1" x14ac:dyDescent="0.25">
      <c r="E343" s="1"/>
      <c r="F343" s="2"/>
      <c r="H343" s="1"/>
      <c r="I343" s="2"/>
    </row>
    <row r="344" spans="5:9" ht="12.5" customHeight="1" x14ac:dyDescent="0.25">
      <c r="E344" s="1"/>
      <c r="F344" s="2"/>
      <c r="H344" s="1"/>
      <c r="I344" s="2"/>
    </row>
    <row r="345" spans="5:9" ht="12.5" customHeight="1" x14ac:dyDescent="0.25">
      <c r="E345" s="1"/>
      <c r="F345" s="2"/>
      <c r="H345" s="1"/>
      <c r="I345" s="2"/>
    </row>
    <row r="346" spans="5:9" ht="12.5" customHeight="1" x14ac:dyDescent="0.25">
      <c r="E346" s="1"/>
      <c r="F346" s="2"/>
      <c r="H346" s="1"/>
      <c r="I346" s="2"/>
    </row>
    <row r="347" spans="5:9" ht="12.5" customHeight="1" x14ac:dyDescent="0.25">
      <c r="E347" s="1"/>
      <c r="F347" s="2"/>
      <c r="H347" s="1"/>
      <c r="I347" s="2"/>
    </row>
    <row r="348" spans="5:9" ht="12.5" customHeight="1" x14ac:dyDescent="0.25">
      <c r="E348" s="1"/>
      <c r="F348" s="2"/>
      <c r="H348" s="1"/>
      <c r="I348" s="2"/>
    </row>
    <row r="349" spans="5:9" ht="12.5" customHeight="1" x14ac:dyDescent="0.25">
      <c r="E349" s="1"/>
      <c r="F349" s="2"/>
      <c r="H349" s="1"/>
      <c r="I349" s="2"/>
    </row>
    <row r="350" spans="5:9" ht="12.5" customHeight="1" x14ac:dyDescent="0.25">
      <c r="E350" s="1"/>
      <c r="F350" s="2"/>
      <c r="H350" s="1"/>
      <c r="I350" s="2"/>
    </row>
    <row r="351" spans="5:9" ht="12.5" customHeight="1" x14ac:dyDescent="0.25">
      <c r="E351" s="1"/>
      <c r="F351" s="2"/>
      <c r="H351" s="1"/>
      <c r="I351" s="2"/>
    </row>
    <row r="352" spans="5:9" ht="12.5" customHeight="1" x14ac:dyDescent="0.25">
      <c r="E352" s="1"/>
      <c r="F352" s="2"/>
      <c r="H352" s="1"/>
      <c r="I352" s="2"/>
    </row>
    <row r="353" spans="5:9" ht="12.5" customHeight="1" x14ac:dyDescent="0.25">
      <c r="E353" s="1"/>
      <c r="F353" s="2"/>
      <c r="H353" s="1"/>
      <c r="I353" s="2"/>
    </row>
    <row r="354" spans="5:9" ht="12.5" customHeight="1" x14ac:dyDescent="0.25">
      <c r="E354" s="1"/>
      <c r="F354" s="2"/>
      <c r="H354" s="1"/>
      <c r="I354" s="2"/>
    </row>
    <row r="355" spans="5:9" ht="12.5" customHeight="1" x14ac:dyDescent="0.25">
      <c r="E355" s="1"/>
      <c r="F355" s="2"/>
      <c r="H355" s="1"/>
      <c r="I355" s="2"/>
    </row>
    <row r="356" spans="5:9" ht="12.5" customHeight="1" x14ac:dyDescent="0.25">
      <c r="E356" s="1"/>
      <c r="F356" s="2"/>
      <c r="H356" s="1"/>
      <c r="I356" s="2"/>
    </row>
    <row r="357" spans="5:9" ht="12.5" customHeight="1" x14ac:dyDescent="0.25">
      <c r="E357" s="1"/>
      <c r="F357" s="2"/>
      <c r="H357" s="1"/>
      <c r="I357" s="2"/>
    </row>
    <row r="358" spans="5:9" ht="12.5" customHeight="1" x14ac:dyDescent="0.25">
      <c r="E358" s="1"/>
      <c r="F358" s="2"/>
      <c r="H358" s="1"/>
      <c r="I358" s="2"/>
    </row>
    <row r="359" spans="5:9" ht="12.5" customHeight="1" x14ac:dyDescent="0.25">
      <c r="E359" s="1"/>
      <c r="F359" s="2"/>
      <c r="H359" s="1"/>
      <c r="I359" s="2"/>
    </row>
    <row r="360" spans="5:9" ht="12.5" customHeight="1" x14ac:dyDescent="0.25">
      <c r="E360" s="1"/>
      <c r="F360" s="2"/>
      <c r="H360" s="1"/>
      <c r="I360" s="2"/>
    </row>
    <row r="361" spans="5:9" ht="12.5" customHeight="1" x14ac:dyDescent="0.25">
      <c r="E361" s="1"/>
      <c r="F361" s="2"/>
      <c r="H361" s="1"/>
      <c r="I361" s="2"/>
    </row>
    <row r="362" spans="5:9" ht="12.5" customHeight="1" x14ac:dyDescent="0.25">
      <c r="E362" s="1"/>
      <c r="F362" s="2"/>
      <c r="H362" s="1"/>
      <c r="I362" s="2"/>
    </row>
    <row r="363" spans="5:9" ht="12.5" customHeight="1" x14ac:dyDescent="0.25">
      <c r="E363" s="1"/>
      <c r="F363" s="2"/>
      <c r="H363" s="1"/>
      <c r="I363" s="2"/>
    </row>
    <row r="364" spans="5:9" ht="12.5" customHeight="1" x14ac:dyDescent="0.25">
      <c r="E364" s="1"/>
      <c r="F364" s="2"/>
      <c r="H364" s="1"/>
      <c r="I364" s="2"/>
    </row>
    <row r="365" spans="5:9" ht="12.5" customHeight="1" x14ac:dyDescent="0.25">
      <c r="E365" s="1"/>
      <c r="F365" s="2"/>
      <c r="H365" s="1"/>
      <c r="I365" s="2"/>
    </row>
    <row r="366" spans="5:9" ht="12.5" customHeight="1" x14ac:dyDescent="0.25">
      <c r="E366" s="1"/>
      <c r="F366" s="2"/>
      <c r="H366" s="1"/>
      <c r="I366" s="2"/>
    </row>
    <row r="367" spans="5:9" ht="12.5" customHeight="1" x14ac:dyDescent="0.25">
      <c r="E367" s="1"/>
      <c r="F367" s="2"/>
      <c r="H367" s="1"/>
      <c r="I367" s="2"/>
    </row>
    <row r="368" spans="5:9" ht="12.5" customHeight="1" x14ac:dyDescent="0.25">
      <c r="E368" s="1"/>
      <c r="F368" s="2"/>
      <c r="H368" s="1"/>
      <c r="I368" s="2"/>
    </row>
    <row r="369" spans="5:9" ht="12.5" customHeight="1" x14ac:dyDescent="0.25">
      <c r="E369" s="1"/>
      <c r="F369" s="2"/>
      <c r="H369" s="1"/>
      <c r="I369" s="2"/>
    </row>
    <row r="370" spans="5:9" ht="12.5" customHeight="1" x14ac:dyDescent="0.25">
      <c r="E370" s="1"/>
      <c r="F370" s="2"/>
      <c r="H370" s="1"/>
      <c r="I370" s="2"/>
    </row>
    <row r="371" spans="5:9" ht="12.5" customHeight="1" x14ac:dyDescent="0.25">
      <c r="E371" s="1"/>
      <c r="F371" s="2"/>
      <c r="H371" s="1"/>
      <c r="I371" s="2"/>
    </row>
    <row r="372" spans="5:9" ht="12.5" customHeight="1" x14ac:dyDescent="0.25">
      <c r="E372" s="1"/>
      <c r="F372" s="2"/>
      <c r="H372" s="1"/>
      <c r="I372" s="2"/>
    </row>
    <row r="373" spans="5:9" ht="12.5" customHeight="1" x14ac:dyDescent="0.25">
      <c r="E373" s="1"/>
      <c r="F373" s="2"/>
      <c r="H373" s="1"/>
      <c r="I373" s="2"/>
    </row>
    <row r="374" spans="5:9" ht="12.5" customHeight="1" x14ac:dyDescent="0.25">
      <c r="E374" s="1"/>
      <c r="F374" s="2"/>
      <c r="H374" s="1"/>
      <c r="I374" s="2"/>
    </row>
    <row r="375" spans="5:9" ht="12.5" customHeight="1" x14ac:dyDescent="0.25">
      <c r="E375" s="1"/>
      <c r="F375" s="2"/>
      <c r="H375" s="1"/>
      <c r="I375" s="2"/>
    </row>
    <row r="376" spans="5:9" ht="12.5" customHeight="1" x14ac:dyDescent="0.25">
      <c r="E376" s="1"/>
      <c r="F376" s="2"/>
      <c r="H376" s="1"/>
      <c r="I376" s="2"/>
    </row>
    <row r="377" spans="5:9" ht="12.5" customHeight="1" x14ac:dyDescent="0.25">
      <c r="E377" s="1"/>
      <c r="F377" s="2"/>
      <c r="H377" s="1"/>
      <c r="I377" s="2"/>
    </row>
    <row r="378" spans="5:9" ht="12.5" customHeight="1" x14ac:dyDescent="0.25">
      <c r="E378" s="1"/>
      <c r="F378" s="2"/>
      <c r="H378" s="1"/>
      <c r="I378" s="2"/>
    </row>
    <row r="379" spans="5:9" ht="12.5" customHeight="1" x14ac:dyDescent="0.25">
      <c r="E379" s="1"/>
      <c r="F379" s="2"/>
      <c r="H379" s="1"/>
      <c r="I379" s="2"/>
    </row>
    <row r="380" spans="5:9" ht="12.5" customHeight="1" x14ac:dyDescent="0.25">
      <c r="E380" s="1"/>
      <c r="F380" s="2"/>
      <c r="H380" s="1"/>
      <c r="I380" s="2"/>
    </row>
    <row r="381" spans="5:9" ht="12.5" customHeight="1" x14ac:dyDescent="0.25">
      <c r="E381" s="1"/>
      <c r="F381" s="2"/>
      <c r="H381" s="1"/>
      <c r="I381" s="2"/>
    </row>
    <row r="382" spans="5:9" ht="12.5" customHeight="1" x14ac:dyDescent="0.25">
      <c r="E382" s="1"/>
      <c r="F382" s="2"/>
      <c r="H382" s="1"/>
      <c r="I382" s="2"/>
    </row>
    <row r="383" spans="5:9" ht="12.5" customHeight="1" x14ac:dyDescent="0.25">
      <c r="E383" s="1"/>
      <c r="F383" s="2"/>
      <c r="H383" s="1"/>
      <c r="I383" s="2"/>
    </row>
    <row r="384" spans="5:9" ht="12.5" customHeight="1" x14ac:dyDescent="0.25">
      <c r="E384" s="1"/>
      <c r="F384" s="2"/>
      <c r="H384" s="1"/>
      <c r="I384" s="2"/>
    </row>
    <row r="385" spans="5:9" ht="12.5" customHeight="1" x14ac:dyDescent="0.25">
      <c r="E385" s="1"/>
      <c r="F385" s="2"/>
      <c r="H385" s="1"/>
      <c r="I385" s="2"/>
    </row>
    <row r="386" spans="5:9" ht="12.5" customHeight="1" x14ac:dyDescent="0.25">
      <c r="E386" s="1"/>
      <c r="F386" s="2"/>
      <c r="H386" s="1"/>
      <c r="I386" s="2"/>
    </row>
    <row r="387" spans="5:9" ht="12.5" customHeight="1" x14ac:dyDescent="0.25">
      <c r="E387" s="1"/>
      <c r="F387" s="2"/>
      <c r="H387" s="1"/>
      <c r="I387" s="2"/>
    </row>
    <row r="388" spans="5:9" ht="12.5" customHeight="1" x14ac:dyDescent="0.25">
      <c r="E388" s="1"/>
      <c r="F388" s="2"/>
      <c r="H388" s="1"/>
      <c r="I388" s="2"/>
    </row>
    <row r="389" spans="5:9" ht="12.5" customHeight="1" x14ac:dyDescent="0.25">
      <c r="E389" s="1"/>
      <c r="F389" s="2"/>
      <c r="H389" s="1"/>
      <c r="I389" s="2"/>
    </row>
    <row r="390" spans="5:9" ht="12.5" customHeight="1" x14ac:dyDescent="0.25">
      <c r="E390" s="1"/>
      <c r="F390" s="2"/>
      <c r="H390" s="1"/>
      <c r="I390" s="2"/>
    </row>
    <row r="391" spans="5:9" ht="12.5" customHeight="1" x14ac:dyDescent="0.25">
      <c r="E391" s="1"/>
      <c r="F391" s="2"/>
      <c r="H391" s="1"/>
      <c r="I391" s="2"/>
    </row>
    <row r="392" spans="5:9" ht="12.5" customHeight="1" x14ac:dyDescent="0.25">
      <c r="E392" s="1"/>
      <c r="F392" s="2"/>
      <c r="H392" s="1"/>
      <c r="I392" s="2"/>
    </row>
    <row r="393" spans="5:9" ht="12.5" customHeight="1" x14ac:dyDescent="0.25">
      <c r="E393" s="1"/>
      <c r="F393" s="2"/>
      <c r="H393" s="1"/>
      <c r="I393" s="2"/>
    </row>
    <row r="394" spans="5:9" ht="12.5" customHeight="1" x14ac:dyDescent="0.25">
      <c r="E394" s="1"/>
      <c r="F394" s="2"/>
      <c r="H394" s="1"/>
      <c r="I394" s="2"/>
    </row>
    <row r="395" spans="5:9" ht="12.5" customHeight="1" x14ac:dyDescent="0.25">
      <c r="E395" s="1"/>
      <c r="F395" s="2"/>
      <c r="H395" s="1"/>
      <c r="I395" s="2"/>
    </row>
    <row r="396" spans="5:9" ht="12.5" customHeight="1" x14ac:dyDescent="0.25">
      <c r="E396" s="1"/>
      <c r="F396" s="2"/>
      <c r="H396" s="1"/>
      <c r="I396" s="2"/>
    </row>
    <row r="397" spans="5:9" ht="12.5" customHeight="1" x14ac:dyDescent="0.25">
      <c r="E397" s="1"/>
      <c r="F397" s="2"/>
      <c r="H397" s="1"/>
      <c r="I397" s="2"/>
    </row>
    <row r="398" spans="5:9" ht="12.5" customHeight="1" x14ac:dyDescent="0.25">
      <c r="E398" s="1"/>
      <c r="F398" s="2"/>
      <c r="H398" s="1"/>
      <c r="I398" s="2"/>
    </row>
    <row r="399" spans="5:9" ht="12.5" customHeight="1" x14ac:dyDescent="0.25">
      <c r="E399" s="1"/>
      <c r="F399" s="2"/>
      <c r="H399" s="1"/>
      <c r="I399" s="2"/>
    </row>
    <row r="400" spans="5:9" ht="12.5" customHeight="1" x14ac:dyDescent="0.25">
      <c r="E400" s="1"/>
      <c r="F400" s="2"/>
      <c r="H400" s="1"/>
      <c r="I400" s="2"/>
    </row>
    <row r="401" spans="5:9" ht="12.5" customHeight="1" x14ac:dyDescent="0.25">
      <c r="E401" s="1"/>
      <c r="F401" s="2"/>
      <c r="H401" s="1"/>
      <c r="I401" s="2"/>
    </row>
    <row r="402" spans="5:9" ht="12.5" customHeight="1" x14ac:dyDescent="0.25">
      <c r="E402" s="1"/>
      <c r="F402" s="2"/>
      <c r="H402" s="1"/>
      <c r="I402" s="2"/>
    </row>
    <row r="403" spans="5:9" ht="12.5" customHeight="1" x14ac:dyDescent="0.25">
      <c r="E403" s="1"/>
      <c r="F403" s="2"/>
      <c r="H403" s="1"/>
      <c r="I403" s="2"/>
    </row>
    <row r="404" spans="5:9" ht="12.5" customHeight="1" x14ac:dyDescent="0.25">
      <c r="E404" s="1"/>
      <c r="F404" s="2"/>
      <c r="H404" s="1"/>
      <c r="I404" s="2"/>
    </row>
    <row r="405" spans="5:9" ht="12.5" customHeight="1" x14ac:dyDescent="0.25">
      <c r="E405" s="1"/>
      <c r="F405" s="2"/>
      <c r="H405" s="1"/>
      <c r="I405" s="2"/>
    </row>
    <row r="406" spans="5:9" ht="12.5" customHeight="1" x14ac:dyDescent="0.25">
      <c r="E406" s="1"/>
      <c r="F406" s="2"/>
      <c r="H406" s="1"/>
      <c r="I406" s="2"/>
    </row>
    <row r="407" spans="5:9" ht="12.5" customHeight="1" x14ac:dyDescent="0.25">
      <c r="E407" s="1"/>
      <c r="F407" s="2"/>
      <c r="H407" s="1"/>
      <c r="I407" s="2"/>
    </row>
    <row r="408" spans="5:9" ht="12.5" customHeight="1" x14ac:dyDescent="0.25">
      <c r="E408" s="1"/>
      <c r="F408" s="2"/>
      <c r="H408" s="1"/>
      <c r="I408" s="2"/>
    </row>
    <row r="409" spans="5:9" ht="12.5" customHeight="1" x14ac:dyDescent="0.25">
      <c r="E409" s="1"/>
      <c r="F409" s="2"/>
      <c r="H409" s="1"/>
      <c r="I409" s="2"/>
    </row>
    <row r="410" spans="5:9" ht="12.5" customHeight="1" x14ac:dyDescent="0.25">
      <c r="E410" s="1"/>
      <c r="F410" s="2"/>
      <c r="H410" s="1"/>
      <c r="I410" s="2"/>
    </row>
    <row r="411" spans="5:9" ht="12.5" customHeight="1" x14ac:dyDescent="0.25">
      <c r="E411" s="1"/>
      <c r="F411" s="2"/>
      <c r="H411" s="1"/>
      <c r="I411" s="2"/>
    </row>
    <row r="412" spans="5:9" ht="12.5" customHeight="1" x14ac:dyDescent="0.25">
      <c r="E412" s="1"/>
      <c r="F412" s="2"/>
      <c r="H412" s="1"/>
      <c r="I412" s="2"/>
    </row>
    <row r="413" spans="5:9" ht="12.5" customHeight="1" x14ac:dyDescent="0.25">
      <c r="E413" s="1"/>
      <c r="F413" s="2"/>
      <c r="H413" s="1"/>
      <c r="I413" s="2"/>
    </row>
    <row r="414" spans="5:9" ht="12.5" customHeight="1" x14ac:dyDescent="0.25">
      <c r="E414" s="1"/>
      <c r="F414" s="2"/>
      <c r="H414" s="1"/>
      <c r="I414" s="2"/>
    </row>
    <row r="415" spans="5:9" ht="12.5" customHeight="1" x14ac:dyDescent="0.25">
      <c r="E415" s="1"/>
      <c r="F415" s="2"/>
      <c r="H415" s="1"/>
      <c r="I415" s="2"/>
    </row>
    <row r="416" spans="5:9" ht="12.5" customHeight="1" x14ac:dyDescent="0.25">
      <c r="E416" s="1"/>
      <c r="F416" s="2"/>
      <c r="H416" s="1"/>
      <c r="I416" s="2"/>
    </row>
    <row r="417" spans="5:9" ht="12.5" customHeight="1" x14ac:dyDescent="0.25">
      <c r="E417" s="1"/>
      <c r="F417" s="2"/>
      <c r="H417" s="1"/>
      <c r="I417" s="2"/>
    </row>
    <row r="418" spans="5:9" ht="12.5" customHeight="1" x14ac:dyDescent="0.25">
      <c r="E418" s="1"/>
      <c r="F418" s="2"/>
      <c r="H418" s="1"/>
      <c r="I418" s="2"/>
    </row>
    <row r="419" spans="5:9" ht="12.5" customHeight="1" x14ac:dyDescent="0.25">
      <c r="E419" s="1"/>
      <c r="F419" s="2"/>
      <c r="H419" s="1"/>
      <c r="I419" s="2"/>
    </row>
    <row r="420" spans="5:9" ht="12.5" customHeight="1" x14ac:dyDescent="0.25">
      <c r="E420" s="1"/>
      <c r="F420" s="2"/>
      <c r="H420" s="1"/>
      <c r="I420" s="2"/>
    </row>
    <row r="421" spans="5:9" ht="12.5" customHeight="1" x14ac:dyDescent="0.25">
      <c r="E421" s="1"/>
      <c r="F421" s="2"/>
      <c r="H421" s="1"/>
      <c r="I421" s="2"/>
    </row>
    <row r="422" spans="5:9" ht="12.5" customHeight="1" x14ac:dyDescent="0.25">
      <c r="E422" s="1"/>
      <c r="F422" s="2"/>
      <c r="H422" s="1"/>
      <c r="I422" s="2"/>
    </row>
    <row r="423" spans="5:9" ht="12.5" customHeight="1" x14ac:dyDescent="0.25">
      <c r="E423" s="1"/>
      <c r="F423" s="2"/>
      <c r="H423" s="1"/>
      <c r="I423" s="2"/>
    </row>
    <row r="424" spans="5:9" ht="12.5" customHeight="1" x14ac:dyDescent="0.25">
      <c r="E424" s="1"/>
      <c r="F424" s="2"/>
      <c r="H424" s="1"/>
      <c r="I424" s="2"/>
    </row>
    <row r="425" spans="5:9" ht="12.5" customHeight="1" x14ac:dyDescent="0.25">
      <c r="E425" s="1"/>
      <c r="F425" s="2"/>
      <c r="H425" s="1"/>
      <c r="I425" s="2"/>
    </row>
    <row r="426" spans="5:9" ht="12.5" customHeight="1" x14ac:dyDescent="0.25">
      <c r="E426" s="1"/>
      <c r="F426" s="2"/>
      <c r="H426" s="1"/>
      <c r="I426" s="2"/>
    </row>
    <row r="427" spans="5:9" ht="12.5" customHeight="1" x14ac:dyDescent="0.25">
      <c r="E427" s="1"/>
      <c r="F427" s="2"/>
      <c r="H427" s="1"/>
      <c r="I427" s="2"/>
    </row>
    <row r="428" spans="5:9" ht="12.5" customHeight="1" x14ac:dyDescent="0.25">
      <c r="E428" s="1"/>
      <c r="F428" s="2"/>
      <c r="H428" s="1"/>
      <c r="I428" s="2"/>
    </row>
    <row r="429" spans="5:9" ht="12.5" customHeight="1" x14ac:dyDescent="0.25">
      <c r="E429" s="1"/>
      <c r="F429" s="2"/>
      <c r="H429" s="1"/>
      <c r="I429" s="2"/>
    </row>
    <row r="430" spans="5:9" ht="12.5" customHeight="1" x14ac:dyDescent="0.25">
      <c r="E430" s="1"/>
      <c r="F430" s="2"/>
      <c r="H430" s="1"/>
      <c r="I430" s="2"/>
    </row>
    <row r="431" spans="5:9" ht="12.5" customHeight="1" x14ac:dyDescent="0.25">
      <c r="E431" s="1"/>
      <c r="F431" s="2"/>
      <c r="H431" s="1"/>
      <c r="I431" s="2"/>
    </row>
    <row r="432" spans="5:9" ht="12.5" customHeight="1" x14ac:dyDescent="0.25">
      <c r="E432" s="1"/>
      <c r="F432" s="2"/>
      <c r="H432" s="1"/>
      <c r="I432" s="2"/>
    </row>
    <row r="433" spans="5:9" ht="12.5" customHeight="1" x14ac:dyDescent="0.25">
      <c r="E433" s="1"/>
      <c r="F433" s="2"/>
      <c r="H433" s="1"/>
      <c r="I433" s="2"/>
    </row>
    <row r="434" spans="5:9" ht="12.5" customHeight="1" x14ac:dyDescent="0.25">
      <c r="E434" s="1"/>
      <c r="F434" s="2"/>
      <c r="H434" s="1"/>
      <c r="I434" s="2"/>
    </row>
    <row r="435" spans="5:9" ht="12.5" customHeight="1" x14ac:dyDescent="0.25">
      <c r="E435" s="1"/>
      <c r="F435" s="2"/>
      <c r="H435" s="1"/>
      <c r="I435" s="2"/>
    </row>
    <row r="436" spans="5:9" ht="12.5" customHeight="1" x14ac:dyDescent="0.25">
      <c r="E436" s="1"/>
      <c r="F436" s="2"/>
      <c r="H436" s="1"/>
      <c r="I436" s="2"/>
    </row>
    <row r="437" spans="5:9" ht="12.5" customHeight="1" x14ac:dyDescent="0.25">
      <c r="E437" s="1"/>
      <c r="F437" s="2"/>
      <c r="H437" s="1"/>
      <c r="I437" s="2"/>
    </row>
    <row r="438" spans="5:9" ht="12.5" customHeight="1" x14ac:dyDescent="0.25">
      <c r="E438" s="1"/>
      <c r="F438" s="2"/>
      <c r="H438" s="1"/>
      <c r="I438" s="2"/>
    </row>
    <row r="439" spans="5:9" ht="12.5" customHeight="1" x14ac:dyDescent="0.25">
      <c r="E439" s="1"/>
      <c r="F439" s="2"/>
      <c r="H439" s="1"/>
      <c r="I439" s="2"/>
    </row>
    <row r="440" spans="5:9" ht="12.5" customHeight="1" x14ac:dyDescent="0.25">
      <c r="E440" s="1"/>
      <c r="F440" s="2"/>
      <c r="H440" s="1"/>
      <c r="I440" s="2"/>
    </row>
    <row r="441" spans="5:9" ht="12.5" customHeight="1" x14ac:dyDescent="0.25">
      <c r="E441" s="1"/>
      <c r="F441" s="2"/>
      <c r="H441" s="1"/>
      <c r="I441" s="2"/>
    </row>
    <row r="442" spans="5:9" ht="12.5" customHeight="1" x14ac:dyDescent="0.25">
      <c r="E442" s="1"/>
      <c r="F442" s="2"/>
      <c r="H442" s="1"/>
      <c r="I442" s="2"/>
    </row>
    <row r="443" spans="5:9" ht="12.5" customHeight="1" x14ac:dyDescent="0.25">
      <c r="E443" s="1"/>
      <c r="F443" s="2"/>
      <c r="H443" s="1"/>
      <c r="I443" s="2"/>
    </row>
    <row r="444" spans="5:9" ht="12.5" customHeight="1" x14ac:dyDescent="0.25">
      <c r="E444" s="1"/>
      <c r="F444" s="2"/>
      <c r="H444" s="1"/>
      <c r="I444" s="2"/>
    </row>
    <row r="445" spans="5:9" ht="12.5" customHeight="1" x14ac:dyDescent="0.25">
      <c r="E445" s="1"/>
      <c r="F445" s="2"/>
      <c r="H445" s="1"/>
      <c r="I445" s="2"/>
    </row>
    <row r="446" spans="5:9" ht="12.5" customHeight="1" x14ac:dyDescent="0.25">
      <c r="E446" s="1"/>
      <c r="F446" s="2"/>
      <c r="H446" s="1"/>
      <c r="I446" s="2"/>
    </row>
    <row r="447" spans="5:9" ht="12.5" customHeight="1" x14ac:dyDescent="0.25">
      <c r="E447" s="1"/>
      <c r="F447" s="2"/>
      <c r="H447" s="1"/>
      <c r="I447" s="2"/>
    </row>
    <row r="448" spans="5:9" ht="12.5" customHeight="1" x14ac:dyDescent="0.25">
      <c r="E448" s="1"/>
      <c r="F448" s="2"/>
      <c r="H448" s="1"/>
      <c r="I448" s="2"/>
    </row>
    <row r="449" spans="5:9" ht="12.5" customHeight="1" x14ac:dyDescent="0.25">
      <c r="E449" s="1"/>
      <c r="F449" s="2"/>
      <c r="H449" s="1"/>
      <c r="I449" s="2"/>
    </row>
    <row r="450" spans="5:9" ht="12.5" customHeight="1" x14ac:dyDescent="0.25">
      <c r="E450" s="1"/>
      <c r="F450" s="2"/>
      <c r="H450" s="1"/>
      <c r="I450" s="2"/>
    </row>
    <row r="451" spans="5:9" ht="12.5" customHeight="1" x14ac:dyDescent="0.25">
      <c r="E451" s="1"/>
      <c r="F451" s="2"/>
      <c r="H451" s="1"/>
      <c r="I451" s="2"/>
    </row>
    <row r="452" spans="5:9" ht="12.5" customHeight="1" x14ac:dyDescent="0.25">
      <c r="E452" s="1"/>
      <c r="F452" s="2"/>
      <c r="H452" s="1"/>
      <c r="I452" s="2"/>
    </row>
    <row r="453" spans="5:9" ht="12.5" customHeight="1" x14ac:dyDescent="0.25">
      <c r="E453" s="1"/>
      <c r="F453" s="2"/>
      <c r="H453" s="1"/>
      <c r="I453" s="2"/>
    </row>
    <row r="454" spans="5:9" ht="12.5" customHeight="1" x14ac:dyDescent="0.25">
      <c r="E454" s="1"/>
      <c r="F454" s="2"/>
      <c r="H454" s="1"/>
      <c r="I454" s="2"/>
    </row>
    <row r="455" spans="5:9" ht="12.5" customHeight="1" x14ac:dyDescent="0.25">
      <c r="E455" s="1"/>
      <c r="F455" s="2"/>
      <c r="H455" s="1"/>
      <c r="I455" s="2"/>
    </row>
    <row r="456" spans="5:9" ht="12.5" customHeight="1" x14ac:dyDescent="0.25">
      <c r="E456" s="1"/>
      <c r="F456" s="2"/>
      <c r="H456" s="1"/>
      <c r="I456" s="2"/>
    </row>
    <row r="457" spans="5:9" ht="12.5" customHeight="1" x14ac:dyDescent="0.25">
      <c r="E457" s="1"/>
      <c r="F457" s="2"/>
      <c r="H457" s="1"/>
      <c r="I457" s="2"/>
    </row>
    <row r="458" spans="5:9" ht="12.5" customHeight="1" x14ac:dyDescent="0.25">
      <c r="E458" s="1"/>
      <c r="F458" s="2"/>
      <c r="H458" s="1"/>
      <c r="I458" s="2"/>
    </row>
    <row r="459" spans="5:9" ht="12.5" customHeight="1" x14ac:dyDescent="0.25">
      <c r="E459" s="1"/>
      <c r="F459" s="2"/>
      <c r="H459" s="1"/>
      <c r="I459" s="2"/>
    </row>
    <row r="460" spans="5:9" ht="12.5" customHeight="1" x14ac:dyDescent="0.25">
      <c r="E460" s="1"/>
      <c r="F460" s="2"/>
      <c r="H460" s="1"/>
      <c r="I460" s="2"/>
    </row>
    <row r="461" spans="5:9" ht="12.5" customHeight="1" x14ac:dyDescent="0.25">
      <c r="E461" s="1"/>
      <c r="F461" s="2"/>
      <c r="H461" s="1"/>
      <c r="I461" s="2"/>
    </row>
    <row r="462" spans="5:9" ht="12.5" customHeight="1" x14ac:dyDescent="0.25">
      <c r="E462" s="1"/>
      <c r="F462" s="2"/>
      <c r="H462" s="1"/>
      <c r="I462" s="2"/>
    </row>
    <row r="463" spans="5:9" ht="12.5" customHeight="1" x14ac:dyDescent="0.25">
      <c r="E463" s="1"/>
      <c r="F463" s="2"/>
      <c r="H463" s="1"/>
      <c r="I463" s="2"/>
    </row>
    <row r="464" spans="5:9" ht="12.5" customHeight="1" x14ac:dyDescent="0.25">
      <c r="E464" s="1"/>
      <c r="F464" s="2"/>
      <c r="H464" s="1"/>
      <c r="I464" s="2"/>
    </row>
    <row r="465" spans="5:9" ht="12.5" customHeight="1" x14ac:dyDescent="0.25">
      <c r="E465" s="1"/>
      <c r="F465" s="2"/>
      <c r="H465" s="1"/>
      <c r="I465" s="2"/>
    </row>
    <row r="466" spans="5:9" ht="12.5" customHeight="1" x14ac:dyDescent="0.25">
      <c r="E466" s="1"/>
      <c r="F466" s="2"/>
      <c r="H466" s="1"/>
      <c r="I466" s="2"/>
    </row>
    <row r="467" spans="5:9" ht="12.5" customHeight="1" x14ac:dyDescent="0.25">
      <c r="E467" s="1"/>
      <c r="F467" s="2"/>
      <c r="H467" s="1"/>
      <c r="I467" s="2"/>
    </row>
    <row r="468" spans="5:9" ht="12.5" customHeight="1" x14ac:dyDescent="0.25">
      <c r="E468" s="1"/>
      <c r="F468" s="2"/>
      <c r="H468" s="1"/>
      <c r="I468" s="2"/>
    </row>
    <row r="469" spans="5:9" ht="12.5" customHeight="1" x14ac:dyDescent="0.25">
      <c r="E469" s="1"/>
      <c r="F469" s="2"/>
      <c r="H469" s="1"/>
      <c r="I469" s="2"/>
    </row>
    <row r="470" spans="5:9" ht="12.5" customHeight="1" x14ac:dyDescent="0.25">
      <c r="E470" s="1"/>
      <c r="F470" s="2"/>
      <c r="H470" s="1"/>
      <c r="I470" s="2"/>
    </row>
    <row r="471" spans="5:9" ht="12.5" customHeight="1" x14ac:dyDescent="0.25">
      <c r="E471" s="1"/>
      <c r="F471" s="2"/>
      <c r="H471" s="1"/>
      <c r="I471" s="2"/>
    </row>
    <row r="472" spans="5:9" ht="12.5" customHeight="1" x14ac:dyDescent="0.25">
      <c r="E472" s="1"/>
      <c r="F472" s="2"/>
      <c r="H472" s="1"/>
      <c r="I472" s="2"/>
    </row>
    <row r="473" spans="5:9" ht="12.5" customHeight="1" x14ac:dyDescent="0.25">
      <c r="E473" s="1"/>
      <c r="F473" s="2"/>
      <c r="H473" s="1"/>
      <c r="I473" s="2"/>
    </row>
    <row r="474" spans="5:9" ht="12.5" customHeight="1" x14ac:dyDescent="0.25">
      <c r="E474" s="1"/>
      <c r="F474" s="2"/>
      <c r="H474" s="1"/>
      <c r="I474" s="2"/>
    </row>
    <row r="475" spans="5:9" ht="12.5" customHeight="1" x14ac:dyDescent="0.25">
      <c r="E475" s="1"/>
      <c r="F475" s="2"/>
      <c r="H475" s="1"/>
      <c r="I475" s="2"/>
    </row>
    <row r="476" spans="5:9" ht="12.5" customHeight="1" x14ac:dyDescent="0.25">
      <c r="E476" s="1"/>
      <c r="F476" s="2"/>
      <c r="H476" s="1"/>
      <c r="I476" s="2"/>
    </row>
    <row r="477" spans="5:9" ht="12.5" customHeight="1" x14ac:dyDescent="0.25">
      <c r="E477" s="1"/>
      <c r="F477" s="2"/>
      <c r="H477" s="1"/>
      <c r="I477" s="2"/>
    </row>
    <row r="478" spans="5:9" ht="12.5" customHeight="1" x14ac:dyDescent="0.25">
      <c r="E478" s="1"/>
      <c r="F478" s="2"/>
      <c r="H478" s="1"/>
      <c r="I478" s="2"/>
    </row>
    <row r="479" spans="5:9" ht="12.5" customHeight="1" x14ac:dyDescent="0.25">
      <c r="E479" s="1"/>
      <c r="F479" s="2"/>
      <c r="H479" s="1"/>
      <c r="I479" s="2"/>
    </row>
    <row r="480" spans="5:9" ht="12.5" customHeight="1" x14ac:dyDescent="0.25">
      <c r="E480" s="1"/>
      <c r="F480" s="2"/>
      <c r="H480" s="1"/>
      <c r="I480" s="2"/>
    </row>
    <row r="481" spans="5:9" ht="12.5" customHeight="1" x14ac:dyDescent="0.25">
      <c r="E481" s="1"/>
      <c r="F481" s="2"/>
      <c r="H481" s="1"/>
      <c r="I481" s="2"/>
    </row>
    <row r="482" spans="5:9" ht="12.5" customHeight="1" x14ac:dyDescent="0.25">
      <c r="E482" s="1"/>
      <c r="F482" s="2"/>
      <c r="H482" s="1"/>
      <c r="I482" s="2"/>
    </row>
    <row r="483" spans="5:9" ht="12.5" customHeight="1" x14ac:dyDescent="0.25">
      <c r="E483" s="1"/>
      <c r="F483" s="2"/>
      <c r="H483" s="1"/>
      <c r="I483" s="2"/>
    </row>
    <row r="484" spans="5:9" ht="12.5" customHeight="1" x14ac:dyDescent="0.25">
      <c r="E484" s="1"/>
      <c r="F484" s="2"/>
      <c r="H484" s="1"/>
      <c r="I484" s="2"/>
    </row>
    <row r="485" spans="5:9" ht="12.5" customHeight="1" x14ac:dyDescent="0.25">
      <c r="E485" s="1"/>
      <c r="F485" s="2"/>
      <c r="H485" s="1"/>
      <c r="I485" s="2"/>
    </row>
    <row r="486" spans="5:9" ht="12.5" customHeight="1" x14ac:dyDescent="0.25">
      <c r="E486" s="1"/>
      <c r="F486" s="2"/>
      <c r="H486" s="1"/>
      <c r="I486" s="2"/>
    </row>
    <row r="487" spans="5:9" ht="12.5" customHeight="1" x14ac:dyDescent="0.25">
      <c r="E487" s="1"/>
      <c r="F487" s="2"/>
      <c r="H487" s="1"/>
      <c r="I487" s="2"/>
    </row>
    <row r="488" spans="5:9" ht="12.5" customHeight="1" x14ac:dyDescent="0.25">
      <c r="E488" s="1"/>
      <c r="F488" s="2"/>
      <c r="H488" s="1"/>
      <c r="I488" s="2"/>
    </row>
    <row r="489" spans="5:9" ht="12.5" customHeight="1" x14ac:dyDescent="0.25">
      <c r="E489" s="1"/>
      <c r="F489" s="2"/>
      <c r="H489" s="1"/>
      <c r="I489" s="2"/>
    </row>
    <row r="490" spans="5:9" ht="12.5" customHeight="1" x14ac:dyDescent="0.25">
      <c r="E490" s="1"/>
      <c r="F490" s="2"/>
      <c r="H490" s="1"/>
      <c r="I490" s="2"/>
    </row>
    <row r="491" spans="5:9" ht="12.5" customHeight="1" x14ac:dyDescent="0.25">
      <c r="E491" s="1"/>
      <c r="F491" s="2"/>
      <c r="H491" s="1"/>
      <c r="I491" s="2"/>
    </row>
    <row r="492" spans="5:9" ht="12.5" customHeight="1" x14ac:dyDescent="0.25">
      <c r="E492" s="1"/>
      <c r="F492" s="2"/>
      <c r="H492" s="1"/>
      <c r="I492" s="2"/>
    </row>
    <row r="493" spans="5:9" ht="12.5" customHeight="1" x14ac:dyDescent="0.25">
      <c r="E493" s="1"/>
      <c r="F493" s="2"/>
      <c r="H493" s="1"/>
      <c r="I493" s="2"/>
    </row>
    <row r="494" spans="5:9" ht="12.5" customHeight="1" x14ac:dyDescent="0.25">
      <c r="E494" s="1"/>
      <c r="F494" s="2"/>
      <c r="H494" s="1"/>
      <c r="I494" s="2"/>
    </row>
    <row r="495" spans="5:9" ht="12.5" customHeight="1" x14ac:dyDescent="0.25">
      <c r="E495" s="1"/>
      <c r="F495" s="2"/>
      <c r="H495" s="1"/>
      <c r="I495" s="2"/>
    </row>
    <row r="496" spans="5:9" ht="12.5" customHeight="1" x14ac:dyDescent="0.25">
      <c r="E496" s="1"/>
      <c r="F496" s="2"/>
      <c r="H496" s="1"/>
      <c r="I496" s="2"/>
    </row>
    <row r="497" spans="5:9" ht="12.5" customHeight="1" x14ac:dyDescent="0.25">
      <c r="E497" s="1"/>
      <c r="F497" s="2"/>
      <c r="H497" s="1"/>
      <c r="I497" s="2"/>
    </row>
    <row r="498" spans="5:9" ht="12.5" customHeight="1" x14ac:dyDescent="0.25">
      <c r="E498" s="1"/>
      <c r="F498" s="2"/>
      <c r="H498" s="1"/>
      <c r="I498" s="2"/>
    </row>
    <row r="499" spans="5:9" ht="12.5" customHeight="1" x14ac:dyDescent="0.25">
      <c r="E499" s="1"/>
      <c r="F499" s="2"/>
      <c r="H499" s="1"/>
      <c r="I499" s="2"/>
    </row>
    <row r="500" spans="5:9" ht="12.5" customHeight="1" x14ac:dyDescent="0.25">
      <c r="E500" s="1"/>
      <c r="F500" s="2"/>
      <c r="H500" s="1"/>
      <c r="I500" s="2"/>
    </row>
    <row r="501" spans="5:9" ht="12.5" customHeight="1" x14ac:dyDescent="0.25">
      <c r="E501" s="1"/>
      <c r="F501" s="2"/>
      <c r="H501" s="1"/>
      <c r="I501" s="2"/>
    </row>
    <row r="502" spans="5:9" ht="12.5" customHeight="1" x14ac:dyDescent="0.25">
      <c r="E502" s="1"/>
      <c r="F502" s="2"/>
      <c r="H502" s="1"/>
      <c r="I502" s="2"/>
    </row>
    <row r="503" spans="5:9" ht="12.5" customHeight="1" x14ac:dyDescent="0.25">
      <c r="E503" s="1"/>
      <c r="F503" s="2"/>
      <c r="H503" s="1"/>
      <c r="I503" s="2"/>
    </row>
    <row r="504" spans="5:9" ht="12.5" customHeight="1" x14ac:dyDescent="0.25">
      <c r="E504" s="1"/>
      <c r="F504" s="2"/>
      <c r="H504" s="1"/>
      <c r="I504" s="2"/>
    </row>
    <row r="505" spans="5:9" ht="12.5" customHeight="1" x14ac:dyDescent="0.25">
      <c r="E505" s="1"/>
      <c r="F505" s="2"/>
      <c r="H505" s="1"/>
      <c r="I505" s="2"/>
    </row>
    <row r="506" spans="5:9" ht="12.5" customHeight="1" x14ac:dyDescent="0.25">
      <c r="E506" s="1"/>
      <c r="F506" s="2"/>
      <c r="H506" s="1"/>
      <c r="I506" s="2"/>
    </row>
    <row r="507" spans="5:9" ht="12.5" customHeight="1" x14ac:dyDescent="0.25">
      <c r="E507" s="1"/>
      <c r="F507" s="2"/>
      <c r="H507" s="1"/>
      <c r="I507" s="2"/>
    </row>
    <row r="508" spans="5:9" ht="12.5" customHeight="1" x14ac:dyDescent="0.25">
      <c r="E508" s="1"/>
      <c r="F508" s="2"/>
      <c r="H508" s="1"/>
      <c r="I508" s="2"/>
    </row>
    <row r="509" spans="5:9" ht="12.5" customHeight="1" x14ac:dyDescent="0.25">
      <c r="E509" s="1"/>
      <c r="F509" s="2"/>
      <c r="H509" s="1"/>
      <c r="I509" s="2"/>
    </row>
    <row r="510" spans="5:9" ht="12.5" customHeight="1" x14ac:dyDescent="0.25">
      <c r="E510" s="1"/>
      <c r="F510" s="2"/>
      <c r="H510" s="1"/>
      <c r="I510" s="2"/>
    </row>
    <row r="511" spans="5:9" ht="12.5" customHeight="1" x14ac:dyDescent="0.25">
      <c r="E511" s="1"/>
      <c r="F511" s="2"/>
      <c r="H511" s="1"/>
      <c r="I511" s="2"/>
    </row>
    <row r="512" spans="5:9" ht="12.5" customHeight="1" x14ac:dyDescent="0.25">
      <c r="E512" s="1"/>
      <c r="F512" s="2"/>
      <c r="H512" s="1"/>
      <c r="I512" s="2"/>
    </row>
    <row r="513" spans="5:9" ht="12.5" customHeight="1" x14ac:dyDescent="0.25">
      <c r="E513" s="1"/>
      <c r="F513" s="2"/>
      <c r="H513" s="1"/>
      <c r="I513" s="2"/>
    </row>
    <row r="514" spans="5:9" ht="12.5" customHeight="1" x14ac:dyDescent="0.25">
      <c r="E514" s="1"/>
      <c r="F514" s="2"/>
      <c r="H514" s="1"/>
      <c r="I514" s="2"/>
    </row>
    <row r="515" spans="5:9" ht="12.5" customHeight="1" x14ac:dyDescent="0.25">
      <c r="E515" s="1"/>
      <c r="F515" s="2"/>
      <c r="H515" s="1"/>
      <c r="I515" s="2"/>
    </row>
    <row r="516" spans="5:9" ht="12.5" customHeight="1" x14ac:dyDescent="0.25">
      <c r="E516" s="1"/>
      <c r="F516" s="2"/>
      <c r="H516" s="1"/>
      <c r="I516" s="2"/>
    </row>
    <row r="517" spans="5:9" ht="12.5" customHeight="1" x14ac:dyDescent="0.25">
      <c r="E517" s="1"/>
      <c r="F517" s="2"/>
      <c r="H517" s="1"/>
      <c r="I517" s="2"/>
    </row>
    <row r="518" spans="5:9" ht="12.5" customHeight="1" x14ac:dyDescent="0.25">
      <c r="E518" s="1"/>
      <c r="F518" s="2"/>
      <c r="H518" s="1"/>
      <c r="I518" s="2"/>
    </row>
    <row r="519" spans="5:9" ht="12.5" customHeight="1" x14ac:dyDescent="0.25">
      <c r="E519" s="1"/>
      <c r="F519" s="2"/>
      <c r="H519" s="1"/>
      <c r="I519" s="2"/>
    </row>
    <row r="520" spans="5:9" ht="12.5" customHeight="1" x14ac:dyDescent="0.25">
      <c r="E520" s="1"/>
      <c r="F520" s="2"/>
      <c r="H520" s="1"/>
      <c r="I520" s="2"/>
    </row>
    <row r="521" spans="5:9" ht="12.5" customHeight="1" x14ac:dyDescent="0.25">
      <c r="E521" s="1"/>
      <c r="F521" s="2"/>
      <c r="H521" s="1"/>
      <c r="I521" s="2"/>
    </row>
    <row r="522" spans="5:9" ht="12.5" customHeight="1" x14ac:dyDescent="0.25">
      <c r="E522" s="1"/>
      <c r="F522" s="2"/>
      <c r="H522" s="1"/>
      <c r="I522" s="2"/>
    </row>
    <row r="523" spans="5:9" ht="12.5" customHeight="1" x14ac:dyDescent="0.25">
      <c r="E523" s="1"/>
      <c r="F523" s="2"/>
      <c r="H523" s="1"/>
      <c r="I523" s="2"/>
    </row>
    <row r="524" spans="5:9" ht="12.5" customHeight="1" x14ac:dyDescent="0.25">
      <c r="E524" s="1"/>
      <c r="F524" s="2"/>
      <c r="H524" s="1"/>
      <c r="I524" s="2"/>
    </row>
    <row r="525" spans="5:9" ht="12.5" customHeight="1" x14ac:dyDescent="0.25">
      <c r="E525" s="1"/>
      <c r="F525" s="2"/>
      <c r="H525" s="1"/>
      <c r="I525" s="2"/>
    </row>
    <row r="526" spans="5:9" ht="12.5" customHeight="1" x14ac:dyDescent="0.25">
      <c r="E526" s="1"/>
      <c r="F526" s="2"/>
      <c r="H526" s="1"/>
      <c r="I526" s="2"/>
    </row>
    <row r="527" spans="5:9" ht="12.5" customHeight="1" x14ac:dyDescent="0.25">
      <c r="E527" s="1"/>
      <c r="F527" s="2"/>
      <c r="H527" s="1"/>
      <c r="I527" s="2"/>
    </row>
    <row r="528" spans="5:9" ht="12.5" customHeight="1" x14ac:dyDescent="0.25">
      <c r="E528" s="1"/>
      <c r="F528" s="2"/>
      <c r="H528" s="1"/>
      <c r="I528" s="2"/>
    </row>
    <row r="529" spans="5:9" ht="12.5" customHeight="1" x14ac:dyDescent="0.25">
      <c r="E529" s="1"/>
      <c r="F529" s="2"/>
      <c r="H529" s="1"/>
      <c r="I529" s="2"/>
    </row>
    <row r="530" spans="5:9" ht="12.5" customHeight="1" x14ac:dyDescent="0.25">
      <c r="E530" s="1"/>
      <c r="F530" s="2"/>
      <c r="H530" s="1"/>
      <c r="I530" s="2"/>
    </row>
    <row r="531" spans="5:9" ht="12.5" customHeight="1" x14ac:dyDescent="0.25">
      <c r="E531" s="1"/>
      <c r="F531" s="2"/>
      <c r="H531" s="1"/>
      <c r="I531" s="2"/>
    </row>
    <row r="532" spans="5:9" ht="12.5" customHeight="1" x14ac:dyDescent="0.25">
      <c r="E532" s="1"/>
      <c r="F532" s="2"/>
      <c r="H532" s="1"/>
      <c r="I532" s="2"/>
    </row>
    <row r="533" spans="5:9" ht="12.5" customHeight="1" x14ac:dyDescent="0.25">
      <c r="E533" s="1"/>
      <c r="F533" s="2"/>
      <c r="H533" s="1"/>
      <c r="I533" s="2"/>
    </row>
    <row r="534" spans="5:9" ht="12.5" customHeight="1" x14ac:dyDescent="0.25">
      <c r="E534" s="1"/>
      <c r="F534" s="2"/>
      <c r="H534" s="1"/>
      <c r="I534" s="2"/>
    </row>
    <row r="535" spans="5:9" ht="12.5" customHeight="1" x14ac:dyDescent="0.25">
      <c r="E535" s="1"/>
      <c r="F535" s="2"/>
      <c r="H535" s="1"/>
      <c r="I535" s="2"/>
    </row>
    <row r="536" spans="5:9" ht="12.5" customHeight="1" x14ac:dyDescent="0.25">
      <c r="E536" s="1"/>
      <c r="F536" s="2"/>
      <c r="H536" s="1"/>
      <c r="I536" s="2"/>
    </row>
    <row r="537" spans="5:9" ht="12.5" customHeight="1" x14ac:dyDescent="0.25">
      <c r="E537" s="1"/>
      <c r="F537" s="2"/>
      <c r="H537" s="1"/>
      <c r="I537" s="2"/>
    </row>
    <row r="538" spans="5:9" ht="12.5" customHeight="1" x14ac:dyDescent="0.25">
      <c r="E538" s="1"/>
      <c r="F538" s="2"/>
      <c r="H538" s="1"/>
      <c r="I538" s="2"/>
    </row>
    <row r="539" spans="5:9" ht="12.5" customHeight="1" x14ac:dyDescent="0.25">
      <c r="E539" s="1"/>
      <c r="F539" s="2"/>
      <c r="H539" s="1"/>
      <c r="I539" s="2"/>
    </row>
    <row r="540" spans="5:9" ht="12.5" customHeight="1" x14ac:dyDescent="0.25">
      <c r="E540" s="1"/>
      <c r="F540" s="2"/>
      <c r="H540" s="1"/>
      <c r="I540" s="2"/>
    </row>
    <row r="541" spans="5:9" ht="12.5" customHeight="1" x14ac:dyDescent="0.25">
      <c r="E541" s="1"/>
      <c r="F541" s="2"/>
      <c r="H541" s="1"/>
      <c r="I541" s="2"/>
    </row>
    <row r="542" spans="5:9" ht="12.5" customHeight="1" x14ac:dyDescent="0.25">
      <c r="E542" s="1"/>
      <c r="F542" s="2"/>
      <c r="H542" s="1"/>
      <c r="I542" s="2"/>
    </row>
    <row r="543" spans="5:9" ht="12.5" customHeight="1" x14ac:dyDescent="0.25">
      <c r="E543" s="1"/>
      <c r="F543" s="2"/>
      <c r="H543" s="1"/>
      <c r="I543" s="2"/>
    </row>
    <row r="544" spans="5:9" ht="12.5" customHeight="1" x14ac:dyDescent="0.25">
      <c r="E544" s="1"/>
      <c r="F544" s="2"/>
      <c r="H544" s="1"/>
      <c r="I544" s="2"/>
    </row>
    <row r="545" spans="5:9" ht="12.5" customHeight="1" x14ac:dyDescent="0.25">
      <c r="E545" s="1"/>
      <c r="F545" s="2"/>
      <c r="H545" s="1"/>
      <c r="I545" s="2"/>
    </row>
    <row r="546" spans="5:9" ht="12.5" customHeight="1" x14ac:dyDescent="0.25">
      <c r="E546" s="1"/>
      <c r="F546" s="2"/>
      <c r="H546" s="1"/>
      <c r="I546" s="2"/>
    </row>
    <row r="547" spans="5:9" ht="12.5" customHeight="1" x14ac:dyDescent="0.25">
      <c r="E547" s="1"/>
      <c r="F547" s="2"/>
      <c r="H547" s="1"/>
      <c r="I547" s="2"/>
    </row>
    <row r="548" spans="5:9" ht="12.5" customHeight="1" x14ac:dyDescent="0.25">
      <c r="E548" s="1"/>
      <c r="F548" s="2"/>
      <c r="H548" s="1"/>
      <c r="I548" s="2"/>
    </row>
    <row r="549" spans="5:9" ht="12.5" customHeight="1" x14ac:dyDescent="0.25">
      <c r="E549" s="1"/>
      <c r="F549" s="2"/>
      <c r="H549" s="1"/>
      <c r="I549" s="2"/>
    </row>
    <row r="550" spans="5:9" ht="12.5" customHeight="1" x14ac:dyDescent="0.25">
      <c r="E550" s="1"/>
      <c r="F550" s="2"/>
      <c r="H550" s="1"/>
      <c r="I550" s="2"/>
    </row>
    <row r="551" spans="5:9" ht="12.5" customHeight="1" x14ac:dyDescent="0.25">
      <c r="E551" s="1"/>
      <c r="F551" s="2"/>
      <c r="H551" s="1"/>
      <c r="I551" s="2"/>
    </row>
    <row r="552" spans="5:9" ht="12.5" customHeight="1" x14ac:dyDescent="0.25">
      <c r="E552" s="1"/>
      <c r="F552" s="2"/>
      <c r="H552" s="1"/>
      <c r="I552" s="2"/>
    </row>
    <row r="553" spans="5:9" ht="12.5" customHeight="1" x14ac:dyDescent="0.25">
      <c r="E553" s="1"/>
      <c r="F553" s="2"/>
      <c r="H553" s="1"/>
      <c r="I553" s="2"/>
    </row>
    <row r="554" spans="5:9" ht="12.5" customHeight="1" x14ac:dyDescent="0.25">
      <c r="E554" s="1"/>
      <c r="F554" s="2"/>
      <c r="H554" s="1"/>
      <c r="I554" s="2"/>
    </row>
    <row r="555" spans="5:9" ht="12.5" customHeight="1" x14ac:dyDescent="0.25">
      <c r="E555" s="1"/>
      <c r="F555" s="2"/>
      <c r="H555" s="1"/>
      <c r="I555" s="2"/>
    </row>
    <row r="556" spans="5:9" ht="12.5" customHeight="1" x14ac:dyDescent="0.25">
      <c r="E556" s="1"/>
      <c r="F556" s="2"/>
      <c r="H556" s="1"/>
      <c r="I556" s="2"/>
    </row>
    <row r="557" spans="5:9" ht="12.5" customHeight="1" x14ac:dyDescent="0.25">
      <c r="E557" s="1"/>
      <c r="F557" s="2"/>
      <c r="H557" s="1"/>
      <c r="I557" s="2"/>
    </row>
    <row r="558" spans="5:9" ht="12.5" customHeight="1" x14ac:dyDescent="0.25">
      <c r="E558" s="1"/>
      <c r="F558" s="2"/>
      <c r="H558" s="1"/>
      <c r="I558" s="2"/>
    </row>
    <row r="559" spans="5:9" ht="12.5" customHeight="1" x14ac:dyDescent="0.25">
      <c r="E559" s="1"/>
      <c r="F559" s="2"/>
      <c r="H559" s="1"/>
      <c r="I559" s="2"/>
    </row>
    <row r="560" spans="5:9" ht="12.5" customHeight="1" x14ac:dyDescent="0.25">
      <c r="E560" s="1"/>
      <c r="F560" s="2"/>
      <c r="H560" s="1"/>
      <c r="I560" s="2"/>
    </row>
    <row r="561" spans="5:9" ht="12.5" customHeight="1" x14ac:dyDescent="0.25">
      <c r="E561" s="1"/>
      <c r="F561" s="2"/>
      <c r="H561" s="1"/>
      <c r="I561" s="2"/>
    </row>
    <row r="562" spans="5:9" ht="12.5" customHeight="1" x14ac:dyDescent="0.25">
      <c r="E562" s="1"/>
      <c r="F562" s="2"/>
      <c r="H562" s="1"/>
      <c r="I562" s="2"/>
    </row>
    <row r="563" spans="5:9" ht="12.5" customHeight="1" x14ac:dyDescent="0.25">
      <c r="E563" s="1"/>
      <c r="F563" s="2"/>
      <c r="H563" s="1"/>
      <c r="I563" s="2"/>
    </row>
    <row r="564" spans="5:9" ht="12.5" customHeight="1" x14ac:dyDescent="0.25">
      <c r="E564" s="1"/>
      <c r="F564" s="2"/>
      <c r="H564" s="1"/>
      <c r="I564" s="2"/>
    </row>
    <row r="565" spans="5:9" ht="12.5" customHeight="1" x14ac:dyDescent="0.25">
      <c r="E565" s="1"/>
      <c r="F565" s="2"/>
      <c r="H565" s="1"/>
      <c r="I565" s="2"/>
    </row>
    <row r="566" spans="5:9" ht="12.5" customHeight="1" x14ac:dyDescent="0.25">
      <c r="E566" s="1"/>
      <c r="F566" s="2"/>
      <c r="H566" s="1"/>
      <c r="I566" s="2"/>
    </row>
    <row r="567" spans="5:9" ht="12.5" customHeight="1" x14ac:dyDescent="0.25">
      <c r="E567" s="1"/>
      <c r="F567" s="2"/>
      <c r="H567" s="1"/>
      <c r="I567" s="2"/>
    </row>
    <row r="568" spans="5:9" ht="12.5" customHeight="1" x14ac:dyDescent="0.25">
      <c r="E568" s="1"/>
      <c r="F568" s="2"/>
      <c r="H568" s="1"/>
      <c r="I568" s="2"/>
    </row>
    <row r="569" spans="5:9" ht="12.5" customHeight="1" x14ac:dyDescent="0.25">
      <c r="E569" s="1"/>
      <c r="F569" s="2"/>
      <c r="H569" s="1"/>
      <c r="I569" s="2"/>
    </row>
    <row r="570" spans="5:9" ht="12.5" customHeight="1" x14ac:dyDescent="0.25">
      <c r="E570" s="1"/>
      <c r="F570" s="2"/>
      <c r="H570" s="1"/>
      <c r="I570" s="2"/>
    </row>
    <row r="571" spans="5:9" ht="12.5" customHeight="1" x14ac:dyDescent="0.25">
      <c r="E571" s="1"/>
      <c r="F571" s="2"/>
      <c r="H571" s="1"/>
      <c r="I571" s="2"/>
    </row>
    <row r="572" spans="5:9" ht="12.5" customHeight="1" x14ac:dyDescent="0.25">
      <c r="E572" s="1"/>
      <c r="F572" s="2"/>
      <c r="H572" s="1"/>
      <c r="I572" s="2"/>
    </row>
    <row r="573" spans="5:9" ht="12.5" customHeight="1" x14ac:dyDescent="0.25">
      <c r="E573" s="1"/>
      <c r="F573" s="2"/>
      <c r="H573" s="1"/>
      <c r="I573" s="2"/>
    </row>
    <row r="574" spans="5:9" ht="12.5" customHeight="1" x14ac:dyDescent="0.25">
      <c r="E574" s="1"/>
      <c r="F574" s="2"/>
      <c r="H574" s="1"/>
      <c r="I574" s="2"/>
    </row>
    <row r="575" spans="5:9" ht="12.5" customHeight="1" x14ac:dyDescent="0.25">
      <c r="E575" s="1"/>
      <c r="F575" s="2"/>
      <c r="H575" s="1"/>
      <c r="I575" s="2"/>
    </row>
    <row r="576" spans="5:9" ht="12.5" customHeight="1" x14ac:dyDescent="0.25">
      <c r="E576" s="1"/>
      <c r="F576" s="2"/>
      <c r="H576" s="1"/>
      <c r="I576" s="2"/>
    </row>
    <row r="577" spans="5:9" ht="12.5" customHeight="1" x14ac:dyDescent="0.25">
      <c r="E577" s="1"/>
      <c r="F577" s="2"/>
      <c r="H577" s="1"/>
      <c r="I577" s="2"/>
    </row>
    <row r="578" spans="5:9" ht="12.5" customHeight="1" x14ac:dyDescent="0.25">
      <c r="E578" s="1"/>
      <c r="F578" s="2"/>
      <c r="H578" s="1"/>
      <c r="I578" s="2"/>
    </row>
    <row r="579" spans="5:9" ht="12.5" customHeight="1" x14ac:dyDescent="0.25">
      <c r="E579" s="1"/>
      <c r="F579" s="2"/>
      <c r="H579" s="1"/>
      <c r="I579" s="2"/>
    </row>
    <row r="580" spans="5:9" ht="12.5" customHeight="1" x14ac:dyDescent="0.25">
      <c r="E580" s="1"/>
      <c r="F580" s="2"/>
      <c r="H580" s="1"/>
      <c r="I580" s="2"/>
    </row>
    <row r="581" spans="5:9" ht="12.5" customHeight="1" x14ac:dyDescent="0.25">
      <c r="E581" s="1"/>
      <c r="F581" s="2"/>
      <c r="H581" s="1"/>
      <c r="I581" s="2"/>
    </row>
    <row r="582" spans="5:9" ht="12.5" customHeight="1" x14ac:dyDescent="0.25">
      <c r="E582" s="1"/>
      <c r="F582" s="2"/>
      <c r="H582" s="1"/>
      <c r="I582" s="2"/>
    </row>
    <row r="583" spans="5:9" ht="12.5" customHeight="1" x14ac:dyDescent="0.25">
      <c r="E583" s="1"/>
      <c r="F583" s="2"/>
      <c r="H583" s="1"/>
      <c r="I583" s="2"/>
    </row>
    <row r="584" spans="5:9" ht="12.5" customHeight="1" x14ac:dyDescent="0.25">
      <c r="E584" s="1"/>
      <c r="F584" s="2"/>
      <c r="H584" s="1"/>
      <c r="I584" s="2"/>
    </row>
    <row r="585" spans="5:9" ht="12.5" customHeight="1" x14ac:dyDescent="0.25">
      <c r="E585" s="1"/>
      <c r="F585" s="2"/>
      <c r="H585" s="1"/>
      <c r="I585" s="2"/>
    </row>
    <row r="586" spans="5:9" ht="12.5" customHeight="1" x14ac:dyDescent="0.25">
      <c r="E586" s="1"/>
      <c r="F586" s="2"/>
      <c r="H586" s="1"/>
      <c r="I586" s="2"/>
    </row>
    <row r="587" spans="5:9" ht="12.5" customHeight="1" x14ac:dyDescent="0.25">
      <c r="E587" s="1"/>
      <c r="F587" s="2"/>
      <c r="H587" s="1"/>
      <c r="I587" s="2"/>
    </row>
    <row r="588" spans="5:9" ht="12.5" customHeight="1" x14ac:dyDescent="0.25">
      <c r="E588" s="1"/>
      <c r="F588" s="2"/>
      <c r="H588" s="1"/>
      <c r="I588" s="2"/>
    </row>
    <row r="589" spans="5:9" ht="12.5" customHeight="1" x14ac:dyDescent="0.25">
      <c r="E589" s="1"/>
      <c r="F589" s="2"/>
      <c r="H589" s="1"/>
      <c r="I589" s="2"/>
    </row>
    <row r="590" spans="5:9" ht="12.5" customHeight="1" x14ac:dyDescent="0.25">
      <c r="E590" s="1"/>
      <c r="F590" s="2"/>
      <c r="H590" s="1"/>
      <c r="I590" s="2"/>
    </row>
    <row r="591" spans="5:9" ht="12.5" customHeight="1" x14ac:dyDescent="0.25">
      <c r="E591" s="1"/>
      <c r="F591" s="2"/>
      <c r="H591" s="1"/>
      <c r="I591" s="2"/>
    </row>
    <row r="592" spans="5:9" ht="12.5" customHeight="1" x14ac:dyDescent="0.25">
      <c r="E592" s="1"/>
      <c r="F592" s="2"/>
      <c r="H592" s="1"/>
      <c r="I592" s="2"/>
    </row>
    <row r="593" spans="5:9" ht="12.5" customHeight="1" x14ac:dyDescent="0.25">
      <c r="E593" s="1"/>
      <c r="F593" s="2"/>
      <c r="H593" s="1"/>
      <c r="I593" s="2"/>
    </row>
    <row r="594" spans="5:9" ht="12.5" customHeight="1" x14ac:dyDescent="0.25">
      <c r="E594" s="1"/>
      <c r="F594" s="2"/>
      <c r="H594" s="1"/>
      <c r="I594" s="2"/>
    </row>
    <row r="595" spans="5:9" ht="12.5" customHeight="1" x14ac:dyDescent="0.25">
      <c r="E595" s="1"/>
      <c r="F595" s="2"/>
      <c r="H595" s="1"/>
      <c r="I595" s="2"/>
    </row>
    <row r="596" spans="5:9" ht="12.5" customHeight="1" x14ac:dyDescent="0.25">
      <c r="E596" s="1"/>
      <c r="F596" s="2"/>
      <c r="H596" s="1"/>
      <c r="I596" s="2"/>
    </row>
    <row r="597" spans="5:9" ht="12.5" customHeight="1" x14ac:dyDescent="0.25">
      <c r="E597" s="1"/>
      <c r="F597" s="2"/>
      <c r="H597" s="1"/>
      <c r="I597" s="2"/>
    </row>
    <row r="598" spans="5:9" ht="12.5" customHeight="1" x14ac:dyDescent="0.25">
      <c r="E598" s="1"/>
      <c r="F598" s="2"/>
      <c r="H598" s="1"/>
      <c r="I598" s="2"/>
    </row>
    <row r="599" spans="5:9" ht="12.5" customHeight="1" x14ac:dyDescent="0.25">
      <c r="E599" s="1"/>
      <c r="F599" s="2"/>
      <c r="H599" s="1"/>
      <c r="I599" s="2"/>
    </row>
    <row r="600" spans="5:9" ht="12.5" customHeight="1" x14ac:dyDescent="0.25">
      <c r="E600" s="1"/>
      <c r="F600" s="2"/>
      <c r="H600" s="1"/>
      <c r="I600" s="2"/>
    </row>
    <row r="601" spans="5:9" ht="12.5" customHeight="1" x14ac:dyDescent="0.25">
      <c r="E601" s="1"/>
      <c r="F601" s="2"/>
      <c r="H601" s="1"/>
      <c r="I601" s="2"/>
    </row>
    <row r="602" spans="5:9" ht="12.5" customHeight="1" x14ac:dyDescent="0.25">
      <c r="E602" s="1"/>
      <c r="F602" s="2"/>
      <c r="H602" s="1"/>
      <c r="I602" s="2"/>
    </row>
    <row r="603" spans="5:9" ht="12.5" customHeight="1" x14ac:dyDescent="0.25">
      <c r="E603" s="1"/>
      <c r="F603" s="2"/>
      <c r="H603" s="1"/>
      <c r="I603" s="2"/>
    </row>
    <row r="604" spans="5:9" ht="12.5" customHeight="1" x14ac:dyDescent="0.25">
      <c r="E604" s="1"/>
      <c r="F604" s="2"/>
      <c r="H604" s="1"/>
      <c r="I604" s="2"/>
    </row>
    <row r="605" spans="5:9" ht="12.5" customHeight="1" x14ac:dyDescent="0.25">
      <c r="E605" s="1"/>
      <c r="F605" s="2"/>
      <c r="H605" s="1"/>
      <c r="I605" s="2"/>
    </row>
    <row r="606" spans="5:9" ht="12.5" customHeight="1" x14ac:dyDescent="0.25">
      <c r="E606" s="1"/>
      <c r="F606" s="2"/>
      <c r="H606" s="1"/>
      <c r="I606" s="2"/>
    </row>
    <row r="607" spans="5:9" ht="12.5" customHeight="1" x14ac:dyDescent="0.25">
      <c r="E607" s="1"/>
      <c r="F607" s="2"/>
      <c r="H607" s="1"/>
      <c r="I607" s="2"/>
    </row>
    <row r="608" spans="5:9" ht="12.5" customHeight="1" x14ac:dyDescent="0.25">
      <c r="E608" s="1"/>
      <c r="F608" s="2"/>
      <c r="H608" s="1"/>
      <c r="I608" s="2"/>
    </row>
    <row r="609" spans="5:9" ht="12.5" customHeight="1" x14ac:dyDescent="0.25">
      <c r="E609" s="1"/>
      <c r="F609" s="2"/>
      <c r="H609" s="1"/>
      <c r="I609" s="2"/>
    </row>
    <row r="610" spans="5:9" ht="12.5" customHeight="1" x14ac:dyDescent="0.25">
      <c r="E610" s="1"/>
      <c r="F610" s="2"/>
      <c r="H610" s="1"/>
      <c r="I610" s="2"/>
    </row>
    <row r="611" spans="5:9" ht="12.5" customHeight="1" x14ac:dyDescent="0.25">
      <c r="E611" s="1"/>
      <c r="F611" s="2"/>
      <c r="H611" s="1"/>
      <c r="I611" s="2"/>
    </row>
    <row r="612" spans="5:9" ht="12.5" customHeight="1" x14ac:dyDescent="0.25">
      <c r="E612" s="1"/>
      <c r="F612" s="2"/>
      <c r="H612" s="1"/>
      <c r="I612" s="2"/>
    </row>
    <row r="613" spans="5:9" ht="12.5" customHeight="1" x14ac:dyDescent="0.25">
      <c r="E613" s="1"/>
      <c r="F613" s="2"/>
      <c r="H613" s="1"/>
      <c r="I613" s="2"/>
    </row>
    <row r="614" spans="5:9" ht="12.5" customHeight="1" x14ac:dyDescent="0.25">
      <c r="E614" s="1"/>
      <c r="F614" s="2"/>
      <c r="H614" s="1"/>
      <c r="I614" s="2"/>
    </row>
    <row r="615" spans="5:9" ht="12.5" customHeight="1" x14ac:dyDescent="0.25">
      <c r="E615" s="1"/>
      <c r="F615" s="2"/>
      <c r="H615" s="1"/>
      <c r="I615" s="2"/>
    </row>
    <row r="616" spans="5:9" ht="12.5" customHeight="1" x14ac:dyDescent="0.25">
      <c r="E616" s="1"/>
      <c r="F616" s="2"/>
      <c r="H616" s="1"/>
      <c r="I616" s="2"/>
    </row>
    <row r="617" spans="5:9" ht="12.5" customHeight="1" x14ac:dyDescent="0.25">
      <c r="E617" s="1"/>
      <c r="F617" s="2"/>
      <c r="H617" s="1"/>
      <c r="I617" s="2"/>
    </row>
    <row r="618" spans="5:9" ht="12.5" customHeight="1" x14ac:dyDescent="0.25">
      <c r="E618" s="1"/>
      <c r="F618" s="2"/>
      <c r="H618" s="1"/>
      <c r="I618" s="2"/>
    </row>
    <row r="619" spans="5:9" ht="12.5" customHeight="1" x14ac:dyDescent="0.25">
      <c r="E619" s="1"/>
      <c r="F619" s="2"/>
      <c r="H619" s="1"/>
      <c r="I619" s="2"/>
    </row>
    <row r="620" spans="5:9" ht="12.5" customHeight="1" x14ac:dyDescent="0.25">
      <c r="E620" s="1"/>
      <c r="F620" s="2"/>
      <c r="H620" s="1"/>
      <c r="I620" s="2"/>
    </row>
    <row r="621" spans="5:9" ht="12.5" customHeight="1" x14ac:dyDescent="0.25">
      <c r="E621" s="1"/>
      <c r="F621" s="2"/>
      <c r="H621" s="1"/>
      <c r="I621" s="2"/>
    </row>
    <row r="622" spans="5:9" ht="12.5" customHeight="1" x14ac:dyDescent="0.25">
      <c r="E622" s="1"/>
      <c r="F622" s="2"/>
      <c r="H622" s="1"/>
      <c r="I622" s="2"/>
    </row>
    <row r="623" spans="5:9" ht="12.5" customHeight="1" x14ac:dyDescent="0.25">
      <c r="E623" s="1"/>
      <c r="F623" s="2"/>
      <c r="H623" s="1"/>
      <c r="I623" s="2"/>
    </row>
    <row r="624" spans="5:9" ht="12.5" customHeight="1" x14ac:dyDescent="0.25">
      <c r="E624" s="1"/>
      <c r="F624" s="2"/>
      <c r="H624" s="1"/>
      <c r="I624" s="2"/>
    </row>
    <row r="625" spans="5:9" ht="12.5" customHeight="1" x14ac:dyDescent="0.25">
      <c r="E625" s="1"/>
      <c r="F625" s="2"/>
      <c r="H625" s="1"/>
      <c r="I625" s="2"/>
    </row>
    <row r="626" spans="5:9" ht="12.5" customHeight="1" x14ac:dyDescent="0.25">
      <c r="E626" s="1"/>
      <c r="F626" s="2"/>
      <c r="H626" s="1"/>
      <c r="I626" s="2"/>
    </row>
    <row r="627" spans="5:9" ht="12.5" customHeight="1" x14ac:dyDescent="0.25">
      <c r="E627" s="1"/>
      <c r="F627" s="2"/>
      <c r="H627" s="1"/>
      <c r="I627" s="2"/>
    </row>
    <row r="628" spans="5:9" ht="12.5" customHeight="1" x14ac:dyDescent="0.25">
      <c r="E628" s="1"/>
      <c r="F628" s="2"/>
      <c r="H628" s="1"/>
      <c r="I628" s="2"/>
    </row>
    <row r="629" spans="5:9" ht="12.5" customHeight="1" x14ac:dyDescent="0.25">
      <c r="E629" s="1"/>
      <c r="F629" s="2"/>
      <c r="H629" s="1"/>
      <c r="I629" s="2"/>
    </row>
    <row r="630" spans="5:9" ht="12.5" customHeight="1" x14ac:dyDescent="0.25">
      <c r="E630" s="1"/>
      <c r="F630" s="2"/>
      <c r="H630" s="1"/>
      <c r="I630" s="2"/>
    </row>
    <row r="631" spans="5:9" ht="12.5" customHeight="1" x14ac:dyDescent="0.25">
      <c r="E631" s="1"/>
      <c r="F631" s="2"/>
      <c r="H631" s="1"/>
      <c r="I631" s="2"/>
    </row>
    <row r="632" spans="5:9" ht="12.5" customHeight="1" x14ac:dyDescent="0.25">
      <c r="E632" s="1"/>
      <c r="F632" s="2"/>
      <c r="H632" s="1"/>
      <c r="I632" s="2"/>
    </row>
    <row r="633" spans="5:9" ht="12.5" customHeight="1" x14ac:dyDescent="0.25">
      <c r="E633" s="1"/>
      <c r="F633" s="2"/>
      <c r="H633" s="1"/>
      <c r="I633" s="2"/>
    </row>
    <row r="634" spans="5:9" ht="12.5" customHeight="1" x14ac:dyDescent="0.25">
      <c r="E634" s="1"/>
      <c r="F634" s="2"/>
      <c r="H634" s="1"/>
      <c r="I634" s="2"/>
    </row>
    <row r="635" spans="5:9" ht="12.5" customHeight="1" x14ac:dyDescent="0.25">
      <c r="E635" s="1"/>
      <c r="F635" s="2"/>
      <c r="H635" s="1"/>
      <c r="I635" s="2"/>
    </row>
    <row r="636" spans="5:9" ht="12.5" customHeight="1" x14ac:dyDescent="0.25">
      <c r="E636" s="1"/>
      <c r="F636" s="2"/>
      <c r="H636" s="1"/>
      <c r="I636" s="2"/>
    </row>
    <row r="637" spans="5:9" ht="12.5" customHeight="1" x14ac:dyDescent="0.25">
      <c r="E637" s="1"/>
      <c r="F637" s="2"/>
      <c r="H637" s="1"/>
      <c r="I637" s="2"/>
    </row>
    <row r="638" spans="5:9" ht="12.5" customHeight="1" x14ac:dyDescent="0.25">
      <c r="E638" s="1"/>
      <c r="F638" s="2"/>
      <c r="H638" s="1"/>
      <c r="I638" s="2"/>
    </row>
    <row r="639" spans="5:9" ht="12.5" customHeight="1" x14ac:dyDescent="0.25">
      <c r="E639" s="1"/>
      <c r="F639" s="2"/>
      <c r="H639" s="1"/>
      <c r="I639" s="2"/>
    </row>
    <row r="640" spans="5:9" ht="12.5" customHeight="1" x14ac:dyDescent="0.25">
      <c r="E640" s="1"/>
      <c r="F640" s="2"/>
      <c r="H640" s="1"/>
      <c r="I640" s="2"/>
    </row>
    <row r="641" spans="5:9" ht="12.5" customHeight="1" x14ac:dyDescent="0.25">
      <c r="E641" s="1"/>
      <c r="F641" s="2"/>
      <c r="H641" s="1"/>
      <c r="I641" s="2"/>
    </row>
    <row r="642" spans="5:9" ht="12.5" customHeight="1" x14ac:dyDescent="0.25">
      <c r="E642" s="1"/>
      <c r="F642" s="2"/>
      <c r="H642" s="1"/>
      <c r="I642" s="2"/>
    </row>
    <row r="643" spans="5:9" ht="12.5" customHeight="1" x14ac:dyDescent="0.25">
      <c r="E643" s="1"/>
      <c r="F643" s="2"/>
      <c r="H643" s="1"/>
      <c r="I643" s="2"/>
    </row>
    <row r="644" spans="5:9" ht="12.5" customHeight="1" x14ac:dyDescent="0.25">
      <c r="E644" s="1"/>
      <c r="F644" s="2"/>
      <c r="H644" s="1"/>
      <c r="I644" s="2"/>
    </row>
    <row r="645" spans="5:9" ht="12.5" customHeight="1" x14ac:dyDescent="0.25">
      <c r="E645" s="1"/>
      <c r="F645" s="2"/>
      <c r="H645" s="1"/>
      <c r="I645" s="2"/>
    </row>
    <row r="646" spans="5:9" ht="12.5" customHeight="1" x14ac:dyDescent="0.25">
      <c r="E646" s="1"/>
      <c r="F646" s="2"/>
      <c r="H646" s="1"/>
      <c r="I646" s="2"/>
    </row>
    <row r="647" spans="5:9" ht="12.5" customHeight="1" x14ac:dyDescent="0.25">
      <c r="E647" s="1"/>
      <c r="F647" s="2"/>
      <c r="H647" s="1"/>
      <c r="I647" s="2"/>
    </row>
    <row r="648" spans="5:9" ht="12.5" customHeight="1" x14ac:dyDescent="0.25">
      <c r="E648" s="1"/>
      <c r="F648" s="2"/>
      <c r="H648" s="1"/>
      <c r="I648" s="2"/>
    </row>
    <row r="649" spans="5:9" ht="12.5" customHeight="1" x14ac:dyDescent="0.25">
      <c r="E649" s="1"/>
      <c r="F649" s="2"/>
      <c r="H649" s="1"/>
      <c r="I649" s="2"/>
    </row>
    <row r="650" spans="5:9" ht="12.5" customHeight="1" x14ac:dyDescent="0.25">
      <c r="E650" s="1"/>
      <c r="F650" s="2"/>
      <c r="H650" s="1"/>
      <c r="I650" s="2"/>
    </row>
    <row r="651" spans="5:9" ht="12.5" customHeight="1" x14ac:dyDescent="0.25">
      <c r="E651" s="1"/>
      <c r="F651" s="2"/>
      <c r="H651" s="1"/>
      <c r="I651" s="2"/>
    </row>
    <row r="652" spans="5:9" ht="12.5" customHeight="1" x14ac:dyDescent="0.25">
      <c r="E652" s="1"/>
      <c r="F652" s="2"/>
      <c r="H652" s="1"/>
      <c r="I652" s="2"/>
    </row>
    <row r="653" spans="5:9" ht="12.5" customHeight="1" x14ac:dyDescent="0.25">
      <c r="E653" s="1"/>
      <c r="F653" s="2"/>
      <c r="H653" s="1"/>
      <c r="I653" s="2"/>
    </row>
    <row r="654" spans="5:9" ht="12.5" customHeight="1" x14ac:dyDescent="0.25">
      <c r="E654" s="1"/>
      <c r="F654" s="2"/>
      <c r="H654" s="1"/>
      <c r="I654" s="2"/>
    </row>
    <row r="655" spans="5:9" ht="12.5" customHeight="1" x14ac:dyDescent="0.25">
      <c r="E655" s="1"/>
      <c r="F655" s="2"/>
      <c r="H655" s="1"/>
      <c r="I655" s="2"/>
    </row>
    <row r="656" spans="5:9" ht="12.5" customHeight="1" x14ac:dyDescent="0.25">
      <c r="E656" s="1"/>
      <c r="F656" s="2"/>
      <c r="H656" s="1"/>
      <c r="I656" s="2"/>
    </row>
    <row r="657" spans="5:9" ht="12.5" customHeight="1" x14ac:dyDescent="0.25">
      <c r="E657" s="1"/>
      <c r="F657" s="2"/>
      <c r="H657" s="1"/>
      <c r="I657" s="2"/>
    </row>
    <row r="658" spans="5:9" ht="12.5" customHeight="1" x14ac:dyDescent="0.25">
      <c r="E658" s="1"/>
      <c r="F658" s="2"/>
      <c r="H658" s="1"/>
      <c r="I658" s="2"/>
    </row>
    <row r="659" spans="5:9" ht="12.5" customHeight="1" x14ac:dyDescent="0.25">
      <c r="E659" s="1"/>
      <c r="F659" s="2"/>
      <c r="H659" s="1"/>
      <c r="I659" s="2"/>
    </row>
    <row r="660" spans="5:9" ht="12.5" customHeight="1" x14ac:dyDescent="0.25">
      <c r="E660" s="1"/>
      <c r="F660" s="2"/>
      <c r="H660" s="1"/>
      <c r="I660" s="2"/>
    </row>
    <row r="661" spans="5:9" ht="12.5" customHeight="1" x14ac:dyDescent="0.25">
      <c r="E661" s="1"/>
      <c r="F661" s="2"/>
      <c r="H661" s="1"/>
      <c r="I661" s="2"/>
    </row>
    <row r="662" spans="5:9" ht="12.5" customHeight="1" x14ac:dyDescent="0.25">
      <c r="E662" s="1"/>
      <c r="F662" s="2"/>
      <c r="H662" s="1"/>
      <c r="I662" s="2"/>
    </row>
    <row r="663" spans="5:9" ht="12.5" customHeight="1" x14ac:dyDescent="0.25">
      <c r="E663" s="1"/>
      <c r="F663" s="2"/>
      <c r="H663" s="1"/>
      <c r="I663" s="2"/>
    </row>
    <row r="664" spans="5:9" ht="12.5" customHeight="1" x14ac:dyDescent="0.25">
      <c r="E664" s="1"/>
      <c r="F664" s="2"/>
      <c r="H664" s="1"/>
      <c r="I664" s="2"/>
    </row>
    <row r="665" spans="5:9" ht="12.5" customHeight="1" x14ac:dyDescent="0.25">
      <c r="E665" s="1"/>
      <c r="F665" s="2"/>
      <c r="H665" s="1"/>
      <c r="I665" s="2"/>
    </row>
    <row r="666" spans="5:9" ht="12.5" customHeight="1" x14ac:dyDescent="0.25">
      <c r="E666" s="1"/>
      <c r="F666" s="2"/>
      <c r="H666" s="1"/>
      <c r="I666" s="2"/>
    </row>
    <row r="667" spans="5:9" ht="12.5" customHeight="1" x14ac:dyDescent="0.25">
      <c r="E667" s="1"/>
      <c r="F667" s="2"/>
      <c r="H667" s="1"/>
      <c r="I667" s="2"/>
    </row>
    <row r="668" spans="5:9" ht="12.5" customHeight="1" x14ac:dyDescent="0.25">
      <c r="E668" s="1"/>
      <c r="F668" s="2"/>
      <c r="H668" s="1"/>
      <c r="I668" s="2"/>
    </row>
    <row r="669" spans="5:9" ht="12.5" customHeight="1" x14ac:dyDescent="0.25">
      <c r="E669" s="1"/>
      <c r="F669" s="2"/>
      <c r="H669" s="1"/>
      <c r="I669" s="2"/>
    </row>
    <row r="670" spans="5:9" ht="12.5" customHeight="1" x14ac:dyDescent="0.25">
      <c r="E670" s="1"/>
      <c r="F670" s="2"/>
      <c r="H670" s="1"/>
      <c r="I670" s="2"/>
    </row>
    <row r="671" spans="5:9" ht="12.5" customHeight="1" x14ac:dyDescent="0.25">
      <c r="E671" s="1"/>
      <c r="F671" s="2"/>
      <c r="H671" s="1"/>
      <c r="I671" s="2"/>
    </row>
    <row r="672" spans="5:9" ht="12.5" customHeight="1" x14ac:dyDescent="0.25">
      <c r="E672" s="1"/>
      <c r="F672" s="2"/>
      <c r="H672" s="1"/>
      <c r="I672" s="2"/>
    </row>
    <row r="673" spans="5:9" ht="12.5" customHeight="1" x14ac:dyDescent="0.25">
      <c r="E673" s="1"/>
      <c r="F673" s="2"/>
      <c r="H673" s="1"/>
      <c r="I673" s="2"/>
    </row>
    <row r="674" spans="5:9" ht="12.5" customHeight="1" x14ac:dyDescent="0.25">
      <c r="E674" s="1"/>
      <c r="F674" s="2"/>
      <c r="H674" s="1"/>
      <c r="I674" s="2"/>
    </row>
    <row r="675" spans="5:9" ht="12.5" customHeight="1" x14ac:dyDescent="0.25">
      <c r="E675" s="1"/>
      <c r="F675" s="2"/>
      <c r="H675" s="1"/>
      <c r="I675" s="2"/>
    </row>
    <row r="676" spans="5:9" ht="12.5" customHeight="1" x14ac:dyDescent="0.25">
      <c r="E676" s="1"/>
      <c r="F676" s="2"/>
      <c r="H676" s="1"/>
      <c r="I676" s="2"/>
    </row>
    <row r="677" spans="5:9" ht="12.5" customHeight="1" x14ac:dyDescent="0.25">
      <c r="E677" s="1"/>
      <c r="F677" s="2"/>
      <c r="H677" s="1"/>
      <c r="I677" s="2"/>
    </row>
    <row r="678" spans="5:9" ht="12.5" customHeight="1" x14ac:dyDescent="0.25">
      <c r="E678" s="1"/>
      <c r="F678" s="2"/>
      <c r="H678" s="1"/>
      <c r="I678" s="2"/>
    </row>
    <row r="679" spans="5:9" ht="12.5" customHeight="1" x14ac:dyDescent="0.25">
      <c r="E679" s="1"/>
      <c r="F679" s="2"/>
      <c r="H679" s="1"/>
      <c r="I679" s="2"/>
    </row>
    <row r="680" spans="5:9" ht="12.5" customHeight="1" x14ac:dyDescent="0.25">
      <c r="E680" s="1"/>
      <c r="F680" s="2"/>
      <c r="H680" s="1"/>
      <c r="I680" s="2"/>
    </row>
    <row r="681" spans="5:9" ht="12.5" customHeight="1" x14ac:dyDescent="0.25">
      <c r="E681" s="1"/>
      <c r="F681" s="2"/>
      <c r="H681" s="1"/>
      <c r="I681" s="2"/>
    </row>
    <row r="682" spans="5:9" ht="12.5" customHeight="1" x14ac:dyDescent="0.25">
      <c r="E682" s="1"/>
      <c r="F682" s="2"/>
      <c r="H682" s="1"/>
      <c r="I682" s="2"/>
    </row>
    <row r="683" spans="5:9" ht="12.5" customHeight="1" x14ac:dyDescent="0.25">
      <c r="E683" s="1"/>
      <c r="F683" s="2"/>
      <c r="H683" s="1"/>
      <c r="I683" s="2"/>
    </row>
    <row r="684" spans="5:9" ht="12.5" customHeight="1" x14ac:dyDescent="0.25">
      <c r="E684" s="1"/>
      <c r="F684" s="2"/>
      <c r="H684" s="1"/>
      <c r="I684" s="2"/>
    </row>
    <row r="685" spans="5:9" ht="12.5" customHeight="1" x14ac:dyDescent="0.25">
      <c r="E685" s="1"/>
      <c r="F685" s="2"/>
      <c r="H685" s="1"/>
      <c r="I685" s="2"/>
    </row>
    <row r="686" spans="5:9" ht="12.5" customHeight="1" x14ac:dyDescent="0.25">
      <c r="E686" s="1"/>
      <c r="F686" s="2"/>
      <c r="H686" s="1"/>
      <c r="I686" s="2"/>
    </row>
    <row r="687" spans="5:9" ht="12.5" customHeight="1" x14ac:dyDescent="0.25">
      <c r="E687" s="1"/>
      <c r="F687" s="2"/>
      <c r="H687" s="1"/>
      <c r="I687" s="2"/>
    </row>
    <row r="688" spans="5:9" ht="12.5" customHeight="1" x14ac:dyDescent="0.25">
      <c r="E688" s="1"/>
      <c r="F688" s="2"/>
      <c r="H688" s="1"/>
      <c r="I688" s="2"/>
    </row>
    <row r="689" spans="5:9" ht="12.5" customHeight="1" x14ac:dyDescent="0.25">
      <c r="E689" s="1"/>
      <c r="F689" s="2"/>
      <c r="H689" s="1"/>
      <c r="I689" s="2"/>
    </row>
    <row r="690" spans="5:9" ht="12.5" customHeight="1" x14ac:dyDescent="0.25">
      <c r="E690" s="1"/>
      <c r="F690" s="2"/>
      <c r="H690" s="1"/>
      <c r="I690" s="2"/>
    </row>
    <row r="691" spans="5:9" ht="12.5" customHeight="1" x14ac:dyDescent="0.25">
      <c r="E691" s="1"/>
      <c r="F691" s="2"/>
      <c r="H691" s="1"/>
      <c r="I691" s="2"/>
    </row>
    <row r="692" spans="5:9" ht="12.5" customHeight="1" x14ac:dyDescent="0.25">
      <c r="E692" s="1"/>
      <c r="F692" s="2"/>
      <c r="H692" s="1"/>
      <c r="I692" s="2"/>
    </row>
    <row r="693" spans="5:9" ht="12.5" customHeight="1" x14ac:dyDescent="0.25">
      <c r="E693" s="1"/>
      <c r="F693" s="2"/>
      <c r="H693" s="1"/>
      <c r="I693" s="2"/>
    </row>
    <row r="694" spans="5:9" ht="12.5" customHeight="1" x14ac:dyDescent="0.25">
      <c r="E694" s="1"/>
      <c r="F694" s="2"/>
      <c r="H694" s="1"/>
      <c r="I694" s="2"/>
    </row>
    <row r="695" spans="5:9" ht="12.5" customHeight="1" x14ac:dyDescent="0.25">
      <c r="E695" s="1"/>
      <c r="F695" s="2"/>
      <c r="H695" s="1"/>
      <c r="I695" s="2"/>
    </row>
    <row r="696" spans="5:9" ht="12.5" customHeight="1" x14ac:dyDescent="0.25">
      <c r="E696" s="1"/>
      <c r="F696" s="2"/>
      <c r="H696" s="1"/>
      <c r="I696" s="2"/>
    </row>
    <row r="697" spans="5:9" ht="12.5" customHeight="1" x14ac:dyDescent="0.25">
      <c r="E697" s="1"/>
      <c r="F697" s="2"/>
      <c r="H697" s="1"/>
      <c r="I697" s="2"/>
    </row>
    <row r="698" spans="5:9" ht="12.5" customHeight="1" x14ac:dyDescent="0.25">
      <c r="E698" s="1"/>
      <c r="F698" s="2"/>
      <c r="H698" s="1"/>
      <c r="I698" s="2"/>
    </row>
    <row r="699" spans="5:9" ht="12.5" customHeight="1" x14ac:dyDescent="0.25">
      <c r="E699" s="1"/>
      <c r="F699" s="2"/>
      <c r="H699" s="1"/>
      <c r="I699" s="2"/>
    </row>
    <row r="700" spans="5:9" ht="12.5" customHeight="1" x14ac:dyDescent="0.25">
      <c r="E700" s="1"/>
      <c r="F700" s="2"/>
      <c r="H700" s="1"/>
      <c r="I700" s="2"/>
    </row>
    <row r="701" spans="5:9" ht="12.5" customHeight="1" x14ac:dyDescent="0.25">
      <c r="E701" s="1"/>
      <c r="F701" s="2"/>
      <c r="H701" s="1"/>
      <c r="I701" s="2"/>
    </row>
    <row r="702" spans="5:9" ht="12.5" customHeight="1" x14ac:dyDescent="0.25">
      <c r="E702" s="1"/>
      <c r="F702" s="2"/>
      <c r="H702" s="1"/>
      <c r="I702" s="2"/>
    </row>
    <row r="703" spans="5:9" ht="12.5" customHeight="1" x14ac:dyDescent="0.25">
      <c r="E703" s="1"/>
      <c r="F703" s="2"/>
      <c r="H703" s="1"/>
      <c r="I703" s="2"/>
    </row>
    <row r="704" spans="5:9" ht="12.5" customHeight="1" x14ac:dyDescent="0.25">
      <c r="E704" s="1"/>
      <c r="F704" s="2"/>
      <c r="H704" s="1"/>
      <c r="I704" s="2"/>
    </row>
    <row r="705" spans="5:9" ht="12.5" customHeight="1" x14ac:dyDescent="0.25">
      <c r="E705" s="1"/>
      <c r="F705" s="2"/>
      <c r="H705" s="1"/>
      <c r="I705" s="2"/>
    </row>
    <row r="706" spans="5:9" ht="12.5" customHeight="1" x14ac:dyDescent="0.25">
      <c r="E706" s="1"/>
      <c r="F706" s="2"/>
      <c r="H706" s="1"/>
      <c r="I706" s="2"/>
    </row>
    <row r="707" spans="5:9" ht="12.5" customHeight="1" x14ac:dyDescent="0.25">
      <c r="E707" s="1"/>
      <c r="F707" s="2"/>
      <c r="H707" s="1"/>
      <c r="I707" s="2"/>
    </row>
    <row r="708" spans="5:9" ht="12.5" customHeight="1" x14ac:dyDescent="0.25">
      <c r="E708" s="1"/>
      <c r="F708" s="2"/>
      <c r="H708" s="1"/>
      <c r="I708" s="2"/>
    </row>
    <row r="709" spans="5:9" ht="12.5" customHeight="1" x14ac:dyDescent="0.25">
      <c r="E709" s="1"/>
      <c r="F709" s="2"/>
      <c r="H709" s="1"/>
      <c r="I709" s="2"/>
    </row>
    <row r="710" spans="5:9" ht="12.5" customHeight="1" x14ac:dyDescent="0.25">
      <c r="E710" s="1"/>
      <c r="F710" s="2"/>
      <c r="H710" s="1"/>
      <c r="I710" s="2"/>
    </row>
    <row r="711" spans="5:9" ht="12.5" customHeight="1" x14ac:dyDescent="0.25">
      <c r="E711" s="1"/>
      <c r="F711" s="2"/>
      <c r="H711" s="1"/>
      <c r="I711" s="2"/>
    </row>
    <row r="712" spans="5:9" ht="12.5" customHeight="1" x14ac:dyDescent="0.25">
      <c r="E712" s="1"/>
      <c r="F712" s="2"/>
      <c r="H712" s="1"/>
      <c r="I712" s="2"/>
    </row>
    <row r="713" spans="5:9" ht="12.5" customHeight="1" x14ac:dyDescent="0.25">
      <c r="E713" s="1"/>
      <c r="F713" s="2"/>
      <c r="H713" s="1"/>
      <c r="I713" s="2"/>
    </row>
    <row r="714" spans="5:9" ht="12.5" customHeight="1" x14ac:dyDescent="0.25">
      <c r="E714" s="1"/>
      <c r="F714" s="2"/>
      <c r="H714" s="1"/>
      <c r="I714" s="2"/>
    </row>
    <row r="715" spans="5:9" ht="12.5" customHeight="1" x14ac:dyDescent="0.25">
      <c r="E715" s="1"/>
      <c r="F715" s="2"/>
      <c r="H715" s="1"/>
      <c r="I715" s="2"/>
    </row>
    <row r="716" spans="5:9" ht="12.5" customHeight="1" x14ac:dyDescent="0.25">
      <c r="E716" s="1"/>
      <c r="F716" s="2"/>
      <c r="H716" s="1"/>
      <c r="I716" s="2"/>
    </row>
    <row r="717" spans="5:9" ht="12.5" customHeight="1" x14ac:dyDescent="0.25">
      <c r="E717" s="1"/>
      <c r="F717" s="2"/>
      <c r="H717" s="1"/>
      <c r="I717" s="2"/>
    </row>
    <row r="718" spans="5:9" ht="12.5" customHeight="1" x14ac:dyDescent="0.25">
      <c r="E718" s="1"/>
      <c r="F718" s="2"/>
      <c r="H718" s="1"/>
      <c r="I718" s="2"/>
    </row>
    <row r="719" spans="5:9" ht="12.5" customHeight="1" x14ac:dyDescent="0.25">
      <c r="E719" s="1"/>
      <c r="F719" s="2"/>
      <c r="H719" s="1"/>
      <c r="I719" s="2"/>
    </row>
    <row r="720" spans="5:9" ht="12.5" customHeight="1" x14ac:dyDescent="0.25">
      <c r="E720" s="1"/>
      <c r="F720" s="2"/>
      <c r="H720" s="1"/>
      <c r="I720" s="2"/>
    </row>
    <row r="721" spans="5:9" ht="12.5" customHeight="1" x14ac:dyDescent="0.25">
      <c r="E721" s="1"/>
      <c r="F721" s="2"/>
      <c r="H721" s="1"/>
      <c r="I721" s="2"/>
    </row>
    <row r="722" spans="5:9" ht="12.5" customHeight="1" x14ac:dyDescent="0.25">
      <c r="E722" s="1"/>
      <c r="F722" s="2"/>
      <c r="H722" s="1"/>
      <c r="I722" s="2"/>
    </row>
    <row r="723" spans="5:9" ht="12.5" customHeight="1" x14ac:dyDescent="0.25">
      <c r="E723" s="1"/>
      <c r="F723" s="2"/>
      <c r="H723" s="1"/>
      <c r="I723" s="2"/>
    </row>
    <row r="724" spans="5:9" ht="12.5" customHeight="1" x14ac:dyDescent="0.25">
      <c r="E724" s="1"/>
      <c r="F724" s="2"/>
      <c r="H724" s="1"/>
      <c r="I724" s="2"/>
    </row>
    <row r="725" spans="5:9" ht="12.5" customHeight="1" x14ac:dyDescent="0.25">
      <c r="E725" s="1"/>
      <c r="F725" s="2"/>
      <c r="H725" s="1"/>
      <c r="I725" s="2"/>
    </row>
    <row r="726" spans="5:9" ht="12.5" customHeight="1" x14ac:dyDescent="0.25">
      <c r="E726" s="1"/>
      <c r="F726" s="2"/>
      <c r="H726" s="1"/>
      <c r="I726" s="2"/>
    </row>
    <row r="727" spans="5:9" ht="12.5" customHeight="1" x14ac:dyDescent="0.25">
      <c r="E727" s="1"/>
      <c r="F727" s="2"/>
      <c r="H727" s="1"/>
      <c r="I727" s="2"/>
    </row>
    <row r="728" spans="5:9" ht="12.5" customHeight="1" x14ac:dyDescent="0.25">
      <c r="E728" s="1"/>
      <c r="F728" s="2"/>
      <c r="H728" s="1"/>
      <c r="I728" s="2"/>
    </row>
    <row r="729" spans="5:9" ht="12.5" customHeight="1" x14ac:dyDescent="0.25">
      <c r="E729" s="1"/>
      <c r="F729" s="2"/>
      <c r="H729" s="1"/>
      <c r="I729" s="2"/>
    </row>
    <row r="730" spans="5:9" ht="12.5" customHeight="1" x14ac:dyDescent="0.25">
      <c r="E730" s="1"/>
      <c r="F730" s="2"/>
      <c r="H730" s="1"/>
      <c r="I730" s="2"/>
    </row>
    <row r="731" spans="5:9" ht="12.5" customHeight="1" x14ac:dyDescent="0.25">
      <c r="E731" s="1"/>
      <c r="F731" s="2"/>
      <c r="H731" s="1"/>
      <c r="I731" s="2"/>
    </row>
    <row r="732" spans="5:9" ht="12.5" customHeight="1" x14ac:dyDescent="0.25">
      <c r="E732" s="1"/>
      <c r="F732" s="2"/>
      <c r="H732" s="1"/>
      <c r="I732" s="2"/>
    </row>
    <row r="733" spans="5:9" ht="12.5" customHeight="1" x14ac:dyDescent="0.25">
      <c r="E733" s="1"/>
      <c r="F733" s="2"/>
      <c r="H733" s="1"/>
      <c r="I733" s="2"/>
    </row>
    <row r="734" spans="5:9" ht="12.5" customHeight="1" x14ac:dyDescent="0.25">
      <c r="E734" s="1"/>
      <c r="F734" s="2"/>
      <c r="H734" s="1"/>
      <c r="I734" s="2"/>
    </row>
    <row r="735" spans="5:9" ht="12.5" customHeight="1" x14ac:dyDescent="0.25">
      <c r="E735" s="1"/>
      <c r="F735" s="2"/>
      <c r="H735" s="1"/>
      <c r="I735" s="2"/>
    </row>
    <row r="736" spans="5:9" ht="12.5" customHeight="1" x14ac:dyDescent="0.25">
      <c r="E736" s="1"/>
      <c r="F736" s="2"/>
      <c r="H736" s="1"/>
      <c r="I736" s="2"/>
    </row>
    <row r="737" spans="5:9" ht="12.5" customHeight="1" x14ac:dyDescent="0.25">
      <c r="E737" s="1"/>
      <c r="F737" s="2"/>
      <c r="H737" s="1"/>
      <c r="I737" s="2"/>
    </row>
    <row r="738" spans="5:9" ht="12.5" customHeight="1" x14ac:dyDescent="0.25">
      <c r="E738" s="1"/>
      <c r="F738" s="2"/>
      <c r="H738" s="1"/>
      <c r="I738" s="2"/>
    </row>
    <row r="739" spans="5:9" ht="12.5" customHeight="1" x14ac:dyDescent="0.25">
      <c r="E739" s="1"/>
      <c r="F739" s="2"/>
      <c r="H739" s="1"/>
      <c r="I739" s="2"/>
    </row>
    <row r="740" spans="5:9" ht="12.5" customHeight="1" x14ac:dyDescent="0.25">
      <c r="E740" s="1"/>
      <c r="F740" s="2"/>
      <c r="H740" s="1"/>
      <c r="I740" s="2"/>
    </row>
    <row r="741" spans="5:9" ht="12.5" customHeight="1" x14ac:dyDescent="0.25">
      <c r="E741" s="1"/>
      <c r="F741" s="2"/>
      <c r="H741" s="1"/>
      <c r="I741" s="2"/>
    </row>
    <row r="742" spans="5:9" ht="12.5" customHeight="1" x14ac:dyDescent="0.25">
      <c r="E742" s="1"/>
      <c r="F742" s="2"/>
      <c r="H742" s="1"/>
      <c r="I742" s="2"/>
    </row>
    <row r="743" spans="5:9" ht="12.5" customHeight="1" x14ac:dyDescent="0.25">
      <c r="E743" s="1"/>
      <c r="F743" s="2"/>
      <c r="H743" s="1"/>
      <c r="I743" s="2"/>
    </row>
    <row r="744" spans="5:9" ht="12.5" customHeight="1" x14ac:dyDescent="0.25">
      <c r="E744" s="1"/>
      <c r="F744" s="2"/>
      <c r="H744" s="1"/>
      <c r="I744" s="2"/>
    </row>
    <row r="745" spans="5:9" ht="12.5" customHeight="1" x14ac:dyDescent="0.25">
      <c r="E745" s="1"/>
      <c r="F745" s="2"/>
      <c r="H745" s="1"/>
      <c r="I745" s="2"/>
    </row>
    <row r="746" spans="5:9" ht="12.5" customHeight="1" x14ac:dyDescent="0.25">
      <c r="E746" s="1"/>
      <c r="F746" s="2"/>
      <c r="H746" s="1"/>
      <c r="I746" s="2"/>
    </row>
    <row r="747" spans="5:9" ht="12.5" customHeight="1" x14ac:dyDescent="0.25">
      <c r="E747" s="1"/>
      <c r="F747" s="2"/>
      <c r="H747" s="1"/>
      <c r="I747" s="2"/>
    </row>
    <row r="748" spans="5:9" ht="12.5" customHeight="1" x14ac:dyDescent="0.25">
      <c r="E748" s="1"/>
      <c r="F748" s="2"/>
      <c r="H748" s="1"/>
      <c r="I748" s="2"/>
    </row>
    <row r="749" spans="5:9" ht="12.5" customHeight="1" x14ac:dyDescent="0.25">
      <c r="E749" s="1"/>
      <c r="F749" s="2"/>
      <c r="H749" s="1"/>
      <c r="I749" s="2"/>
    </row>
    <row r="750" spans="5:9" ht="12.5" customHeight="1" x14ac:dyDescent="0.25">
      <c r="E750" s="1"/>
      <c r="F750" s="2"/>
      <c r="H750" s="1"/>
      <c r="I750" s="2"/>
    </row>
    <row r="751" spans="5:9" ht="12.5" customHeight="1" x14ac:dyDescent="0.25">
      <c r="E751" s="1"/>
      <c r="F751" s="2"/>
      <c r="H751" s="1"/>
      <c r="I751" s="2"/>
    </row>
    <row r="752" spans="5:9" ht="12.5" customHeight="1" x14ac:dyDescent="0.25">
      <c r="E752" s="1"/>
      <c r="F752" s="2"/>
      <c r="H752" s="1"/>
      <c r="I752" s="2"/>
    </row>
    <row r="753" spans="5:9" ht="12.5" customHeight="1" x14ac:dyDescent="0.25">
      <c r="E753" s="1"/>
      <c r="F753" s="2"/>
      <c r="H753" s="1"/>
      <c r="I753" s="2"/>
    </row>
    <row r="754" spans="5:9" ht="12.5" customHeight="1" x14ac:dyDescent="0.25">
      <c r="E754" s="1"/>
      <c r="F754" s="2"/>
      <c r="H754" s="1"/>
      <c r="I754" s="2"/>
    </row>
    <row r="755" spans="5:9" ht="12.5" customHeight="1" x14ac:dyDescent="0.25">
      <c r="E755" s="1"/>
      <c r="F755" s="2"/>
      <c r="H755" s="1"/>
      <c r="I755" s="2"/>
    </row>
    <row r="756" spans="5:9" ht="12.5" customHeight="1" x14ac:dyDescent="0.25">
      <c r="E756" s="1"/>
      <c r="F756" s="2"/>
      <c r="H756" s="1"/>
      <c r="I756" s="2"/>
    </row>
    <row r="757" spans="5:9" ht="12.5" customHeight="1" x14ac:dyDescent="0.25">
      <c r="E757" s="1"/>
      <c r="F757" s="2"/>
      <c r="H757" s="1"/>
      <c r="I757" s="2"/>
    </row>
    <row r="758" spans="5:9" ht="12.5" customHeight="1" x14ac:dyDescent="0.25">
      <c r="E758" s="1"/>
      <c r="F758" s="2"/>
      <c r="H758" s="1"/>
      <c r="I758" s="2"/>
    </row>
    <row r="759" spans="5:9" ht="12.5" customHeight="1" x14ac:dyDescent="0.25">
      <c r="E759" s="1"/>
      <c r="F759" s="2"/>
      <c r="H759" s="1"/>
      <c r="I759" s="2"/>
    </row>
    <row r="760" spans="5:9" ht="12.5" customHeight="1" x14ac:dyDescent="0.25">
      <c r="E760" s="1"/>
      <c r="F760" s="2"/>
      <c r="H760" s="1"/>
      <c r="I760" s="2"/>
    </row>
    <row r="761" spans="5:9" ht="12.5" customHeight="1" x14ac:dyDescent="0.25">
      <c r="E761" s="1"/>
      <c r="F761" s="2"/>
      <c r="H761" s="1"/>
      <c r="I761" s="2"/>
    </row>
    <row r="762" spans="5:9" ht="12.5" customHeight="1" x14ac:dyDescent="0.25">
      <c r="E762" s="1"/>
      <c r="F762" s="2"/>
      <c r="H762" s="1"/>
      <c r="I762" s="2"/>
    </row>
    <row r="763" spans="5:9" ht="12.5" customHeight="1" x14ac:dyDescent="0.25">
      <c r="E763" s="1"/>
      <c r="F763" s="2"/>
      <c r="H763" s="1"/>
      <c r="I763" s="2"/>
    </row>
    <row r="764" spans="5:9" ht="12.5" customHeight="1" x14ac:dyDescent="0.25">
      <c r="E764" s="1"/>
      <c r="F764" s="2"/>
      <c r="H764" s="1"/>
      <c r="I764" s="2"/>
    </row>
    <row r="765" spans="5:9" ht="12.5" customHeight="1" x14ac:dyDescent="0.25">
      <c r="E765" s="1"/>
      <c r="F765" s="2"/>
      <c r="H765" s="1"/>
      <c r="I765" s="2"/>
    </row>
    <row r="766" spans="5:9" ht="12.5" customHeight="1" x14ac:dyDescent="0.25">
      <c r="E766" s="1"/>
      <c r="F766" s="2"/>
      <c r="H766" s="1"/>
      <c r="I766" s="2"/>
    </row>
    <row r="767" spans="5:9" ht="12.5" customHeight="1" x14ac:dyDescent="0.25">
      <c r="E767" s="1"/>
      <c r="F767" s="2"/>
      <c r="H767" s="1"/>
      <c r="I767" s="2"/>
    </row>
    <row r="768" spans="5:9" ht="12.5" customHeight="1" x14ac:dyDescent="0.25">
      <c r="E768" s="1"/>
      <c r="F768" s="2"/>
      <c r="H768" s="1"/>
      <c r="I768" s="2"/>
    </row>
    <row r="769" spans="5:9" ht="12.5" customHeight="1" x14ac:dyDescent="0.25">
      <c r="E769" s="1"/>
      <c r="F769" s="2"/>
      <c r="H769" s="1"/>
      <c r="I769" s="2"/>
    </row>
    <row r="770" spans="5:9" ht="12.5" customHeight="1" x14ac:dyDescent="0.25">
      <c r="E770" s="1"/>
      <c r="F770" s="2"/>
      <c r="H770" s="1"/>
      <c r="I770" s="2"/>
    </row>
    <row r="771" spans="5:9" ht="12.5" customHeight="1" x14ac:dyDescent="0.25">
      <c r="E771" s="1"/>
      <c r="F771" s="2"/>
      <c r="H771" s="1"/>
      <c r="I771" s="2"/>
    </row>
    <row r="772" spans="5:9" ht="12.5" customHeight="1" x14ac:dyDescent="0.25">
      <c r="E772" s="1"/>
      <c r="F772" s="2"/>
      <c r="H772" s="1"/>
      <c r="I772" s="2"/>
    </row>
    <row r="773" spans="5:9" ht="12.5" customHeight="1" x14ac:dyDescent="0.25">
      <c r="E773" s="1"/>
      <c r="F773" s="2"/>
      <c r="H773" s="1"/>
      <c r="I773" s="2"/>
    </row>
    <row r="774" spans="5:9" ht="12.5" customHeight="1" x14ac:dyDescent="0.25">
      <c r="E774" s="1"/>
      <c r="F774" s="2"/>
      <c r="H774" s="1"/>
      <c r="I774" s="2"/>
    </row>
    <row r="775" spans="5:9" ht="12.5" customHeight="1" x14ac:dyDescent="0.25">
      <c r="E775" s="1"/>
      <c r="F775" s="2"/>
      <c r="H775" s="1"/>
      <c r="I775" s="2"/>
    </row>
    <row r="776" spans="5:9" ht="12.5" customHeight="1" x14ac:dyDescent="0.25">
      <c r="E776" s="1"/>
      <c r="F776" s="2"/>
      <c r="H776" s="1"/>
      <c r="I776" s="2"/>
    </row>
    <row r="777" spans="5:9" ht="12.5" customHeight="1" x14ac:dyDescent="0.25">
      <c r="E777" s="1"/>
      <c r="F777" s="2"/>
      <c r="H777" s="1"/>
      <c r="I777" s="2"/>
    </row>
    <row r="778" spans="5:9" ht="12.5" customHeight="1" x14ac:dyDescent="0.25">
      <c r="E778" s="1"/>
      <c r="F778" s="2"/>
      <c r="H778" s="1"/>
      <c r="I778" s="2"/>
    </row>
    <row r="779" spans="5:9" ht="12.5" customHeight="1" x14ac:dyDescent="0.25">
      <c r="E779" s="1"/>
      <c r="F779" s="2"/>
      <c r="H779" s="1"/>
      <c r="I779" s="2"/>
    </row>
    <row r="780" spans="5:9" ht="12.5" customHeight="1" x14ac:dyDescent="0.25">
      <c r="E780" s="1"/>
      <c r="F780" s="2"/>
      <c r="H780" s="1"/>
      <c r="I780" s="2"/>
    </row>
    <row r="781" spans="5:9" ht="12.5" customHeight="1" x14ac:dyDescent="0.25">
      <c r="E781" s="1"/>
      <c r="F781" s="2"/>
      <c r="H781" s="1"/>
      <c r="I781" s="2"/>
    </row>
    <row r="782" spans="5:9" ht="12.5" customHeight="1" x14ac:dyDescent="0.25">
      <c r="E782" s="1"/>
      <c r="F782" s="2"/>
      <c r="H782" s="1"/>
      <c r="I782" s="2"/>
    </row>
    <row r="783" spans="5:9" ht="12.5" customHeight="1" x14ac:dyDescent="0.25">
      <c r="E783" s="1"/>
      <c r="F783" s="2"/>
      <c r="H783" s="1"/>
      <c r="I783" s="2"/>
    </row>
    <row r="784" spans="5:9" ht="12.5" customHeight="1" x14ac:dyDescent="0.25">
      <c r="E784" s="1"/>
      <c r="F784" s="2"/>
      <c r="H784" s="1"/>
      <c r="I784" s="2"/>
    </row>
    <row r="785" spans="5:9" ht="12.5" customHeight="1" x14ac:dyDescent="0.25">
      <c r="E785" s="1"/>
      <c r="F785" s="2"/>
      <c r="H785" s="1"/>
      <c r="I785" s="2"/>
    </row>
    <row r="786" spans="5:9" ht="12.5" customHeight="1" x14ac:dyDescent="0.25">
      <c r="E786" s="1"/>
      <c r="F786" s="2"/>
      <c r="H786" s="1"/>
      <c r="I786" s="2"/>
    </row>
    <row r="787" spans="5:9" ht="12.5" customHeight="1" x14ac:dyDescent="0.25">
      <c r="E787" s="1"/>
      <c r="F787" s="2"/>
      <c r="H787" s="1"/>
      <c r="I787" s="2"/>
    </row>
    <row r="788" spans="5:9" ht="12.5" customHeight="1" x14ac:dyDescent="0.25">
      <c r="E788" s="1"/>
      <c r="F788" s="2"/>
      <c r="H788" s="1"/>
      <c r="I788" s="2"/>
    </row>
    <row r="789" spans="5:9" ht="12.5" customHeight="1" x14ac:dyDescent="0.25">
      <c r="E789" s="1"/>
      <c r="F789" s="2"/>
      <c r="H789" s="1"/>
      <c r="I789" s="2"/>
    </row>
    <row r="790" spans="5:9" ht="12.5" customHeight="1" x14ac:dyDescent="0.25">
      <c r="E790" s="1"/>
      <c r="F790" s="2"/>
      <c r="H790" s="1"/>
      <c r="I790" s="2"/>
    </row>
    <row r="791" spans="5:9" ht="12.5" customHeight="1" x14ac:dyDescent="0.25">
      <c r="E791" s="1"/>
      <c r="F791" s="2"/>
      <c r="H791" s="1"/>
      <c r="I791" s="2"/>
    </row>
    <row r="792" spans="5:9" ht="12.5" customHeight="1" x14ac:dyDescent="0.25">
      <c r="E792" s="1"/>
      <c r="F792" s="2"/>
      <c r="H792" s="1"/>
      <c r="I792" s="2"/>
    </row>
    <row r="793" spans="5:9" ht="12.5" customHeight="1" x14ac:dyDescent="0.25">
      <c r="E793" s="1"/>
      <c r="F793" s="2"/>
      <c r="H793" s="1"/>
      <c r="I793" s="2"/>
    </row>
    <row r="794" spans="5:9" ht="12.5" customHeight="1" x14ac:dyDescent="0.25">
      <c r="E794" s="1"/>
      <c r="F794" s="2"/>
      <c r="H794" s="1"/>
      <c r="I794" s="2"/>
    </row>
    <row r="795" spans="5:9" ht="12.5" customHeight="1" x14ac:dyDescent="0.25">
      <c r="E795" s="1"/>
      <c r="F795" s="2"/>
      <c r="H795" s="1"/>
      <c r="I795" s="2"/>
    </row>
    <row r="796" spans="5:9" ht="12.5" customHeight="1" x14ac:dyDescent="0.25">
      <c r="E796" s="1"/>
      <c r="F796" s="2"/>
      <c r="H796" s="1"/>
      <c r="I796" s="2"/>
    </row>
    <row r="797" spans="5:9" ht="12.5" customHeight="1" x14ac:dyDescent="0.25">
      <c r="E797" s="1"/>
      <c r="F797" s="2"/>
      <c r="H797" s="1"/>
      <c r="I797" s="2"/>
    </row>
    <row r="798" spans="5:9" ht="12.5" customHeight="1" x14ac:dyDescent="0.25">
      <c r="E798" s="1"/>
      <c r="F798" s="2"/>
      <c r="H798" s="1"/>
      <c r="I798" s="2"/>
    </row>
    <row r="799" spans="5:9" ht="12.5" customHeight="1" x14ac:dyDescent="0.25">
      <c r="E799" s="1"/>
      <c r="F799" s="2"/>
      <c r="H799" s="1"/>
      <c r="I799" s="2"/>
    </row>
    <row r="800" spans="5:9" ht="12.5" customHeight="1" x14ac:dyDescent="0.25">
      <c r="E800" s="1"/>
      <c r="F800" s="2"/>
      <c r="H800" s="1"/>
      <c r="I800" s="2"/>
    </row>
    <row r="801" spans="5:9" ht="12.5" customHeight="1" x14ac:dyDescent="0.25">
      <c r="E801" s="1"/>
      <c r="F801" s="2"/>
      <c r="H801" s="1"/>
      <c r="I801" s="2"/>
    </row>
    <row r="802" spans="5:9" ht="12.5" customHeight="1" x14ac:dyDescent="0.25">
      <c r="E802" s="1"/>
      <c r="F802" s="2"/>
      <c r="H802" s="1"/>
      <c r="I802" s="2"/>
    </row>
    <row r="803" spans="5:9" ht="12.5" customHeight="1" x14ac:dyDescent="0.25">
      <c r="E803" s="1"/>
      <c r="F803" s="2"/>
      <c r="H803" s="1"/>
      <c r="I803" s="2"/>
    </row>
    <row r="804" spans="5:9" ht="12.5" customHeight="1" x14ac:dyDescent="0.25">
      <c r="E804" s="1"/>
      <c r="F804" s="2"/>
      <c r="H804" s="1"/>
      <c r="I804" s="2"/>
    </row>
    <row r="805" spans="5:9" ht="12.5" customHeight="1" x14ac:dyDescent="0.25">
      <c r="E805" s="1"/>
      <c r="F805" s="2"/>
      <c r="H805" s="1"/>
      <c r="I805" s="2"/>
    </row>
    <row r="806" spans="5:9" ht="12.5" customHeight="1" x14ac:dyDescent="0.25">
      <c r="E806" s="1"/>
      <c r="F806" s="2"/>
      <c r="H806" s="1"/>
      <c r="I806" s="2"/>
    </row>
    <row r="807" spans="5:9" ht="12.5" customHeight="1" x14ac:dyDescent="0.25">
      <c r="E807" s="1"/>
      <c r="F807" s="2"/>
      <c r="H807" s="1"/>
      <c r="I807" s="2"/>
    </row>
    <row r="808" spans="5:9" ht="12.5" customHeight="1" x14ac:dyDescent="0.25">
      <c r="E808" s="1"/>
      <c r="F808" s="2"/>
      <c r="H808" s="1"/>
      <c r="I808" s="2"/>
    </row>
    <row r="809" spans="5:9" ht="12.5" customHeight="1" x14ac:dyDescent="0.25">
      <c r="E809" s="1"/>
      <c r="F809" s="2"/>
      <c r="H809" s="1"/>
      <c r="I809" s="2"/>
    </row>
    <row r="810" spans="5:9" ht="12.5" customHeight="1" x14ac:dyDescent="0.25">
      <c r="E810" s="1"/>
      <c r="F810" s="2"/>
      <c r="H810" s="1"/>
      <c r="I810" s="2"/>
    </row>
    <row r="811" spans="5:9" ht="12.5" customHeight="1" x14ac:dyDescent="0.25">
      <c r="E811" s="1"/>
      <c r="F811" s="2"/>
      <c r="H811" s="1"/>
      <c r="I811" s="2"/>
    </row>
    <row r="812" spans="5:9" ht="12.5" customHeight="1" x14ac:dyDescent="0.25">
      <c r="E812" s="1"/>
      <c r="F812" s="2"/>
      <c r="H812" s="1"/>
      <c r="I812" s="2"/>
    </row>
    <row r="813" spans="5:9" ht="12.5" customHeight="1" x14ac:dyDescent="0.25">
      <c r="E813" s="1"/>
      <c r="F813" s="2"/>
      <c r="H813" s="1"/>
      <c r="I813" s="2"/>
    </row>
    <row r="814" spans="5:9" ht="12.5" customHeight="1" x14ac:dyDescent="0.25">
      <c r="E814" s="1"/>
      <c r="F814" s="2"/>
      <c r="H814" s="1"/>
      <c r="I814" s="2"/>
    </row>
    <row r="815" spans="5:9" ht="12.5" customHeight="1" x14ac:dyDescent="0.25">
      <c r="E815" s="1"/>
      <c r="F815" s="2"/>
      <c r="H815" s="1"/>
      <c r="I815" s="2"/>
    </row>
    <row r="816" spans="5:9" ht="12.5" customHeight="1" x14ac:dyDescent="0.25">
      <c r="E816" s="1"/>
      <c r="F816" s="2"/>
      <c r="H816" s="1"/>
      <c r="I816" s="2"/>
    </row>
    <row r="817" spans="5:9" ht="12.5" customHeight="1" x14ac:dyDescent="0.25">
      <c r="E817" s="1"/>
      <c r="F817" s="2"/>
      <c r="H817" s="1"/>
      <c r="I817" s="2"/>
    </row>
    <row r="818" spans="5:9" ht="12.5" customHeight="1" x14ac:dyDescent="0.25">
      <c r="E818" s="1"/>
      <c r="F818" s="2"/>
      <c r="H818" s="1"/>
      <c r="I818" s="2"/>
    </row>
    <row r="819" spans="5:9" ht="12.5" customHeight="1" x14ac:dyDescent="0.25">
      <c r="E819" s="1"/>
      <c r="F819" s="2"/>
      <c r="H819" s="1"/>
      <c r="I819" s="2"/>
    </row>
    <row r="820" spans="5:9" ht="12.5" customHeight="1" x14ac:dyDescent="0.25">
      <c r="E820" s="1"/>
      <c r="F820" s="2"/>
      <c r="H820" s="1"/>
      <c r="I820" s="2"/>
    </row>
    <row r="821" spans="5:9" ht="12.5" customHeight="1" x14ac:dyDescent="0.25">
      <c r="E821" s="1"/>
      <c r="F821" s="2"/>
      <c r="H821" s="1"/>
      <c r="I821" s="2"/>
    </row>
    <row r="822" spans="5:9" ht="12.5" customHeight="1" x14ac:dyDescent="0.25">
      <c r="E822" s="1"/>
      <c r="F822" s="2"/>
      <c r="H822" s="1"/>
      <c r="I822" s="2"/>
    </row>
    <row r="823" spans="5:9" ht="12.5" customHeight="1" x14ac:dyDescent="0.25">
      <c r="E823" s="1"/>
      <c r="F823" s="2"/>
      <c r="H823" s="1"/>
      <c r="I823" s="2"/>
    </row>
    <row r="824" spans="5:9" ht="12.5" customHeight="1" x14ac:dyDescent="0.25">
      <c r="E824" s="1"/>
      <c r="F824" s="2"/>
      <c r="H824" s="1"/>
      <c r="I824" s="2"/>
    </row>
    <row r="825" spans="5:9" ht="12.5" customHeight="1" x14ac:dyDescent="0.25">
      <c r="E825" s="1"/>
      <c r="F825" s="2"/>
      <c r="H825" s="1"/>
      <c r="I825" s="2"/>
    </row>
    <row r="826" spans="5:9" ht="12.5" customHeight="1" x14ac:dyDescent="0.25">
      <c r="E826" s="1"/>
      <c r="F826" s="2"/>
      <c r="H826" s="1"/>
      <c r="I826" s="2"/>
    </row>
    <row r="827" spans="5:9" ht="12.5" customHeight="1" x14ac:dyDescent="0.25">
      <c r="E827" s="1"/>
      <c r="F827" s="2"/>
      <c r="H827" s="1"/>
      <c r="I827" s="2"/>
    </row>
    <row r="828" spans="5:9" ht="12.5" customHeight="1" x14ac:dyDescent="0.25">
      <c r="E828" s="1"/>
      <c r="F828" s="2"/>
      <c r="H828" s="1"/>
      <c r="I828" s="2"/>
    </row>
    <row r="829" spans="5:9" ht="12.5" customHeight="1" x14ac:dyDescent="0.25">
      <c r="E829" s="1"/>
      <c r="F829" s="2"/>
      <c r="H829" s="1"/>
      <c r="I829" s="2"/>
    </row>
    <row r="830" spans="5:9" ht="12.5" customHeight="1" x14ac:dyDescent="0.25">
      <c r="E830" s="1"/>
      <c r="F830" s="2"/>
      <c r="H830" s="1"/>
      <c r="I830" s="2"/>
    </row>
    <row r="831" spans="5:9" ht="12.5" customHeight="1" x14ac:dyDescent="0.25">
      <c r="E831" s="1"/>
      <c r="F831" s="2"/>
      <c r="H831" s="1"/>
      <c r="I831" s="2"/>
    </row>
    <row r="832" spans="5:9" ht="12.5" customHeight="1" x14ac:dyDescent="0.25">
      <c r="E832" s="1"/>
      <c r="F832" s="2"/>
      <c r="H832" s="1"/>
      <c r="I832" s="2"/>
    </row>
    <row r="833" spans="5:9" ht="12.5" customHeight="1" x14ac:dyDescent="0.25">
      <c r="E833" s="1"/>
      <c r="F833" s="2"/>
      <c r="H833" s="1"/>
      <c r="I833" s="2"/>
    </row>
    <row r="834" spans="5:9" ht="12.5" customHeight="1" x14ac:dyDescent="0.25">
      <c r="E834" s="1"/>
      <c r="F834" s="2"/>
      <c r="H834" s="1"/>
      <c r="I834" s="2"/>
    </row>
    <row r="835" spans="5:9" ht="12.5" customHeight="1" x14ac:dyDescent="0.25">
      <c r="E835" s="1"/>
      <c r="F835" s="2"/>
      <c r="H835" s="1"/>
      <c r="I835" s="2"/>
    </row>
    <row r="836" spans="5:9" ht="12.5" customHeight="1" x14ac:dyDescent="0.25">
      <c r="E836" s="1"/>
      <c r="F836" s="2"/>
      <c r="H836" s="1"/>
      <c r="I836" s="2"/>
    </row>
    <row r="837" spans="5:9" ht="12.5" customHeight="1" x14ac:dyDescent="0.25">
      <c r="E837" s="1"/>
      <c r="F837" s="2"/>
      <c r="H837" s="1"/>
      <c r="I837" s="2"/>
    </row>
    <row r="838" spans="5:9" ht="12.5" customHeight="1" x14ac:dyDescent="0.25">
      <c r="E838" s="1"/>
      <c r="F838" s="2"/>
      <c r="H838" s="1"/>
      <c r="I838" s="2"/>
    </row>
    <row r="839" spans="5:9" ht="12.5" customHeight="1" x14ac:dyDescent="0.25">
      <c r="E839" s="1"/>
      <c r="F839" s="2"/>
      <c r="H839" s="1"/>
      <c r="I839" s="2"/>
    </row>
    <row r="840" spans="5:9" ht="12.5" customHeight="1" x14ac:dyDescent="0.25">
      <c r="E840" s="1"/>
      <c r="F840" s="2"/>
      <c r="H840" s="1"/>
      <c r="I840" s="2"/>
    </row>
    <row r="841" spans="5:9" ht="12.5" customHeight="1" x14ac:dyDescent="0.25">
      <c r="E841" s="1"/>
      <c r="F841" s="2"/>
      <c r="H841" s="1"/>
      <c r="I841" s="2"/>
    </row>
    <row r="842" spans="5:9" ht="12.5" customHeight="1" x14ac:dyDescent="0.25">
      <c r="E842" s="1"/>
      <c r="F842" s="2"/>
      <c r="H842" s="1"/>
      <c r="I842" s="2"/>
    </row>
    <row r="843" spans="5:9" ht="12.5" customHeight="1" x14ac:dyDescent="0.25">
      <c r="E843" s="1"/>
      <c r="F843" s="2"/>
      <c r="H843" s="1"/>
      <c r="I843" s="2"/>
    </row>
    <row r="844" spans="5:9" ht="12.5" customHeight="1" x14ac:dyDescent="0.25">
      <c r="E844" s="1"/>
      <c r="F844" s="2"/>
      <c r="H844" s="1"/>
      <c r="I844" s="2"/>
    </row>
    <row r="845" spans="5:9" ht="12.5" customHeight="1" x14ac:dyDescent="0.25">
      <c r="E845" s="1"/>
      <c r="F845" s="2"/>
      <c r="H845" s="1"/>
      <c r="I845" s="2"/>
    </row>
    <row r="846" spans="5:9" ht="12.5" customHeight="1" x14ac:dyDescent="0.25">
      <c r="E846" s="1"/>
      <c r="F846" s="2"/>
      <c r="H846" s="1"/>
      <c r="I846" s="2"/>
    </row>
    <row r="847" spans="5:9" ht="12.5" customHeight="1" x14ac:dyDescent="0.25">
      <c r="E847" s="1"/>
      <c r="F847" s="2"/>
      <c r="H847" s="1"/>
      <c r="I847" s="2"/>
    </row>
    <row r="848" spans="5:9" ht="12.5" customHeight="1" x14ac:dyDescent="0.25">
      <c r="E848" s="1"/>
      <c r="F848" s="2"/>
      <c r="H848" s="1"/>
      <c r="I848" s="2"/>
    </row>
    <row r="849" spans="5:9" ht="12.5" customHeight="1" x14ac:dyDescent="0.25">
      <c r="E849" s="1"/>
      <c r="F849" s="2"/>
      <c r="H849" s="1"/>
      <c r="I849" s="2"/>
    </row>
    <row r="850" spans="5:9" ht="12.5" customHeight="1" x14ac:dyDescent="0.25">
      <c r="E850" s="1"/>
      <c r="F850" s="2"/>
      <c r="H850" s="1"/>
      <c r="I850" s="2"/>
    </row>
    <row r="851" spans="5:9" ht="12.5" customHeight="1" x14ac:dyDescent="0.25">
      <c r="E851" s="1"/>
      <c r="F851" s="2"/>
      <c r="H851" s="1"/>
      <c r="I851" s="2"/>
    </row>
    <row r="852" spans="5:9" ht="12.5" customHeight="1" x14ac:dyDescent="0.25">
      <c r="E852" s="1"/>
      <c r="F852" s="2"/>
      <c r="H852" s="1"/>
      <c r="I852" s="2"/>
    </row>
    <row r="853" spans="5:9" ht="12.5" customHeight="1" x14ac:dyDescent="0.25">
      <c r="E853" s="1"/>
      <c r="F853" s="2"/>
      <c r="H853" s="1"/>
      <c r="I853" s="2"/>
    </row>
    <row r="854" spans="5:9" ht="12.5" customHeight="1" x14ac:dyDescent="0.25">
      <c r="E854" s="1"/>
      <c r="F854" s="2"/>
      <c r="H854" s="1"/>
      <c r="I854" s="2"/>
    </row>
    <row r="855" spans="5:9" ht="12.5" customHeight="1" x14ac:dyDescent="0.25">
      <c r="E855" s="1"/>
      <c r="F855" s="2"/>
      <c r="H855" s="1"/>
      <c r="I855" s="2"/>
    </row>
    <row r="856" spans="5:9" ht="12.5" customHeight="1" x14ac:dyDescent="0.25">
      <c r="E856" s="1"/>
      <c r="F856" s="2"/>
      <c r="H856" s="1"/>
      <c r="I856" s="2"/>
    </row>
    <row r="857" spans="5:9" ht="12.5" customHeight="1" x14ac:dyDescent="0.25">
      <c r="E857" s="1"/>
      <c r="F857" s="2"/>
      <c r="H857" s="1"/>
      <c r="I857" s="2"/>
    </row>
    <row r="858" spans="5:9" ht="12.5" customHeight="1" x14ac:dyDescent="0.25">
      <c r="E858" s="1"/>
      <c r="F858" s="2"/>
      <c r="H858" s="1"/>
      <c r="I858" s="2"/>
    </row>
    <row r="859" spans="5:9" ht="12.5" customHeight="1" x14ac:dyDescent="0.25">
      <c r="E859" s="1"/>
      <c r="F859" s="2"/>
      <c r="H859" s="1"/>
      <c r="I859" s="2"/>
    </row>
    <row r="860" spans="5:9" ht="12.5" customHeight="1" x14ac:dyDescent="0.25">
      <c r="E860" s="1"/>
      <c r="F860" s="2"/>
      <c r="H860" s="1"/>
      <c r="I860" s="2"/>
    </row>
    <row r="861" spans="5:9" ht="12.5" customHeight="1" x14ac:dyDescent="0.25">
      <c r="E861" s="1"/>
      <c r="F861" s="2"/>
      <c r="H861" s="1"/>
      <c r="I861" s="2"/>
    </row>
    <row r="862" spans="5:9" ht="12.5" customHeight="1" x14ac:dyDescent="0.25">
      <c r="E862" s="1"/>
      <c r="F862" s="2"/>
      <c r="H862" s="1"/>
      <c r="I862" s="2"/>
    </row>
    <row r="863" spans="5:9" ht="12.5" customHeight="1" x14ac:dyDescent="0.25">
      <c r="E863" s="1"/>
      <c r="F863" s="2"/>
      <c r="H863" s="1"/>
      <c r="I863" s="2"/>
    </row>
    <row r="864" spans="5:9" ht="12.5" customHeight="1" x14ac:dyDescent="0.25">
      <c r="E864" s="1"/>
      <c r="F864" s="2"/>
      <c r="H864" s="1"/>
      <c r="I864" s="2"/>
    </row>
    <row r="865" spans="5:9" ht="12.5" customHeight="1" x14ac:dyDescent="0.25">
      <c r="E865" s="1"/>
      <c r="F865" s="2"/>
      <c r="H865" s="1"/>
      <c r="I865" s="2"/>
    </row>
    <row r="866" spans="5:9" ht="12.5" customHeight="1" x14ac:dyDescent="0.25">
      <c r="E866" s="1"/>
      <c r="F866" s="2"/>
      <c r="H866" s="1"/>
      <c r="I866" s="2"/>
    </row>
    <row r="867" spans="5:9" ht="12.5" customHeight="1" x14ac:dyDescent="0.25">
      <c r="E867" s="1"/>
      <c r="F867" s="2"/>
      <c r="H867" s="1"/>
      <c r="I867" s="2"/>
    </row>
    <row r="868" spans="5:9" ht="12.5" customHeight="1" x14ac:dyDescent="0.25">
      <c r="E868" s="1"/>
      <c r="F868" s="2"/>
      <c r="H868" s="1"/>
      <c r="I868" s="2"/>
    </row>
    <row r="869" spans="5:9" ht="12.5" customHeight="1" x14ac:dyDescent="0.25">
      <c r="E869" s="1"/>
      <c r="F869" s="2"/>
      <c r="H869" s="1"/>
      <c r="I869" s="2"/>
    </row>
    <row r="870" spans="5:9" ht="12.5" customHeight="1" x14ac:dyDescent="0.25">
      <c r="E870" s="1"/>
      <c r="F870" s="2"/>
      <c r="H870" s="1"/>
      <c r="I870" s="2"/>
    </row>
    <row r="871" spans="5:9" ht="12.5" customHeight="1" x14ac:dyDescent="0.25">
      <c r="E871" s="1"/>
      <c r="F871" s="2"/>
      <c r="H871" s="1"/>
      <c r="I871" s="2"/>
    </row>
    <row r="872" spans="5:9" ht="12.5" customHeight="1" x14ac:dyDescent="0.25">
      <c r="E872" s="1"/>
      <c r="F872" s="2"/>
      <c r="H872" s="1"/>
      <c r="I872" s="2"/>
    </row>
    <row r="873" spans="5:9" ht="12.5" customHeight="1" x14ac:dyDescent="0.25">
      <c r="E873" s="1"/>
      <c r="F873" s="2"/>
      <c r="H873" s="1"/>
      <c r="I873" s="2"/>
    </row>
    <row r="874" spans="5:9" ht="12.5" customHeight="1" x14ac:dyDescent="0.25">
      <c r="E874" s="1"/>
      <c r="F874" s="2"/>
      <c r="H874" s="1"/>
      <c r="I874" s="2"/>
    </row>
    <row r="875" spans="5:9" ht="12.5" customHeight="1" x14ac:dyDescent="0.25">
      <c r="E875" s="1"/>
      <c r="F875" s="2"/>
      <c r="H875" s="1"/>
      <c r="I875" s="2"/>
    </row>
    <row r="876" spans="5:9" ht="12.5" customHeight="1" x14ac:dyDescent="0.25">
      <c r="E876" s="1"/>
      <c r="F876" s="2"/>
      <c r="H876" s="1"/>
      <c r="I876" s="2"/>
    </row>
    <row r="877" spans="5:9" ht="12.5" customHeight="1" x14ac:dyDescent="0.25">
      <c r="E877" s="1"/>
      <c r="F877" s="2"/>
      <c r="H877" s="1"/>
      <c r="I877" s="2"/>
    </row>
    <row r="878" spans="5:9" ht="12.5" customHeight="1" x14ac:dyDescent="0.25">
      <c r="E878" s="1"/>
      <c r="F878" s="2"/>
      <c r="H878" s="1"/>
      <c r="I878" s="2"/>
    </row>
    <row r="879" spans="5:9" ht="12.5" customHeight="1" x14ac:dyDescent="0.25">
      <c r="E879" s="1"/>
      <c r="F879" s="2"/>
      <c r="H879" s="1"/>
      <c r="I879" s="2"/>
    </row>
    <row r="880" spans="5:9" ht="12.5" customHeight="1" x14ac:dyDescent="0.25">
      <c r="E880" s="1"/>
      <c r="F880" s="2"/>
      <c r="H880" s="1"/>
      <c r="I880" s="2"/>
    </row>
    <row r="881" spans="5:9" ht="12.5" customHeight="1" x14ac:dyDescent="0.25">
      <c r="E881" s="1"/>
      <c r="F881" s="2"/>
      <c r="H881" s="1"/>
      <c r="I881" s="2"/>
    </row>
    <row r="882" spans="5:9" ht="12.5" customHeight="1" x14ac:dyDescent="0.25">
      <c r="E882" s="1"/>
      <c r="F882" s="2"/>
      <c r="H882" s="1"/>
      <c r="I882" s="2"/>
    </row>
    <row r="883" spans="5:9" ht="12.5" customHeight="1" x14ac:dyDescent="0.25">
      <c r="E883" s="1"/>
      <c r="F883" s="2"/>
      <c r="H883" s="1"/>
      <c r="I883" s="2"/>
    </row>
    <row r="884" spans="5:9" ht="12.5" customHeight="1" x14ac:dyDescent="0.25">
      <c r="E884" s="1"/>
      <c r="F884" s="2"/>
      <c r="H884" s="1"/>
      <c r="I884" s="2"/>
    </row>
    <row r="885" spans="5:9" ht="12.5" customHeight="1" x14ac:dyDescent="0.25">
      <c r="E885" s="1"/>
      <c r="F885" s="2"/>
      <c r="H885" s="1"/>
      <c r="I885" s="2"/>
    </row>
    <row r="886" spans="5:9" ht="12.5" customHeight="1" x14ac:dyDescent="0.25">
      <c r="E886" s="1"/>
      <c r="F886" s="2"/>
      <c r="H886" s="1"/>
      <c r="I886" s="2"/>
    </row>
    <row r="887" spans="5:9" ht="12.5" customHeight="1" x14ac:dyDescent="0.25">
      <c r="E887" s="1"/>
      <c r="F887" s="2"/>
      <c r="H887" s="1"/>
      <c r="I887" s="2"/>
    </row>
    <row r="888" spans="5:9" ht="12.5" customHeight="1" x14ac:dyDescent="0.25">
      <c r="E888" s="1"/>
      <c r="F888" s="2"/>
      <c r="H888" s="1"/>
      <c r="I888" s="2"/>
    </row>
    <row r="889" spans="5:9" ht="12.5" customHeight="1" x14ac:dyDescent="0.25">
      <c r="E889" s="1"/>
      <c r="F889" s="2"/>
      <c r="H889" s="1"/>
      <c r="I889" s="2"/>
    </row>
    <row r="890" spans="5:9" ht="12.5" customHeight="1" x14ac:dyDescent="0.25">
      <c r="E890" s="1"/>
      <c r="F890" s="2"/>
      <c r="H890" s="1"/>
      <c r="I890" s="2"/>
    </row>
    <row r="891" spans="5:9" ht="12.5" customHeight="1" x14ac:dyDescent="0.25">
      <c r="E891" s="1"/>
      <c r="F891" s="2"/>
      <c r="H891" s="1"/>
      <c r="I891" s="2"/>
    </row>
    <row r="892" spans="5:9" ht="12.5" customHeight="1" x14ac:dyDescent="0.25">
      <c r="E892" s="1"/>
      <c r="F892" s="2"/>
      <c r="H892" s="1"/>
      <c r="I892" s="2"/>
    </row>
    <row r="893" spans="5:9" ht="12.5" customHeight="1" x14ac:dyDescent="0.25">
      <c r="E893" s="1"/>
      <c r="F893" s="2"/>
      <c r="H893" s="1"/>
      <c r="I893" s="2"/>
    </row>
    <row r="894" spans="5:9" ht="12.5" customHeight="1" x14ac:dyDescent="0.25">
      <c r="E894" s="1"/>
      <c r="F894" s="2"/>
      <c r="H894" s="1"/>
      <c r="I894" s="2"/>
    </row>
    <row r="895" spans="5:9" ht="12.5" customHeight="1" x14ac:dyDescent="0.25">
      <c r="E895" s="1"/>
      <c r="F895" s="2"/>
      <c r="H895" s="1"/>
      <c r="I895" s="2"/>
    </row>
    <row r="896" spans="5:9" ht="12.5" customHeight="1" x14ac:dyDescent="0.25">
      <c r="E896" s="1"/>
      <c r="F896" s="2"/>
      <c r="H896" s="1"/>
      <c r="I896" s="2"/>
    </row>
    <row r="897" spans="5:9" ht="12.5" customHeight="1" x14ac:dyDescent="0.25">
      <c r="E897" s="1"/>
      <c r="F897" s="2"/>
      <c r="H897" s="1"/>
      <c r="I897" s="2"/>
    </row>
    <row r="898" spans="5:9" ht="12.5" customHeight="1" x14ac:dyDescent="0.25">
      <c r="E898" s="1"/>
      <c r="F898" s="2"/>
      <c r="H898" s="1"/>
      <c r="I898" s="2"/>
    </row>
    <row r="899" spans="5:9" ht="12.5" customHeight="1" x14ac:dyDescent="0.25">
      <c r="E899" s="1"/>
      <c r="F899" s="2"/>
      <c r="H899" s="1"/>
      <c r="I899" s="2"/>
    </row>
    <row r="900" spans="5:9" ht="12.5" customHeight="1" x14ac:dyDescent="0.25">
      <c r="E900" s="1"/>
      <c r="F900" s="2"/>
      <c r="H900" s="1"/>
      <c r="I900" s="2"/>
    </row>
    <row r="901" spans="5:9" ht="12.5" customHeight="1" x14ac:dyDescent="0.25">
      <c r="E901" s="1"/>
      <c r="F901" s="2"/>
      <c r="H901" s="1"/>
      <c r="I901" s="2"/>
    </row>
    <row r="902" spans="5:9" ht="12.5" customHeight="1" x14ac:dyDescent="0.25">
      <c r="E902" s="1"/>
      <c r="F902" s="2"/>
      <c r="H902" s="1"/>
      <c r="I902" s="2"/>
    </row>
    <row r="903" spans="5:9" ht="12.5" customHeight="1" x14ac:dyDescent="0.25">
      <c r="E903" s="1"/>
      <c r="F903" s="2"/>
      <c r="H903" s="1"/>
      <c r="I903" s="2"/>
    </row>
    <row r="904" spans="5:9" ht="12.5" customHeight="1" x14ac:dyDescent="0.25">
      <c r="E904" s="1"/>
      <c r="F904" s="2"/>
      <c r="H904" s="1"/>
      <c r="I904" s="2"/>
    </row>
    <row r="905" spans="5:9" ht="12.5" customHeight="1" x14ac:dyDescent="0.25">
      <c r="E905" s="1"/>
      <c r="F905" s="2"/>
      <c r="H905" s="1"/>
      <c r="I905" s="2"/>
    </row>
    <row r="906" spans="5:9" ht="12.5" customHeight="1" x14ac:dyDescent="0.25">
      <c r="E906" s="1"/>
      <c r="F906" s="2"/>
      <c r="H906" s="1"/>
      <c r="I906" s="2"/>
    </row>
    <row r="907" spans="5:9" ht="12.5" customHeight="1" x14ac:dyDescent="0.25">
      <c r="E907" s="1"/>
      <c r="F907" s="2"/>
      <c r="H907" s="1"/>
      <c r="I907" s="2"/>
    </row>
    <row r="908" spans="5:9" ht="12.5" customHeight="1" x14ac:dyDescent="0.25">
      <c r="E908" s="1"/>
      <c r="F908" s="2"/>
      <c r="H908" s="1"/>
      <c r="I908" s="2"/>
    </row>
    <row r="909" spans="5:9" ht="12.5" customHeight="1" x14ac:dyDescent="0.25">
      <c r="E909" s="1"/>
      <c r="F909" s="2"/>
      <c r="H909" s="1"/>
      <c r="I909" s="2"/>
    </row>
    <row r="910" spans="5:9" ht="12.5" customHeight="1" x14ac:dyDescent="0.25">
      <c r="E910" s="1"/>
      <c r="F910" s="2"/>
      <c r="H910" s="1"/>
      <c r="I910" s="2"/>
    </row>
    <row r="911" spans="5:9" ht="12.5" customHeight="1" x14ac:dyDescent="0.25">
      <c r="E911" s="1"/>
      <c r="F911" s="2"/>
      <c r="H911" s="1"/>
      <c r="I911" s="2"/>
    </row>
    <row r="912" spans="5:9" ht="12.5" customHeight="1" x14ac:dyDescent="0.25">
      <c r="E912" s="1"/>
      <c r="F912" s="2"/>
      <c r="H912" s="1"/>
      <c r="I912" s="2"/>
    </row>
    <row r="913" spans="5:9" ht="12.5" customHeight="1" x14ac:dyDescent="0.25">
      <c r="E913" s="1"/>
      <c r="F913" s="2"/>
      <c r="H913" s="1"/>
      <c r="I913" s="2"/>
    </row>
    <row r="914" spans="5:9" ht="12.5" customHeight="1" x14ac:dyDescent="0.25">
      <c r="E914" s="1"/>
      <c r="F914" s="2"/>
      <c r="H914" s="1"/>
      <c r="I914" s="2"/>
    </row>
    <row r="915" spans="5:9" ht="12.5" customHeight="1" x14ac:dyDescent="0.25">
      <c r="E915" s="1"/>
      <c r="F915" s="2"/>
      <c r="H915" s="1"/>
      <c r="I915" s="2"/>
    </row>
    <row r="916" spans="5:9" ht="12.5" customHeight="1" x14ac:dyDescent="0.25">
      <c r="E916" s="1"/>
      <c r="F916" s="2"/>
      <c r="H916" s="1"/>
      <c r="I916" s="2"/>
    </row>
    <row r="917" spans="5:9" ht="12.5" customHeight="1" x14ac:dyDescent="0.25">
      <c r="E917" s="1"/>
      <c r="F917" s="2"/>
      <c r="H917" s="1"/>
      <c r="I917" s="2"/>
    </row>
    <row r="918" spans="5:9" ht="12.5" customHeight="1" x14ac:dyDescent="0.25">
      <c r="E918" s="1"/>
      <c r="F918" s="2"/>
      <c r="H918" s="1"/>
      <c r="I918" s="2"/>
    </row>
    <row r="919" spans="5:9" ht="12.5" customHeight="1" x14ac:dyDescent="0.25">
      <c r="E919" s="1"/>
      <c r="F919" s="2"/>
      <c r="H919" s="1"/>
      <c r="I919" s="2"/>
    </row>
    <row r="920" spans="5:9" ht="12.5" customHeight="1" x14ac:dyDescent="0.25">
      <c r="E920" s="1"/>
      <c r="F920" s="2"/>
      <c r="H920" s="1"/>
      <c r="I920" s="2"/>
    </row>
    <row r="921" spans="5:9" ht="12.5" customHeight="1" x14ac:dyDescent="0.25">
      <c r="E921" s="1"/>
      <c r="F921" s="2"/>
      <c r="H921" s="1"/>
      <c r="I921" s="2"/>
    </row>
    <row r="922" spans="5:9" ht="12.5" customHeight="1" x14ac:dyDescent="0.25">
      <c r="E922" s="1"/>
      <c r="F922" s="2"/>
      <c r="H922" s="1"/>
      <c r="I922" s="2"/>
    </row>
    <row r="923" spans="5:9" ht="12.5" customHeight="1" x14ac:dyDescent="0.25">
      <c r="E923" s="1"/>
      <c r="F923" s="2"/>
      <c r="H923" s="1"/>
      <c r="I923" s="2"/>
    </row>
    <row r="924" spans="5:9" ht="12.5" customHeight="1" x14ac:dyDescent="0.25">
      <c r="E924" s="1"/>
      <c r="F924" s="2"/>
      <c r="H924" s="1"/>
      <c r="I924" s="2"/>
    </row>
    <row r="925" spans="5:9" ht="12.5" customHeight="1" x14ac:dyDescent="0.25">
      <c r="E925" s="1"/>
      <c r="F925" s="2"/>
      <c r="H925" s="1"/>
      <c r="I925" s="2"/>
    </row>
    <row r="926" spans="5:9" ht="12.5" customHeight="1" x14ac:dyDescent="0.25">
      <c r="E926" s="1"/>
      <c r="F926" s="2"/>
      <c r="H926" s="1"/>
      <c r="I926" s="2"/>
    </row>
    <row r="927" spans="5:9" ht="12.5" customHeight="1" x14ac:dyDescent="0.25">
      <c r="E927" s="1"/>
      <c r="F927" s="2"/>
      <c r="H927" s="1"/>
      <c r="I927" s="2"/>
    </row>
    <row r="928" spans="5:9" ht="12.5" customHeight="1" x14ac:dyDescent="0.25">
      <c r="E928" s="1"/>
      <c r="F928" s="2"/>
      <c r="H928" s="1"/>
      <c r="I928" s="2"/>
    </row>
    <row r="929" spans="5:9" ht="12.5" customHeight="1" x14ac:dyDescent="0.25">
      <c r="E929" s="1"/>
      <c r="F929" s="2"/>
      <c r="H929" s="1"/>
      <c r="I929" s="2"/>
    </row>
    <row r="930" spans="5:9" ht="12.5" customHeight="1" x14ac:dyDescent="0.25">
      <c r="E930" s="1"/>
      <c r="F930" s="2"/>
      <c r="H930" s="1"/>
      <c r="I930" s="2"/>
    </row>
    <row r="931" spans="5:9" ht="12.5" customHeight="1" x14ac:dyDescent="0.25">
      <c r="E931" s="1"/>
      <c r="F931" s="2"/>
      <c r="H931" s="1"/>
      <c r="I931" s="2"/>
    </row>
    <row r="932" spans="5:9" ht="12.5" customHeight="1" x14ac:dyDescent="0.25">
      <c r="E932" s="1"/>
      <c r="F932" s="2"/>
      <c r="H932" s="1"/>
      <c r="I932" s="2"/>
    </row>
    <row r="933" spans="5:9" ht="12.5" customHeight="1" x14ac:dyDescent="0.25">
      <c r="E933" s="1"/>
      <c r="F933" s="2"/>
      <c r="H933" s="1"/>
      <c r="I933" s="2"/>
    </row>
    <row r="934" spans="5:9" ht="12.5" customHeight="1" x14ac:dyDescent="0.25">
      <c r="E934" s="1"/>
      <c r="F934" s="2"/>
      <c r="H934" s="1"/>
      <c r="I934" s="2"/>
    </row>
    <row r="935" spans="5:9" ht="12.5" customHeight="1" x14ac:dyDescent="0.25">
      <c r="E935" s="1"/>
      <c r="F935" s="2"/>
      <c r="H935" s="1"/>
      <c r="I935" s="2"/>
    </row>
    <row r="936" spans="5:9" ht="12.5" customHeight="1" x14ac:dyDescent="0.25">
      <c r="E936" s="1"/>
      <c r="F936" s="2"/>
      <c r="H936" s="1"/>
      <c r="I936" s="2"/>
    </row>
    <row r="937" spans="5:9" ht="12.5" customHeight="1" x14ac:dyDescent="0.25">
      <c r="E937" s="1"/>
      <c r="F937" s="2"/>
      <c r="H937" s="1"/>
      <c r="I937" s="2"/>
    </row>
    <row r="938" spans="5:9" ht="12.5" customHeight="1" x14ac:dyDescent="0.25">
      <c r="E938" s="1"/>
      <c r="F938" s="2"/>
      <c r="H938" s="1"/>
      <c r="I938" s="2"/>
    </row>
    <row r="939" spans="5:9" ht="12.5" customHeight="1" x14ac:dyDescent="0.25">
      <c r="E939" s="1"/>
      <c r="F939" s="2"/>
      <c r="H939" s="1"/>
      <c r="I939" s="2"/>
    </row>
    <row r="940" spans="5:9" ht="12.5" customHeight="1" x14ac:dyDescent="0.25">
      <c r="E940" s="1"/>
      <c r="F940" s="2"/>
      <c r="H940" s="1"/>
      <c r="I940" s="2"/>
    </row>
    <row r="941" spans="5:9" ht="12.5" customHeight="1" x14ac:dyDescent="0.25">
      <c r="E941" s="1"/>
      <c r="F941" s="2"/>
      <c r="H941" s="1"/>
      <c r="I941" s="2"/>
    </row>
    <row r="942" spans="5:9" ht="12.5" customHeight="1" x14ac:dyDescent="0.25">
      <c r="E942" s="1"/>
      <c r="F942" s="2"/>
      <c r="H942" s="1"/>
      <c r="I942" s="2"/>
    </row>
    <row r="943" spans="5:9" ht="12.5" customHeight="1" x14ac:dyDescent="0.25">
      <c r="E943" s="1"/>
      <c r="F943" s="2"/>
      <c r="H943" s="1"/>
      <c r="I943" s="2"/>
    </row>
    <row r="944" spans="5:9" ht="12.5" customHeight="1" x14ac:dyDescent="0.25">
      <c r="E944" s="1"/>
      <c r="F944" s="2"/>
      <c r="H944" s="1"/>
      <c r="I944" s="2"/>
    </row>
    <row r="945" spans="5:9" ht="12.5" customHeight="1" x14ac:dyDescent="0.25">
      <c r="E945" s="1"/>
      <c r="F945" s="2"/>
      <c r="H945" s="1"/>
      <c r="I945" s="2"/>
    </row>
    <row r="946" spans="5:9" ht="12.5" customHeight="1" x14ac:dyDescent="0.25">
      <c r="E946" s="1"/>
      <c r="F946" s="2"/>
      <c r="H946" s="1"/>
      <c r="I946" s="2"/>
    </row>
    <row r="947" spans="5:9" ht="12.5" customHeight="1" x14ac:dyDescent="0.25">
      <c r="E947" s="1"/>
      <c r="F947" s="2"/>
      <c r="H947" s="1"/>
      <c r="I947" s="2"/>
    </row>
    <row r="948" spans="5:9" ht="12.5" customHeight="1" x14ac:dyDescent="0.25">
      <c r="E948" s="1"/>
      <c r="F948" s="2"/>
      <c r="H948" s="1"/>
      <c r="I948" s="2"/>
    </row>
    <row r="949" spans="5:9" ht="12.5" customHeight="1" x14ac:dyDescent="0.25">
      <c r="E949" s="1"/>
      <c r="F949" s="2"/>
      <c r="H949" s="1"/>
      <c r="I949" s="2"/>
    </row>
    <row r="950" spans="5:9" ht="12.5" customHeight="1" x14ac:dyDescent="0.25">
      <c r="E950" s="1"/>
      <c r="F950" s="2"/>
      <c r="H950" s="1"/>
      <c r="I950" s="2"/>
    </row>
    <row r="951" spans="5:9" ht="12.5" customHeight="1" x14ac:dyDescent="0.25">
      <c r="E951" s="1"/>
      <c r="F951" s="2"/>
      <c r="H951" s="1"/>
      <c r="I951" s="2"/>
    </row>
    <row r="952" spans="5:9" ht="12.5" customHeight="1" x14ac:dyDescent="0.25">
      <c r="E952" s="1"/>
      <c r="F952" s="2"/>
      <c r="H952" s="1"/>
      <c r="I952" s="2"/>
    </row>
    <row r="953" spans="5:9" ht="12.5" customHeight="1" x14ac:dyDescent="0.25">
      <c r="E953" s="1"/>
      <c r="F953" s="2"/>
      <c r="H953" s="1"/>
      <c r="I953" s="2"/>
    </row>
    <row r="954" spans="5:9" ht="12.5" customHeight="1" x14ac:dyDescent="0.25">
      <c r="E954" s="1"/>
      <c r="F954" s="2"/>
      <c r="H954" s="1"/>
      <c r="I954" s="2"/>
    </row>
    <row r="955" spans="5:9" ht="12.5" customHeight="1" x14ac:dyDescent="0.25">
      <c r="E955" s="1"/>
      <c r="F955" s="2"/>
      <c r="H955" s="1"/>
      <c r="I955" s="2"/>
    </row>
    <row r="956" spans="5:9" ht="12.5" customHeight="1" x14ac:dyDescent="0.25">
      <c r="E956" s="1"/>
      <c r="F956" s="2"/>
      <c r="H956" s="1"/>
      <c r="I956" s="2"/>
    </row>
    <row r="957" spans="5:9" ht="12.5" customHeight="1" x14ac:dyDescent="0.25">
      <c r="E957" s="1"/>
      <c r="F957" s="2"/>
      <c r="H957" s="1"/>
      <c r="I957" s="2"/>
    </row>
    <row r="958" spans="5:9" ht="12.5" customHeight="1" x14ac:dyDescent="0.25">
      <c r="E958" s="1"/>
      <c r="F958" s="2"/>
      <c r="H958" s="1"/>
      <c r="I958" s="2"/>
    </row>
    <row r="959" spans="5:9" ht="12.5" customHeight="1" x14ac:dyDescent="0.25">
      <c r="E959" s="1"/>
      <c r="F959" s="2"/>
      <c r="H959" s="1"/>
      <c r="I959" s="2"/>
    </row>
    <row r="960" spans="5:9" ht="12.5" customHeight="1" x14ac:dyDescent="0.25">
      <c r="E960" s="1"/>
      <c r="F960" s="2"/>
      <c r="H960" s="1"/>
      <c r="I960" s="2"/>
    </row>
    <row r="961" spans="5:9" ht="12.5" customHeight="1" x14ac:dyDescent="0.25">
      <c r="E961" s="1"/>
      <c r="F961" s="2"/>
      <c r="H961" s="1"/>
      <c r="I961" s="2"/>
    </row>
    <row r="962" spans="5:9" ht="12.5" customHeight="1" x14ac:dyDescent="0.25">
      <c r="E962" s="1"/>
      <c r="F962" s="2"/>
      <c r="H962" s="1"/>
      <c r="I962" s="2"/>
    </row>
    <row r="963" spans="5:9" ht="12.5" customHeight="1" x14ac:dyDescent="0.25">
      <c r="E963" s="1"/>
      <c r="F963" s="2"/>
      <c r="H963" s="1"/>
      <c r="I963" s="2"/>
    </row>
    <row r="964" spans="5:9" ht="12.5" customHeight="1" x14ac:dyDescent="0.25">
      <c r="E964" s="1"/>
      <c r="F964" s="2"/>
      <c r="H964" s="1"/>
      <c r="I964" s="2"/>
    </row>
    <row r="965" spans="5:9" ht="12.5" customHeight="1" x14ac:dyDescent="0.25">
      <c r="E965" s="1"/>
      <c r="F965" s="2"/>
      <c r="H965" s="1"/>
      <c r="I965" s="2"/>
    </row>
    <row r="966" spans="5:9" ht="12.5" customHeight="1" x14ac:dyDescent="0.25">
      <c r="E966" s="1"/>
      <c r="F966" s="2"/>
      <c r="H966" s="1"/>
      <c r="I966" s="2"/>
    </row>
    <row r="967" spans="5:9" ht="12.5" customHeight="1" x14ac:dyDescent="0.25">
      <c r="E967" s="1"/>
      <c r="F967" s="2"/>
      <c r="H967" s="1"/>
      <c r="I967" s="2"/>
    </row>
    <row r="968" spans="5:9" ht="12.5" customHeight="1" x14ac:dyDescent="0.25">
      <c r="E968" s="1"/>
      <c r="F968" s="2"/>
      <c r="H968" s="1"/>
      <c r="I968" s="2"/>
    </row>
    <row r="969" spans="5:9" ht="12.5" customHeight="1" x14ac:dyDescent="0.25">
      <c r="E969" s="1"/>
      <c r="F969" s="2"/>
      <c r="H969" s="1"/>
      <c r="I969" s="2"/>
    </row>
    <row r="970" spans="5:9" ht="12.5" customHeight="1" x14ac:dyDescent="0.25">
      <c r="E970" s="1"/>
      <c r="F970" s="2"/>
      <c r="H970" s="1"/>
      <c r="I970" s="2"/>
    </row>
    <row r="971" spans="5:9" ht="12.5" customHeight="1" x14ac:dyDescent="0.25">
      <c r="E971" s="1"/>
      <c r="F971" s="2"/>
      <c r="H971" s="1"/>
      <c r="I971" s="2"/>
    </row>
    <row r="972" spans="5:9" ht="12.5" customHeight="1" x14ac:dyDescent="0.25">
      <c r="E972" s="1"/>
      <c r="F972" s="2"/>
      <c r="H972" s="1"/>
      <c r="I972" s="2"/>
    </row>
    <row r="973" spans="5:9" ht="12.5" customHeight="1" x14ac:dyDescent="0.25">
      <c r="E973" s="1"/>
      <c r="F973" s="2"/>
      <c r="H973" s="1"/>
      <c r="I973" s="2"/>
    </row>
    <row r="974" spans="5:9" ht="12.5" customHeight="1" x14ac:dyDescent="0.25">
      <c r="E974" s="1"/>
      <c r="F974" s="2"/>
      <c r="H974" s="1"/>
      <c r="I974" s="2"/>
    </row>
    <row r="975" spans="5:9" ht="12.5" customHeight="1" x14ac:dyDescent="0.25">
      <c r="E975" s="1"/>
      <c r="F975" s="2"/>
      <c r="H975" s="1"/>
      <c r="I975" s="2"/>
    </row>
    <row r="976" spans="5:9" ht="12.5" customHeight="1" x14ac:dyDescent="0.25">
      <c r="E976" s="1"/>
      <c r="F976" s="2"/>
      <c r="H976" s="1"/>
      <c r="I976" s="2"/>
    </row>
    <row r="977" spans="5:9" ht="12.5" customHeight="1" x14ac:dyDescent="0.25">
      <c r="E977" s="1"/>
      <c r="F977" s="2"/>
      <c r="H977" s="1"/>
      <c r="I977" s="2"/>
    </row>
    <row r="978" spans="5:9" ht="12.5" customHeight="1" x14ac:dyDescent="0.25">
      <c r="E978" s="1"/>
      <c r="F978" s="2"/>
      <c r="H978" s="1"/>
      <c r="I978" s="2"/>
    </row>
    <row r="979" spans="5:9" ht="12.5" customHeight="1" x14ac:dyDescent="0.25">
      <c r="E979" s="1"/>
      <c r="F979" s="2"/>
      <c r="H979" s="1"/>
      <c r="I979" s="2"/>
    </row>
    <row r="980" spans="5:9" ht="12.5" customHeight="1" x14ac:dyDescent="0.25">
      <c r="E980" s="1"/>
      <c r="F980" s="2"/>
      <c r="H980" s="1"/>
      <c r="I980" s="2"/>
    </row>
    <row r="981" spans="5:9" ht="12.5" customHeight="1" x14ac:dyDescent="0.25">
      <c r="E981" s="1"/>
      <c r="F981" s="2"/>
      <c r="H981" s="1"/>
      <c r="I981" s="2"/>
    </row>
    <row r="982" spans="5:9" ht="12.5" customHeight="1" x14ac:dyDescent="0.25">
      <c r="E982" s="1"/>
      <c r="F982" s="2"/>
      <c r="H982" s="1"/>
      <c r="I982" s="2"/>
    </row>
    <row r="983" spans="5:9" ht="12.5" customHeight="1" x14ac:dyDescent="0.25">
      <c r="E983" s="1"/>
      <c r="F983" s="2"/>
      <c r="H983" s="1"/>
      <c r="I983" s="2"/>
    </row>
    <row r="984" spans="5:9" ht="12.5" customHeight="1" x14ac:dyDescent="0.25">
      <c r="E984" s="1"/>
      <c r="F984" s="2"/>
      <c r="H984" s="1"/>
      <c r="I984" s="2"/>
    </row>
    <row r="985" spans="5:9" ht="12.5" customHeight="1" x14ac:dyDescent="0.25">
      <c r="E985" s="1"/>
      <c r="F985" s="2"/>
      <c r="H985" s="1"/>
      <c r="I985" s="2"/>
    </row>
    <row r="986" spans="5:9" ht="12.5" customHeight="1" x14ac:dyDescent="0.25">
      <c r="E986" s="1"/>
      <c r="F986" s="2"/>
      <c r="H986" s="1"/>
      <c r="I986" s="2"/>
    </row>
    <row r="987" spans="5:9" ht="12.5" customHeight="1" x14ac:dyDescent="0.25">
      <c r="E987" s="1"/>
      <c r="F987" s="2"/>
      <c r="H987" s="1"/>
      <c r="I987" s="2"/>
    </row>
    <row r="988" spans="5:9" ht="12.5" customHeight="1" x14ac:dyDescent="0.25">
      <c r="E988" s="1"/>
      <c r="F988" s="2"/>
      <c r="H988" s="1"/>
      <c r="I988" s="2"/>
    </row>
    <row r="989" spans="5:9" ht="12.5" customHeight="1" x14ac:dyDescent="0.25">
      <c r="E989" s="1"/>
      <c r="F989" s="2"/>
      <c r="H989" s="1"/>
      <c r="I989" s="2"/>
    </row>
    <row r="990" spans="5:9" ht="12.5" customHeight="1" x14ac:dyDescent="0.25">
      <c r="E990" s="1"/>
      <c r="F990" s="2"/>
      <c r="H990" s="1"/>
      <c r="I990" s="2"/>
    </row>
    <row r="991" spans="5:9" ht="12.5" customHeight="1" x14ac:dyDescent="0.25">
      <c r="E991" s="1"/>
      <c r="F991" s="2"/>
      <c r="H991" s="1"/>
      <c r="I991" s="2"/>
    </row>
    <row r="992" spans="5:9" ht="12.5" customHeight="1" x14ac:dyDescent="0.25">
      <c r="E992" s="1"/>
      <c r="F992" s="2"/>
      <c r="H992" s="1"/>
      <c r="I992" s="2"/>
    </row>
    <row r="993" spans="5:9" ht="12.5" customHeight="1" x14ac:dyDescent="0.25">
      <c r="E993" s="1"/>
      <c r="F993" s="2"/>
      <c r="H993" s="1"/>
      <c r="I993" s="2"/>
    </row>
    <row r="994" spans="5:9" ht="12.5" customHeight="1" x14ac:dyDescent="0.25">
      <c r="E994" s="1"/>
      <c r="F994" s="2"/>
      <c r="H994" s="1"/>
      <c r="I994" s="2"/>
    </row>
    <row r="995" spans="5:9" ht="12.5" customHeight="1" x14ac:dyDescent="0.25">
      <c r="E995" s="1"/>
      <c r="F995" s="2"/>
      <c r="H995" s="1"/>
      <c r="I995" s="2"/>
    </row>
    <row r="996" spans="5:9" ht="12.5" customHeight="1" x14ac:dyDescent="0.25">
      <c r="E996" s="1"/>
      <c r="F996" s="2"/>
      <c r="H996" s="1"/>
      <c r="I996" s="2"/>
    </row>
    <row r="997" spans="5:9" ht="12.5" customHeight="1" x14ac:dyDescent="0.25">
      <c r="E997" s="1"/>
      <c r="F997" s="2"/>
      <c r="H997" s="1"/>
      <c r="I997" s="2"/>
    </row>
    <row r="998" spans="5:9" ht="12.5" customHeight="1" x14ac:dyDescent="0.25">
      <c r="E998" s="1"/>
      <c r="F998" s="2"/>
      <c r="H998" s="1"/>
      <c r="I998" s="2"/>
    </row>
    <row r="999" spans="5:9" ht="12.5" customHeight="1" x14ac:dyDescent="0.25">
      <c r="E999" s="1"/>
      <c r="F999" s="2"/>
      <c r="H999" s="1"/>
      <c r="I999" s="2"/>
    </row>
    <row r="1000" spans="5:9" ht="12.5" customHeight="1" x14ac:dyDescent="0.25">
      <c r="E1000" s="1"/>
      <c r="F1000" s="2"/>
      <c r="H1000" s="1"/>
      <c r="I1000" s="2"/>
    </row>
    <row r="1001" spans="5:9" ht="12.5" customHeight="1" x14ac:dyDescent="0.25">
      <c r="E1001" s="1"/>
      <c r="F1001" s="2"/>
      <c r="H1001" s="1"/>
      <c r="I1001" s="2"/>
    </row>
    <row r="1002" spans="5:9" ht="12.5" customHeight="1" x14ac:dyDescent="0.25">
      <c r="E1002" s="1"/>
      <c r="F1002" s="2"/>
      <c r="H1002" s="1"/>
      <c r="I1002" s="2"/>
    </row>
    <row r="1003" spans="5:9" ht="12.5" customHeight="1" x14ac:dyDescent="0.25">
      <c r="E1003" s="1"/>
      <c r="F1003" s="2"/>
      <c r="H1003" s="1"/>
      <c r="I1003" s="2"/>
    </row>
    <row r="1004" spans="5:9" ht="12.5" customHeight="1" x14ac:dyDescent="0.25">
      <c r="E1004" s="1"/>
      <c r="F1004" s="2"/>
      <c r="H1004" s="1"/>
      <c r="I1004" s="2"/>
    </row>
    <row r="1005" spans="5:9" ht="12.5" customHeight="1" x14ac:dyDescent="0.25">
      <c r="E1005" s="1"/>
      <c r="F1005" s="2"/>
      <c r="H1005" s="1"/>
      <c r="I1005" s="2"/>
    </row>
    <row r="1006" spans="5:9" ht="12.5" customHeight="1" x14ac:dyDescent="0.25">
      <c r="E1006" s="1"/>
      <c r="F1006" s="2"/>
      <c r="H1006" s="1"/>
      <c r="I1006" s="2"/>
    </row>
    <row r="1007" spans="5:9" ht="12.5" customHeight="1" x14ac:dyDescent="0.25">
      <c r="E1007" s="1"/>
      <c r="F1007" s="2"/>
      <c r="H1007" s="1"/>
      <c r="I1007" s="2"/>
    </row>
    <row r="1008" spans="5:9" ht="12.5" customHeight="1" x14ac:dyDescent="0.25">
      <c r="E1008" s="1"/>
      <c r="F1008" s="2"/>
      <c r="H1008" s="1"/>
      <c r="I1008" s="2"/>
    </row>
    <row r="1009" spans="5:9" ht="12.5" customHeight="1" x14ac:dyDescent="0.25">
      <c r="E1009" s="1"/>
      <c r="F1009" s="2"/>
      <c r="H1009" s="1"/>
      <c r="I1009" s="2"/>
    </row>
    <row r="1010" spans="5:9" ht="12.5" customHeight="1" x14ac:dyDescent="0.25">
      <c r="E1010" s="1"/>
      <c r="F1010" s="2"/>
      <c r="H1010" s="1"/>
      <c r="I1010" s="2"/>
    </row>
    <row r="1011" spans="5:9" ht="12.5" customHeight="1" x14ac:dyDescent="0.25">
      <c r="E1011" s="1"/>
      <c r="F1011" s="2"/>
      <c r="H1011" s="1"/>
      <c r="I1011" s="2"/>
    </row>
    <row r="1012" spans="5:9" ht="12.5" customHeight="1" x14ac:dyDescent="0.25">
      <c r="E1012" s="1"/>
      <c r="F1012" s="2"/>
      <c r="H1012" s="1"/>
      <c r="I1012" s="2"/>
    </row>
    <row r="1013" spans="5:9" ht="12.5" customHeight="1" x14ac:dyDescent="0.25">
      <c r="E1013" s="1"/>
      <c r="F1013" s="2"/>
      <c r="H1013" s="1"/>
      <c r="I1013" s="2"/>
    </row>
    <row r="1014" spans="5:9" ht="12.5" customHeight="1" x14ac:dyDescent="0.25">
      <c r="E1014" s="1"/>
      <c r="F1014" s="2"/>
      <c r="H1014" s="1"/>
      <c r="I1014" s="2"/>
    </row>
    <row r="1015" spans="5:9" ht="12.5" customHeight="1" x14ac:dyDescent="0.25">
      <c r="E1015" s="1"/>
      <c r="F1015" s="2"/>
      <c r="H1015" s="1"/>
      <c r="I1015" s="2"/>
    </row>
    <row r="1016" spans="5:9" ht="12.5" customHeight="1" x14ac:dyDescent="0.25">
      <c r="E1016" s="1"/>
      <c r="F1016" s="2"/>
      <c r="H1016" s="1"/>
      <c r="I1016" s="2"/>
    </row>
    <row r="1017" spans="5:9" ht="12.5" customHeight="1" x14ac:dyDescent="0.25">
      <c r="E1017" s="1"/>
      <c r="F1017" s="2"/>
      <c r="H1017" s="1"/>
      <c r="I1017" s="2"/>
    </row>
    <row r="1018" spans="5:9" ht="12.5" customHeight="1" x14ac:dyDescent="0.25">
      <c r="E1018" s="1"/>
      <c r="F1018" s="2"/>
      <c r="H1018" s="1"/>
      <c r="I1018" s="2"/>
    </row>
    <row r="1019" spans="5:9" ht="12.5" customHeight="1" x14ac:dyDescent="0.25">
      <c r="E1019" s="1"/>
      <c r="F1019" s="2"/>
      <c r="H1019" s="1"/>
      <c r="I1019" s="2"/>
    </row>
    <row r="1020" spans="5:9" ht="12.5" customHeight="1" x14ac:dyDescent="0.25">
      <c r="E1020" s="1"/>
      <c r="F1020" s="2"/>
      <c r="H1020" s="1"/>
      <c r="I1020" s="2"/>
    </row>
    <row r="1021" spans="5:9" ht="12.5" customHeight="1" x14ac:dyDescent="0.25">
      <c r="E1021" s="1"/>
      <c r="F1021" s="2"/>
      <c r="H1021" s="1"/>
      <c r="I1021" s="2"/>
    </row>
    <row r="1022" spans="5:9" ht="12.5" customHeight="1" x14ac:dyDescent="0.25">
      <c r="E1022" s="1"/>
      <c r="F1022" s="2"/>
      <c r="H1022" s="1"/>
      <c r="I1022" s="2"/>
    </row>
    <row r="1023" spans="5:9" ht="12.5" customHeight="1" x14ac:dyDescent="0.25">
      <c r="E1023" s="1"/>
      <c r="F1023" s="2"/>
      <c r="H1023" s="1"/>
      <c r="I1023" s="2"/>
    </row>
    <row r="1024" spans="5:9" ht="12.5" customHeight="1" x14ac:dyDescent="0.25">
      <c r="E1024" s="1"/>
      <c r="F1024" s="2"/>
      <c r="H1024" s="1"/>
      <c r="I1024" s="2"/>
    </row>
    <row r="1025" spans="5:9" ht="12.5" customHeight="1" x14ac:dyDescent="0.25">
      <c r="E1025" s="1"/>
      <c r="F1025" s="2"/>
      <c r="H1025" s="1"/>
      <c r="I1025" s="2"/>
    </row>
    <row r="1026" spans="5:9" ht="12.5" customHeight="1" x14ac:dyDescent="0.25">
      <c r="E1026" s="1"/>
      <c r="F1026" s="2"/>
      <c r="H1026" s="1"/>
      <c r="I1026" s="2"/>
    </row>
    <row r="1027" spans="5:9" ht="12.5" customHeight="1" x14ac:dyDescent="0.25">
      <c r="E1027" s="1"/>
      <c r="F1027" s="2"/>
      <c r="H1027" s="1"/>
      <c r="I1027" s="2"/>
    </row>
    <row r="1028" spans="5:9" ht="12.5" customHeight="1" x14ac:dyDescent="0.25">
      <c r="E1028" s="1"/>
      <c r="F1028" s="2"/>
      <c r="H1028" s="1"/>
      <c r="I1028" s="2"/>
    </row>
    <row r="1029" spans="5:9" ht="12.5" customHeight="1" x14ac:dyDescent="0.25">
      <c r="E1029" s="1"/>
      <c r="F1029" s="2"/>
      <c r="H1029" s="1"/>
      <c r="I1029" s="2"/>
    </row>
    <row r="1030" spans="5:9" ht="12.5" customHeight="1" x14ac:dyDescent="0.25">
      <c r="E1030" s="1"/>
      <c r="F1030" s="2"/>
      <c r="H1030" s="1"/>
      <c r="I1030" s="2"/>
    </row>
    <row r="1031" spans="5:9" ht="12.5" customHeight="1" x14ac:dyDescent="0.25">
      <c r="E1031" s="1"/>
      <c r="F1031" s="2"/>
      <c r="H1031" s="1"/>
      <c r="I1031" s="2"/>
    </row>
    <row r="1032" spans="5:9" ht="12.5" customHeight="1" x14ac:dyDescent="0.25">
      <c r="E1032" s="1"/>
      <c r="F1032" s="2"/>
      <c r="H1032" s="1"/>
      <c r="I1032" s="2"/>
    </row>
    <row r="1033" spans="5:9" ht="12.5" customHeight="1" x14ac:dyDescent="0.25">
      <c r="E1033" s="1"/>
      <c r="F1033" s="2"/>
      <c r="H1033" s="1"/>
      <c r="I1033" s="2"/>
    </row>
    <row r="1034" spans="5:9" ht="12.5" customHeight="1" x14ac:dyDescent="0.25">
      <c r="E1034" s="1"/>
      <c r="F1034" s="2"/>
      <c r="H1034" s="1"/>
      <c r="I1034" s="2"/>
    </row>
    <row r="1035" spans="5:9" ht="12.5" customHeight="1" x14ac:dyDescent="0.25">
      <c r="E1035" s="1"/>
      <c r="F1035" s="2"/>
      <c r="H1035" s="1"/>
      <c r="I1035" s="2"/>
    </row>
    <row r="1036" spans="5:9" ht="12.5" customHeight="1" x14ac:dyDescent="0.25">
      <c r="E1036" s="1"/>
      <c r="F1036" s="2"/>
      <c r="H1036" s="1"/>
      <c r="I1036" s="2"/>
    </row>
    <row r="1037" spans="5:9" ht="12.5" customHeight="1" x14ac:dyDescent="0.25">
      <c r="E1037" s="1"/>
      <c r="F1037" s="2"/>
      <c r="H1037" s="1"/>
      <c r="I1037" s="2"/>
    </row>
    <row r="1038" spans="5:9" ht="12.5" customHeight="1" x14ac:dyDescent="0.25">
      <c r="E1038" s="1"/>
      <c r="F1038" s="2"/>
      <c r="H1038" s="1"/>
      <c r="I1038" s="2"/>
    </row>
    <row r="1039" spans="5:9" ht="12.5" customHeight="1" x14ac:dyDescent="0.25">
      <c r="E1039" s="1"/>
      <c r="F1039" s="2"/>
      <c r="H1039" s="1"/>
      <c r="I1039" s="2"/>
    </row>
    <row r="1040" spans="5:9" ht="12.5" customHeight="1" x14ac:dyDescent="0.25">
      <c r="E1040" s="1"/>
      <c r="F1040" s="2"/>
      <c r="H1040" s="1"/>
      <c r="I1040" s="2"/>
    </row>
    <row r="1041" spans="5:9" ht="12.5" customHeight="1" x14ac:dyDescent="0.25">
      <c r="E1041" s="1"/>
      <c r="F1041" s="2"/>
      <c r="H1041" s="1"/>
      <c r="I1041" s="2"/>
    </row>
    <row r="1042" spans="5:9" ht="12.5" customHeight="1" x14ac:dyDescent="0.25">
      <c r="E1042" s="1"/>
      <c r="F1042" s="2"/>
      <c r="H1042" s="1"/>
      <c r="I1042" s="2"/>
    </row>
    <row r="1043" spans="5:9" ht="12.5" customHeight="1" x14ac:dyDescent="0.25">
      <c r="E1043" s="1"/>
      <c r="F1043" s="2"/>
      <c r="H1043" s="1"/>
      <c r="I1043" s="2"/>
    </row>
    <row r="1044" spans="5:9" ht="12.5" customHeight="1" x14ac:dyDescent="0.25">
      <c r="E1044" s="1"/>
      <c r="F1044" s="2"/>
      <c r="H1044" s="1"/>
      <c r="I1044" s="2"/>
    </row>
    <row r="1045" spans="5:9" ht="12.5" customHeight="1" x14ac:dyDescent="0.25">
      <c r="E1045" s="1"/>
      <c r="F1045" s="2"/>
      <c r="H1045" s="1"/>
      <c r="I1045" s="2"/>
    </row>
    <row r="1046" spans="5:9" ht="12.5" customHeight="1" x14ac:dyDescent="0.25">
      <c r="E1046" s="1"/>
      <c r="F1046" s="2"/>
      <c r="H1046" s="1"/>
      <c r="I1046" s="2"/>
    </row>
    <row r="1047" spans="5:9" ht="12.5" customHeight="1" x14ac:dyDescent="0.25">
      <c r="E1047" s="1"/>
      <c r="F1047" s="2"/>
      <c r="H1047" s="1"/>
      <c r="I1047" s="2"/>
    </row>
    <row r="1048" spans="5:9" ht="12.5" customHeight="1" x14ac:dyDescent="0.25">
      <c r="E1048" s="1"/>
      <c r="F1048" s="2"/>
      <c r="H1048" s="1"/>
      <c r="I1048" s="2"/>
    </row>
    <row r="1049" spans="5:9" ht="12.5" customHeight="1" x14ac:dyDescent="0.25">
      <c r="E1049" s="1"/>
      <c r="F1049" s="2"/>
      <c r="H1049" s="1"/>
      <c r="I1049" s="2"/>
    </row>
    <row r="1050" spans="5:9" ht="12.5" customHeight="1" x14ac:dyDescent="0.25">
      <c r="E1050" s="1"/>
      <c r="F1050" s="2"/>
      <c r="H1050" s="1"/>
      <c r="I1050" s="2"/>
    </row>
    <row r="1051" spans="5:9" ht="12.5" customHeight="1" x14ac:dyDescent="0.25">
      <c r="E1051" s="1"/>
      <c r="F1051" s="2"/>
      <c r="H1051" s="1"/>
      <c r="I1051" s="2"/>
    </row>
    <row r="1052" spans="5:9" ht="12.5" customHeight="1" x14ac:dyDescent="0.25">
      <c r="E1052" s="1"/>
      <c r="F1052" s="2"/>
      <c r="H1052" s="1"/>
      <c r="I1052" s="2"/>
    </row>
    <row r="1053" spans="5:9" ht="12.5" customHeight="1" x14ac:dyDescent="0.25">
      <c r="E1053" s="1"/>
      <c r="F1053" s="2"/>
      <c r="H1053" s="1"/>
      <c r="I1053" s="2"/>
    </row>
    <row r="1054" spans="5:9" ht="12.5" customHeight="1" x14ac:dyDescent="0.25">
      <c r="E1054" s="1"/>
      <c r="F1054" s="2"/>
      <c r="H1054" s="1"/>
      <c r="I1054" s="2"/>
    </row>
    <row r="1055" spans="5:9" ht="12.5" customHeight="1" x14ac:dyDescent="0.25">
      <c r="E1055" s="1"/>
      <c r="F1055" s="2"/>
      <c r="H1055" s="1"/>
      <c r="I1055" s="2"/>
    </row>
    <row r="1056" spans="5:9" ht="12.5" customHeight="1" x14ac:dyDescent="0.25">
      <c r="E1056" s="1"/>
      <c r="F1056" s="2"/>
      <c r="H1056" s="1"/>
      <c r="I1056" s="2"/>
    </row>
    <row r="1057" spans="5:9" ht="12.5" customHeight="1" x14ac:dyDescent="0.25">
      <c r="E1057" s="1"/>
      <c r="F1057" s="2"/>
      <c r="H1057" s="1"/>
      <c r="I1057" s="2"/>
    </row>
    <row r="1058" spans="5:9" ht="12.5" customHeight="1" x14ac:dyDescent="0.25">
      <c r="E1058" s="1"/>
      <c r="F1058" s="2"/>
      <c r="H1058" s="1"/>
      <c r="I1058" s="2"/>
    </row>
    <row r="1059" spans="5:9" ht="12.5" customHeight="1" x14ac:dyDescent="0.25">
      <c r="E1059" s="1"/>
      <c r="F1059" s="2"/>
      <c r="H1059" s="1"/>
      <c r="I1059" s="2"/>
    </row>
    <row r="1060" spans="5:9" ht="12.5" customHeight="1" x14ac:dyDescent="0.25">
      <c r="E1060" s="1"/>
      <c r="F1060" s="2"/>
      <c r="H1060" s="1"/>
      <c r="I1060" s="2"/>
    </row>
    <row r="1061" spans="5:9" ht="12.5" customHeight="1" x14ac:dyDescent="0.25">
      <c r="E1061" s="1"/>
      <c r="F1061" s="2"/>
      <c r="H1061" s="1"/>
      <c r="I1061" s="2"/>
    </row>
    <row r="1062" spans="5:9" ht="12.5" customHeight="1" x14ac:dyDescent="0.25">
      <c r="E1062" s="1"/>
      <c r="F1062" s="2"/>
      <c r="H1062" s="1"/>
      <c r="I1062" s="2"/>
    </row>
    <row r="1063" spans="5:9" ht="12.5" customHeight="1" x14ac:dyDescent="0.25">
      <c r="E1063" s="1"/>
      <c r="F1063" s="2"/>
      <c r="H1063" s="1"/>
      <c r="I1063" s="2"/>
    </row>
    <row r="1064" spans="5:9" ht="12.5" customHeight="1" x14ac:dyDescent="0.25">
      <c r="E1064" s="1"/>
      <c r="F1064" s="2"/>
      <c r="H1064" s="1"/>
      <c r="I1064" s="2"/>
    </row>
    <row r="1065" spans="5:9" ht="12.5" customHeight="1" x14ac:dyDescent="0.25">
      <c r="E1065" s="1"/>
      <c r="F1065" s="2"/>
      <c r="H1065" s="1"/>
      <c r="I1065" s="2"/>
    </row>
    <row r="1066" spans="5:9" ht="12.5" customHeight="1" x14ac:dyDescent="0.25">
      <c r="E1066" s="1"/>
      <c r="F1066" s="2"/>
      <c r="H1066" s="1"/>
      <c r="I1066" s="2"/>
    </row>
    <row r="1067" spans="5:9" ht="12.5" customHeight="1" x14ac:dyDescent="0.25">
      <c r="E1067" s="1"/>
      <c r="F1067" s="2"/>
      <c r="H1067" s="1"/>
      <c r="I1067" s="2"/>
    </row>
    <row r="1068" spans="5:9" ht="12.5" customHeight="1" x14ac:dyDescent="0.25">
      <c r="E1068" s="1"/>
      <c r="F1068" s="2"/>
      <c r="H1068" s="1"/>
      <c r="I1068" s="2"/>
    </row>
    <row r="1069" spans="5:9" ht="12.5" customHeight="1" x14ac:dyDescent="0.25">
      <c r="E1069" s="1"/>
      <c r="F1069" s="2"/>
      <c r="H1069" s="1"/>
      <c r="I1069" s="2"/>
    </row>
    <row r="1070" spans="5:9" ht="12.5" customHeight="1" x14ac:dyDescent="0.25">
      <c r="E1070" s="1"/>
      <c r="F1070" s="2"/>
      <c r="H1070" s="1"/>
      <c r="I1070" s="2"/>
    </row>
    <row r="1071" spans="5:9" ht="12.5" customHeight="1" x14ac:dyDescent="0.25">
      <c r="E1071" s="1"/>
      <c r="F1071" s="2"/>
      <c r="H1071" s="1"/>
      <c r="I1071" s="2"/>
    </row>
    <row r="1072" spans="5:9" ht="12.5" customHeight="1" x14ac:dyDescent="0.25">
      <c r="E1072" s="1"/>
      <c r="F1072" s="2"/>
      <c r="H1072" s="1"/>
      <c r="I1072" s="2"/>
    </row>
    <row r="1073" spans="5:9" ht="12.5" customHeight="1" x14ac:dyDescent="0.25">
      <c r="E1073" s="1"/>
      <c r="F1073" s="2"/>
      <c r="H1073" s="1"/>
      <c r="I1073" s="2"/>
    </row>
    <row r="1074" spans="5:9" ht="12.5" customHeight="1" x14ac:dyDescent="0.25">
      <c r="E1074" s="1"/>
      <c r="F1074" s="2"/>
      <c r="H1074" s="1"/>
      <c r="I1074" s="2"/>
    </row>
    <row r="1075" spans="5:9" ht="12.5" customHeight="1" x14ac:dyDescent="0.25">
      <c r="E1075" s="1"/>
      <c r="F1075" s="2"/>
      <c r="H1075" s="1"/>
      <c r="I1075" s="2"/>
    </row>
    <row r="1076" spans="5:9" ht="12.5" customHeight="1" x14ac:dyDescent="0.25">
      <c r="E1076" s="1"/>
      <c r="F1076" s="2"/>
      <c r="H1076" s="1"/>
      <c r="I1076" s="2"/>
    </row>
    <row r="1077" spans="5:9" ht="12.5" customHeight="1" x14ac:dyDescent="0.25">
      <c r="E1077" s="1"/>
      <c r="F1077" s="2"/>
      <c r="H1077" s="1"/>
      <c r="I1077" s="2"/>
    </row>
    <row r="1078" spans="5:9" ht="12.5" customHeight="1" x14ac:dyDescent="0.25">
      <c r="E1078" s="1"/>
      <c r="F1078" s="2"/>
      <c r="H1078" s="1"/>
      <c r="I1078" s="2"/>
    </row>
    <row r="1079" spans="5:9" ht="12.5" customHeight="1" x14ac:dyDescent="0.25">
      <c r="E1079" s="1"/>
      <c r="F1079" s="2"/>
      <c r="H1079" s="1"/>
      <c r="I1079" s="2"/>
    </row>
    <row r="1080" spans="5:9" ht="12.5" customHeight="1" x14ac:dyDescent="0.25">
      <c r="E1080" s="1"/>
      <c r="F1080" s="2"/>
      <c r="H1080" s="1"/>
      <c r="I1080" s="2"/>
    </row>
    <row r="1081" spans="5:9" ht="12.5" customHeight="1" x14ac:dyDescent="0.25">
      <c r="E1081" s="1"/>
      <c r="F1081" s="2"/>
      <c r="H1081" s="1"/>
      <c r="I1081" s="2"/>
    </row>
    <row r="1082" spans="5:9" ht="12.5" customHeight="1" x14ac:dyDescent="0.25">
      <c r="E1082" s="1"/>
      <c r="F1082" s="2"/>
      <c r="H1082" s="1"/>
      <c r="I1082" s="2"/>
    </row>
    <row r="1083" spans="5:9" ht="12.5" customHeight="1" x14ac:dyDescent="0.25">
      <c r="E1083" s="1"/>
      <c r="F1083" s="2"/>
      <c r="H1083" s="1"/>
      <c r="I1083" s="2"/>
    </row>
    <row r="1084" spans="5:9" ht="12.5" customHeight="1" x14ac:dyDescent="0.25">
      <c r="E1084" s="1"/>
      <c r="F1084" s="2"/>
      <c r="H1084" s="1"/>
      <c r="I1084" s="2"/>
    </row>
    <row r="1085" spans="5:9" ht="12.5" customHeight="1" x14ac:dyDescent="0.25">
      <c r="E1085" s="1"/>
      <c r="F1085" s="2"/>
      <c r="H1085" s="1"/>
      <c r="I1085" s="2"/>
    </row>
    <row r="1086" spans="5:9" ht="12.5" customHeight="1" x14ac:dyDescent="0.25">
      <c r="E1086" s="1"/>
      <c r="F1086" s="2"/>
      <c r="H1086" s="1"/>
      <c r="I1086" s="2"/>
    </row>
    <row r="1087" spans="5:9" ht="12.5" customHeight="1" x14ac:dyDescent="0.25">
      <c r="E1087" s="1"/>
      <c r="F1087" s="2"/>
      <c r="H1087" s="1"/>
      <c r="I1087" s="2"/>
    </row>
    <row r="1088" spans="5:9" ht="12.5" customHeight="1" x14ac:dyDescent="0.25">
      <c r="E1088" s="1"/>
      <c r="F1088" s="2"/>
      <c r="H1088" s="1"/>
      <c r="I1088" s="2"/>
    </row>
    <row r="1089" spans="5:9" ht="12.5" customHeight="1" x14ac:dyDescent="0.25">
      <c r="E1089" s="1"/>
      <c r="F1089" s="2"/>
      <c r="H1089" s="1"/>
      <c r="I1089" s="2"/>
    </row>
    <row r="1090" spans="5:9" ht="12.5" customHeight="1" x14ac:dyDescent="0.25">
      <c r="E1090" s="1"/>
      <c r="F1090" s="2"/>
      <c r="H1090" s="1"/>
      <c r="I1090" s="2"/>
    </row>
    <row r="1091" spans="5:9" ht="12.5" customHeight="1" x14ac:dyDescent="0.25">
      <c r="E1091" s="1"/>
      <c r="F1091" s="2"/>
      <c r="H1091" s="1"/>
      <c r="I1091" s="2"/>
    </row>
    <row r="1092" spans="5:9" ht="12.5" customHeight="1" x14ac:dyDescent="0.25">
      <c r="E1092" s="1"/>
      <c r="F1092" s="2"/>
      <c r="H1092" s="1"/>
      <c r="I1092" s="2"/>
    </row>
    <row r="1093" spans="5:9" ht="12.5" customHeight="1" x14ac:dyDescent="0.25">
      <c r="E1093" s="1"/>
      <c r="F1093" s="2"/>
      <c r="H1093" s="1"/>
      <c r="I1093" s="2"/>
    </row>
    <row r="1094" spans="5:9" ht="12.5" customHeight="1" x14ac:dyDescent="0.25">
      <c r="E1094" s="1"/>
      <c r="F1094" s="2"/>
      <c r="H1094" s="1"/>
      <c r="I1094" s="2"/>
    </row>
    <row r="1095" spans="5:9" ht="12.5" customHeight="1" x14ac:dyDescent="0.25">
      <c r="E1095" s="1"/>
      <c r="F1095" s="2"/>
      <c r="H1095" s="1"/>
      <c r="I1095" s="2"/>
    </row>
    <row r="1096" spans="5:9" ht="12.5" customHeight="1" x14ac:dyDescent="0.25">
      <c r="E1096" s="1"/>
      <c r="F1096" s="2"/>
      <c r="H1096" s="1"/>
      <c r="I1096" s="2"/>
    </row>
    <row r="1097" spans="5:9" ht="12.5" customHeight="1" x14ac:dyDescent="0.25">
      <c r="E1097" s="1"/>
      <c r="F1097" s="2"/>
      <c r="H1097" s="1"/>
      <c r="I1097" s="2"/>
    </row>
    <row r="1098" spans="5:9" ht="12.5" customHeight="1" x14ac:dyDescent="0.25">
      <c r="E1098" s="1"/>
      <c r="F1098" s="2"/>
      <c r="H1098" s="1"/>
      <c r="I1098" s="2"/>
    </row>
    <row r="1099" spans="5:9" ht="12.5" customHeight="1" x14ac:dyDescent="0.25">
      <c r="E1099" s="1"/>
      <c r="F1099" s="2"/>
      <c r="H1099" s="1"/>
      <c r="I1099" s="2"/>
    </row>
    <row r="1100" spans="5:9" ht="12.5" customHeight="1" x14ac:dyDescent="0.25">
      <c r="E1100" s="1"/>
      <c r="F1100" s="2"/>
      <c r="H1100" s="1"/>
      <c r="I1100" s="2"/>
    </row>
    <row r="1101" spans="5:9" ht="12.5" customHeight="1" x14ac:dyDescent="0.25">
      <c r="E1101" s="1"/>
      <c r="F1101" s="2"/>
      <c r="H1101" s="1"/>
      <c r="I1101" s="2"/>
    </row>
    <row r="1102" spans="5:9" ht="12.5" customHeight="1" x14ac:dyDescent="0.25">
      <c r="E1102" s="1"/>
      <c r="F1102" s="2"/>
      <c r="H1102" s="1"/>
      <c r="I1102" s="2"/>
    </row>
    <row r="1103" spans="5:9" ht="12.5" customHeight="1" x14ac:dyDescent="0.25">
      <c r="E1103" s="1"/>
      <c r="F1103" s="2"/>
      <c r="H1103" s="1"/>
      <c r="I1103" s="2"/>
    </row>
    <row r="1104" spans="5:9" ht="12.5" customHeight="1" x14ac:dyDescent="0.25">
      <c r="E1104" s="1"/>
      <c r="F1104" s="2"/>
      <c r="H1104" s="1"/>
      <c r="I1104" s="2"/>
    </row>
    <row r="1105" spans="5:9" ht="12.5" customHeight="1" x14ac:dyDescent="0.25">
      <c r="E1105" s="1"/>
      <c r="F1105" s="2"/>
      <c r="H1105" s="1"/>
      <c r="I1105" s="2"/>
    </row>
    <row r="1106" spans="5:9" ht="12.5" customHeight="1" x14ac:dyDescent="0.25">
      <c r="E1106" s="1"/>
      <c r="F1106" s="2"/>
      <c r="H1106" s="1"/>
      <c r="I1106" s="2"/>
    </row>
    <row r="1107" spans="5:9" ht="12.5" customHeight="1" x14ac:dyDescent="0.25">
      <c r="E1107" s="1"/>
      <c r="F1107" s="2"/>
      <c r="H1107" s="1"/>
      <c r="I1107" s="2"/>
    </row>
    <row r="1108" spans="5:9" ht="12.5" customHeight="1" x14ac:dyDescent="0.25">
      <c r="E1108" s="1"/>
      <c r="F1108" s="2"/>
      <c r="H1108" s="1"/>
      <c r="I1108" s="2"/>
    </row>
    <row r="1109" spans="5:9" ht="12.5" customHeight="1" x14ac:dyDescent="0.25">
      <c r="E1109" s="1"/>
      <c r="F1109" s="2"/>
      <c r="H1109" s="1"/>
      <c r="I1109" s="2"/>
    </row>
    <row r="1110" spans="5:9" ht="12.5" customHeight="1" x14ac:dyDescent="0.25">
      <c r="E1110" s="1"/>
      <c r="F1110" s="2"/>
      <c r="H1110" s="1"/>
      <c r="I1110" s="2"/>
    </row>
    <row r="1111" spans="5:9" ht="12.5" customHeight="1" x14ac:dyDescent="0.25">
      <c r="E1111" s="1"/>
      <c r="F1111" s="2"/>
      <c r="H1111" s="1"/>
      <c r="I1111" s="2"/>
    </row>
    <row r="1112" spans="5:9" ht="12.5" customHeight="1" x14ac:dyDescent="0.25">
      <c r="E1112" s="1"/>
      <c r="F1112" s="2"/>
      <c r="H1112" s="1"/>
      <c r="I1112" s="2"/>
    </row>
    <row r="1113" spans="5:9" ht="12.5" customHeight="1" x14ac:dyDescent="0.25">
      <c r="E1113" s="1"/>
      <c r="F1113" s="2"/>
      <c r="H1113" s="1"/>
      <c r="I1113" s="2"/>
    </row>
    <row r="1114" spans="5:9" ht="12.5" customHeight="1" x14ac:dyDescent="0.25">
      <c r="E1114" s="1"/>
      <c r="F1114" s="2"/>
      <c r="H1114" s="1"/>
      <c r="I1114" s="2"/>
    </row>
    <row r="1115" spans="5:9" ht="12.5" customHeight="1" x14ac:dyDescent="0.25">
      <c r="E1115" s="1"/>
      <c r="F1115" s="2"/>
      <c r="H1115" s="1"/>
      <c r="I1115" s="2"/>
    </row>
    <row r="1116" spans="5:9" ht="12.5" customHeight="1" x14ac:dyDescent="0.25">
      <c r="E1116" s="1"/>
      <c r="F1116" s="2"/>
      <c r="H1116" s="1"/>
      <c r="I1116" s="2"/>
    </row>
    <row r="1117" spans="5:9" ht="12.5" customHeight="1" x14ac:dyDescent="0.25">
      <c r="E1117" s="1"/>
      <c r="F1117" s="2"/>
      <c r="H1117" s="1"/>
      <c r="I1117" s="2"/>
    </row>
    <row r="1118" spans="5:9" ht="12.5" customHeight="1" x14ac:dyDescent="0.25">
      <c r="E1118" s="1"/>
      <c r="F1118" s="2"/>
      <c r="H1118" s="1"/>
      <c r="I1118" s="2"/>
    </row>
    <row r="1119" spans="5:9" ht="12.5" customHeight="1" x14ac:dyDescent="0.25">
      <c r="E1119" s="1"/>
      <c r="F1119" s="2"/>
      <c r="H1119" s="1"/>
      <c r="I1119" s="2"/>
    </row>
    <row r="1120" spans="5:9" ht="12.5" customHeight="1" x14ac:dyDescent="0.25">
      <c r="E1120" s="1"/>
      <c r="F1120" s="2"/>
      <c r="H1120" s="1"/>
      <c r="I1120" s="2"/>
    </row>
    <row r="1121" spans="5:9" ht="12.5" customHeight="1" x14ac:dyDescent="0.25">
      <c r="E1121" s="1"/>
      <c r="F1121" s="2"/>
      <c r="H1121" s="1"/>
      <c r="I1121" s="2"/>
    </row>
    <row r="1122" spans="5:9" ht="12.5" customHeight="1" x14ac:dyDescent="0.25">
      <c r="E1122" s="1"/>
      <c r="F1122" s="2"/>
      <c r="H1122" s="1"/>
      <c r="I1122" s="2"/>
    </row>
    <row r="1123" spans="5:9" ht="12.5" customHeight="1" x14ac:dyDescent="0.25">
      <c r="E1123" s="1"/>
      <c r="F1123" s="2"/>
      <c r="H1123" s="1"/>
      <c r="I1123" s="2"/>
    </row>
    <row r="1124" spans="5:9" ht="12.5" customHeight="1" x14ac:dyDescent="0.25">
      <c r="E1124" s="1"/>
      <c r="F1124" s="2"/>
      <c r="H1124" s="1"/>
      <c r="I1124" s="2"/>
    </row>
    <row r="1125" spans="5:9" ht="12.5" customHeight="1" x14ac:dyDescent="0.25">
      <c r="E1125" s="1"/>
      <c r="F1125" s="2"/>
      <c r="H1125" s="1"/>
      <c r="I1125" s="2"/>
    </row>
    <row r="1126" spans="5:9" ht="12.5" customHeight="1" x14ac:dyDescent="0.25">
      <c r="E1126" s="1"/>
      <c r="F1126" s="2"/>
      <c r="H1126" s="1"/>
      <c r="I1126" s="2"/>
    </row>
    <row r="1127" spans="5:9" ht="12.5" customHeight="1" x14ac:dyDescent="0.25">
      <c r="E1127" s="1"/>
      <c r="F1127" s="2"/>
      <c r="H1127" s="1"/>
      <c r="I1127" s="2"/>
    </row>
    <row r="1128" spans="5:9" ht="12.5" customHeight="1" x14ac:dyDescent="0.25">
      <c r="E1128" s="1"/>
      <c r="F1128" s="2"/>
      <c r="H1128" s="1"/>
      <c r="I1128" s="2"/>
    </row>
    <row r="1129" spans="5:9" ht="12.5" customHeight="1" x14ac:dyDescent="0.25">
      <c r="E1129" s="1"/>
      <c r="F1129" s="2"/>
      <c r="H1129" s="1"/>
      <c r="I1129" s="2"/>
    </row>
    <row r="1130" spans="5:9" ht="12.5" customHeight="1" x14ac:dyDescent="0.25">
      <c r="E1130" s="1"/>
      <c r="F1130" s="2"/>
      <c r="H1130" s="1"/>
      <c r="I1130" s="2"/>
    </row>
    <row r="1131" spans="5:9" ht="12.5" customHeight="1" x14ac:dyDescent="0.25">
      <c r="E1131" s="1"/>
      <c r="F1131" s="2"/>
      <c r="H1131" s="1"/>
      <c r="I1131" s="2"/>
    </row>
    <row r="1132" spans="5:9" ht="12.5" customHeight="1" x14ac:dyDescent="0.25">
      <c r="E1132" s="1"/>
      <c r="F1132" s="2"/>
      <c r="H1132" s="1"/>
      <c r="I1132" s="2"/>
    </row>
    <row r="1133" spans="5:9" ht="12.5" customHeight="1" x14ac:dyDescent="0.25">
      <c r="E1133" s="1"/>
      <c r="F1133" s="2"/>
      <c r="H1133" s="1"/>
      <c r="I1133" s="2"/>
    </row>
    <row r="1134" spans="5:9" ht="12.5" customHeight="1" x14ac:dyDescent="0.25">
      <c r="E1134" s="1"/>
      <c r="F1134" s="2"/>
      <c r="H1134" s="1"/>
      <c r="I1134" s="2"/>
    </row>
    <row r="1135" spans="5:9" ht="12.5" customHeight="1" x14ac:dyDescent="0.25">
      <c r="E1135" s="1"/>
      <c r="F1135" s="2"/>
      <c r="H1135" s="1"/>
      <c r="I1135" s="2"/>
    </row>
    <row r="1136" spans="5:9" ht="12.5" customHeight="1" x14ac:dyDescent="0.25">
      <c r="E1136" s="1"/>
      <c r="F1136" s="2"/>
      <c r="H1136" s="1"/>
      <c r="I1136" s="2"/>
    </row>
    <row r="1137" spans="5:9" ht="12.5" customHeight="1" x14ac:dyDescent="0.25">
      <c r="E1137" s="1"/>
      <c r="F1137" s="2"/>
      <c r="H1137" s="1"/>
      <c r="I1137" s="2"/>
    </row>
    <row r="1138" spans="5:9" ht="12.5" customHeight="1" x14ac:dyDescent="0.25">
      <c r="E1138" s="1"/>
      <c r="F1138" s="2"/>
      <c r="H1138" s="1"/>
      <c r="I1138" s="2"/>
    </row>
    <row r="1139" spans="5:9" ht="12.5" customHeight="1" x14ac:dyDescent="0.25">
      <c r="E1139" s="1"/>
      <c r="F1139" s="2"/>
      <c r="H1139" s="1"/>
      <c r="I1139" s="2"/>
    </row>
    <row r="1140" spans="5:9" ht="12.5" customHeight="1" x14ac:dyDescent="0.25">
      <c r="E1140" s="1"/>
      <c r="F1140" s="2"/>
      <c r="H1140" s="1"/>
      <c r="I1140" s="2"/>
    </row>
    <row r="1141" spans="5:9" ht="12.5" customHeight="1" x14ac:dyDescent="0.25">
      <c r="E1141" s="1"/>
      <c r="F1141" s="2"/>
      <c r="H1141" s="1"/>
      <c r="I1141" s="2"/>
    </row>
    <row r="1142" spans="5:9" ht="12.5" customHeight="1" x14ac:dyDescent="0.25">
      <c r="E1142" s="1"/>
      <c r="F1142" s="2"/>
      <c r="H1142" s="1"/>
      <c r="I1142" s="2"/>
    </row>
    <row r="1143" spans="5:9" ht="12.5" customHeight="1" x14ac:dyDescent="0.25">
      <c r="E1143" s="1"/>
      <c r="F1143" s="2"/>
      <c r="H1143" s="1"/>
      <c r="I1143" s="2"/>
    </row>
    <row r="1144" spans="5:9" ht="12.5" customHeight="1" x14ac:dyDescent="0.25">
      <c r="E1144" s="1"/>
      <c r="F1144" s="2"/>
      <c r="H1144" s="1"/>
      <c r="I1144" s="2"/>
    </row>
    <row r="1145" spans="5:9" ht="12.5" customHeight="1" x14ac:dyDescent="0.25">
      <c r="E1145" s="1"/>
      <c r="F1145" s="2"/>
      <c r="H1145" s="1"/>
      <c r="I1145" s="2"/>
    </row>
    <row r="1146" spans="5:9" ht="12.5" customHeight="1" x14ac:dyDescent="0.25">
      <c r="E1146" s="1"/>
      <c r="F1146" s="2"/>
      <c r="H1146" s="1"/>
      <c r="I1146" s="2"/>
    </row>
    <row r="1147" spans="5:9" ht="12.5" customHeight="1" x14ac:dyDescent="0.25">
      <c r="E1147" s="1"/>
      <c r="F1147" s="2"/>
      <c r="H1147" s="1"/>
      <c r="I1147" s="2"/>
    </row>
    <row r="1148" spans="5:9" ht="12.5" customHeight="1" x14ac:dyDescent="0.25">
      <c r="E1148" s="1"/>
      <c r="F1148" s="2"/>
      <c r="H1148" s="1"/>
      <c r="I1148" s="2"/>
    </row>
    <row r="1149" spans="5:9" ht="12.5" customHeight="1" x14ac:dyDescent="0.25">
      <c r="E1149" s="1"/>
      <c r="F1149" s="2"/>
      <c r="H1149" s="1"/>
      <c r="I1149" s="2"/>
    </row>
    <row r="1150" spans="5:9" ht="12.5" customHeight="1" x14ac:dyDescent="0.25">
      <c r="E1150" s="1"/>
      <c r="F1150" s="2"/>
      <c r="H1150" s="1"/>
      <c r="I1150" s="2"/>
    </row>
    <row r="1151" spans="5:9" ht="12.5" customHeight="1" x14ac:dyDescent="0.25">
      <c r="E1151" s="1"/>
      <c r="F1151" s="2"/>
      <c r="H1151" s="1"/>
      <c r="I1151" s="2"/>
    </row>
    <row r="1152" spans="5:9" ht="12.5" customHeight="1" x14ac:dyDescent="0.25">
      <c r="E1152" s="1"/>
      <c r="F1152" s="2"/>
      <c r="H1152" s="1"/>
      <c r="I1152" s="2"/>
    </row>
    <row r="1153" spans="5:9" ht="12.5" customHeight="1" x14ac:dyDescent="0.25">
      <c r="E1153" s="1"/>
      <c r="F1153" s="2"/>
      <c r="H1153" s="1"/>
      <c r="I1153" s="2"/>
    </row>
    <row r="1154" spans="5:9" ht="12.5" customHeight="1" x14ac:dyDescent="0.25">
      <c r="E1154" s="1"/>
      <c r="F1154" s="2"/>
      <c r="H1154" s="1"/>
      <c r="I1154" s="2"/>
    </row>
    <row r="1155" spans="5:9" ht="12.5" customHeight="1" x14ac:dyDescent="0.25">
      <c r="E1155" s="1"/>
      <c r="F1155" s="2"/>
      <c r="H1155" s="1"/>
      <c r="I1155" s="2"/>
    </row>
    <row r="1156" spans="5:9" ht="12.5" customHeight="1" x14ac:dyDescent="0.25">
      <c r="E1156" s="1"/>
      <c r="F1156" s="2"/>
      <c r="H1156" s="1"/>
      <c r="I1156" s="2"/>
    </row>
    <row r="1157" spans="5:9" ht="12.5" customHeight="1" x14ac:dyDescent="0.25">
      <c r="E1157" s="1"/>
      <c r="F1157" s="2"/>
      <c r="H1157" s="1"/>
      <c r="I1157" s="2"/>
    </row>
    <row r="1158" spans="5:9" ht="12.5" customHeight="1" x14ac:dyDescent="0.25">
      <c r="E1158" s="1"/>
      <c r="F1158" s="2"/>
      <c r="H1158" s="1"/>
      <c r="I1158" s="2"/>
    </row>
    <row r="1159" spans="5:9" ht="12.5" customHeight="1" x14ac:dyDescent="0.25">
      <c r="E1159" s="1"/>
      <c r="F1159" s="2"/>
      <c r="H1159" s="1"/>
      <c r="I1159" s="2"/>
    </row>
    <row r="1160" spans="5:9" ht="12.5" customHeight="1" x14ac:dyDescent="0.25">
      <c r="E1160" s="1"/>
      <c r="F1160" s="2"/>
      <c r="H1160" s="1"/>
      <c r="I1160" s="2"/>
    </row>
    <row r="1161" spans="5:9" ht="12.5" customHeight="1" x14ac:dyDescent="0.25">
      <c r="E1161" s="1"/>
      <c r="F1161" s="2"/>
      <c r="H1161" s="1"/>
      <c r="I1161" s="2"/>
    </row>
    <row r="1162" spans="5:9" ht="12.5" customHeight="1" x14ac:dyDescent="0.25">
      <c r="E1162" s="1"/>
      <c r="F1162" s="2"/>
      <c r="H1162" s="1"/>
      <c r="I1162" s="2"/>
    </row>
    <row r="1163" spans="5:9" ht="12.5" customHeight="1" x14ac:dyDescent="0.25">
      <c r="E1163" s="1"/>
      <c r="F1163" s="2"/>
      <c r="H1163" s="1"/>
      <c r="I1163" s="2"/>
    </row>
    <row r="1164" spans="5:9" ht="12.5" customHeight="1" x14ac:dyDescent="0.25">
      <c r="E1164" s="1"/>
      <c r="F1164" s="2"/>
      <c r="H1164" s="1"/>
      <c r="I1164" s="2"/>
    </row>
    <row r="1165" spans="5:9" ht="12.5" customHeight="1" x14ac:dyDescent="0.25">
      <c r="E1165" s="1"/>
      <c r="F1165" s="2"/>
      <c r="H1165" s="1"/>
      <c r="I1165" s="2"/>
    </row>
    <row r="1166" spans="5:9" ht="12.5" customHeight="1" x14ac:dyDescent="0.25">
      <c r="E1166" s="1"/>
      <c r="F1166" s="2"/>
      <c r="H1166" s="1"/>
      <c r="I1166" s="2"/>
    </row>
    <row r="1167" spans="5:9" ht="12.5" customHeight="1" x14ac:dyDescent="0.25">
      <c r="E1167" s="1"/>
      <c r="F1167" s="2"/>
      <c r="H1167" s="1"/>
      <c r="I1167" s="2"/>
    </row>
    <row r="1168" spans="5:9" ht="12.5" customHeight="1" x14ac:dyDescent="0.25">
      <c r="E1168" s="1"/>
      <c r="F1168" s="2"/>
      <c r="H1168" s="1"/>
      <c r="I1168" s="2"/>
    </row>
    <row r="1169" spans="5:9" ht="12.5" customHeight="1" x14ac:dyDescent="0.25">
      <c r="E1169" s="1"/>
      <c r="F1169" s="2"/>
      <c r="H1169" s="1"/>
      <c r="I1169" s="2"/>
    </row>
    <row r="1170" spans="5:9" ht="12.5" customHeight="1" x14ac:dyDescent="0.25">
      <c r="E1170" s="1"/>
      <c r="F1170" s="2"/>
      <c r="H1170" s="1"/>
      <c r="I1170" s="2"/>
    </row>
    <row r="1171" spans="5:9" ht="12.5" customHeight="1" x14ac:dyDescent="0.25">
      <c r="E1171" s="1"/>
      <c r="F1171" s="2"/>
      <c r="H1171" s="1"/>
      <c r="I1171" s="2"/>
    </row>
    <row r="1172" spans="5:9" ht="12.5" customHeight="1" x14ac:dyDescent="0.25">
      <c r="E1172" s="1"/>
      <c r="F1172" s="2"/>
      <c r="H1172" s="1"/>
      <c r="I1172" s="2"/>
    </row>
    <row r="1173" spans="5:9" ht="12.5" customHeight="1" x14ac:dyDescent="0.25">
      <c r="E1173" s="1"/>
      <c r="F1173" s="2"/>
      <c r="H1173" s="1"/>
      <c r="I1173" s="2"/>
    </row>
    <row r="1174" spans="5:9" ht="12.5" customHeight="1" x14ac:dyDescent="0.25">
      <c r="E1174" s="1"/>
      <c r="F1174" s="2"/>
      <c r="H1174" s="1"/>
      <c r="I1174" s="2"/>
    </row>
    <row r="1175" spans="5:9" ht="12.5" customHeight="1" x14ac:dyDescent="0.25">
      <c r="E1175" s="1"/>
      <c r="F1175" s="2"/>
      <c r="H1175" s="1"/>
      <c r="I1175" s="2"/>
    </row>
    <row r="1176" spans="5:9" ht="12.5" customHeight="1" x14ac:dyDescent="0.25">
      <c r="E1176" s="1"/>
      <c r="F1176" s="2"/>
      <c r="H1176" s="1"/>
      <c r="I1176" s="2"/>
    </row>
    <row r="1177" spans="5:9" ht="12.5" customHeight="1" x14ac:dyDescent="0.25">
      <c r="E1177" s="1"/>
      <c r="F1177" s="2"/>
      <c r="H1177" s="1"/>
      <c r="I1177" s="2"/>
    </row>
    <row r="1178" spans="5:9" ht="12.5" customHeight="1" x14ac:dyDescent="0.25">
      <c r="E1178" s="1"/>
      <c r="F1178" s="2"/>
      <c r="H1178" s="1"/>
      <c r="I1178" s="2"/>
    </row>
    <row r="1179" spans="5:9" ht="12.5" customHeight="1" x14ac:dyDescent="0.25">
      <c r="E1179" s="1"/>
      <c r="F1179" s="2"/>
      <c r="H1179" s="1"/>
      <c r="I1179" s="2"/>
    </row>
    <row r="1180" spans="5:9" ht="12.5" customHeight="1" x14ac:dyDescent="0.25">
      <c r="E1180" s="1"/>
      <c r="F1180" s="2"/>
      <c r="H1180" s="1"/>
      <c r="I1180" s="2"/>
    </row>
    <row r="1181" spans="5:9" ht="12.5" customHeight="1" x14ac:dyDescent="0.25">
      <c r="E1181" s="1"/>
      <c r="F1181" s="2"/>
      <c r="H1181" s="1"/>
      <c r="I1181" s="2"/>
    </row>
    <row r="1182" spans="5:9" ht="12.5" customHeight="1" x14ac:dyDescent="0.25">
      <c r="E1182" s="1"/>
      <c r="F1182" s="2"/>
      <c r="H1182" s="1"/>
      <c r="I1182" s="2"/>
    </row>
    <row r="1183" spans="5:9" ht="12.5" customHeight="1" x14ac:dyDescent="0.25">
      <c r="E1183" s="1"/>
      <c r="F1183" s="2"/>
      <c r="H1183" s="1"/>
      <c r="I1183" s="2"/>
    </row>
    <row r="1184" spans="5:9" ht="12.5" customHeight="1" x14ac:dyDescent="0.25">
      <c r="E1184" s="1"/>
      <c r="F1184" s="2"/>
      <c r="H1184" s="1"/>
      <c r="I1184" s="2"/>
    </row>
    <row r="1185" spans="5:9" ht="12.5" customHeight="1" x14ac:dyDescent="0.25">
      <c r="E1185" s="1"/>
      <c r="F1185" s="2"/>
      <c r="H1185" s="1"/>
      <c r="I1185" s="2"/>
    </row>
    <row r="1186" spans="5:9" ht="12.5" customHeight="1" x14ac:dyDescent="0.25">
      <c r="E1186" s="1"/>
      <c r="F1186" s="2"/>
      <c r="H1186" s="1"/>
      <c r="I1186" s="2"/>
    </row>
    <row r="1187" spans="5:9" ht="12.5" customHeight="1" x14ac:dyDescent="0.25">
      <c r="E1187" s="1"/>
      <c r="F1187" s="2"/>
      <c r="H1187" s="1"/>
      <c r="I1187" s="2"/>
    </row>
    <row r="1188" spans="5:9" ht="12.5" customHeight="1" x14ac:dyDescent="0.25">
      <c r="E1188" s="1"/>
      <c r="F1188" s="2"/>
      <c r="H1188" s="1"/>
      <c r="I1188" s="2"/>
    </row>
    <row r="1189" spans="5:9" ht="12.5" customHeight="1" x14ac:dyDescent="0.25">
      <c r="E1189" s="1"/>
      <c r="F1189" s="2"/>
      <c r="H1189" s="1"/>
      <c r="I1189" s="2"/>
    </row>
    <row r="1190" spans="5:9" ht="12.5" customHeight="1" x14ac:dyDescent="0.25">
      <c r="E1190" s="1"/>
      <c r="F1190" s="2"/>
      <c r="H1190" s="1"/>
      <c r="I1190" s="2"/>
    </row>
    <row r="1191" spans="5:9" ht="12.5" customHeight="1" x14ac:dyDescent="0.25">
      <c r="E1191" s="1"/>
      <c r="F1191" s="2"/>
      <c r="H1191" s="1"/>
      <c r="I1191" s="2"/>
    </row>
    <row r="1192" spans="5:9" ht="12.5" customHeight="1" x14ac:dyDescent="0.25">
      <c r="E1192" s="1"/>
      <c r="F1192" s="2"/>
      <c r="H1192" s="1"/>
      <c r="I1192" s="2"/>
    </row>
    <row r="1193" spans="5:9" ht="12.5" customHeight="1" x14ac:dyDescent="0.25">
      <c r="E1193" s="1"/>
      <c r="F1193" s="2"/>
      <c r="H1193" s="1"/>
      <c r="I1193" s="2"/>
    </row>
    <row r="1194" spans="5:9" ht="12.5" customHeight="1" x14ac:dyDescent="0.25">
      <c r="E1194" s="1"/>
      <c r="F1194" s="2"/>
      <c r="H1194" s="1"/>
      <c r="I1194" s="2"/>
    </row>
    <row r="1195" spans="5:9" ht="12.5" customHeight="1" x14ac:dyDescent="0.25">
      <c r="E1195" s="1"/>
      <c r="F1195" s="2"/>
      <c r="H1195" s="1"/>
      <c r="I1195" s="2"/>
    </row>
    <row r="1196" spans="5:9" ht="12.5" customHeight="1" x14ac:dyDescent="0.25">
      <c r="E1196" s="1"/>
      <c r="F1196" s="2"/>
      <c r="H1196" s="1"/>
      <c r="I1196" s="2"/>
    </row>
    <row r="1197" spans="5:9" ht="12.5" customHeight="1" x14ac:dyDescent="0.25">
      <c r="E1197" s="1"/>
      <c r="F1197" s="2"/>
      <c r="H1197" s="1"/>
      <c r="I1197" s="2"/>
    </row>
    <row r="1198" spans="5:9" ht="12.5" customHeight="1" x14ac:dyDescent="0.25">
      <c r="E1198" s="1"/>
      <c r="F1198" s="2"/>
      <c r="H1198" s="1"/>
      <c r="I1198" s="2"/>
    </row>
    <row r="1199" spans="5:9" ht="12.5" customHeight="1" x14ac:dyDescent="0.25">
      <c r="E1199" s="1"/>
      <c r="F1199" s="2"/>
      <c r="H1199" s="1"/>
      <c r="I1199" s="2"/>
    </row>
    <row r="1200" spans="5:9" ht="12.5" customHeight="1" x14ac:dyDescent="0.25">
      <c r="E1200" s="1"/>
      <c r="F1200" s="2"/>
      <c r="H1200" s="1"/>
      <c r="I1200" s="2"/>
    </row>
    <row r="1201" spans="5:9" ht="12.5" customHeight="1" x14ac:dyDescent="0.25">
      <c r="E1201" s="1"/>
      <c r="F1201" s="2"/>
      <c r="H1201" s="1"/>
      <c r="I1201" s="2"/>
    </row>
    <row r="1202" spans="5:9" ht="12.5" customHeight="1" x14ac:dyDescent="0.25">
      <c r="E1202" s="1"/>
      <c r="F1202" s="2"/>
      <c r="H1202" s="1"/>
      <c r="I1202" s="2"/>
    </row>
    <row r="1203" spans="5:9" ht="12.5" customHeight="1" x14ac:dyDescent="0.25">
      <c r="E1203" s="1"/>
      <c r="F1203" s="2"/>
      <c r="H1203" s="1"/>
      <c r="I1203" s="2"/>
    </row>
    <row r="1204" spans="5:9" ht="12.5" customHeight="1" x14ac:dyDescent="0.25">
      <c r="E1204" s="1"/>
      <c r="F1204" s="2"/>
      <c r="H1204" s="1"/>
      <c r="I1204" s="2"/>
    </row>
    <row r="1205" spans="5:9" ht="12.5" customHeight="1" x14ac:dyDescent="0.25">
      <c r="E1205" s="1"/>
      <c r="F1205" s="2"/>
      <c r="H1205" s="1"/>
      <c r="I1205" s="2"/>
    </row>
    <row r="1206" spans="5:9" ht="12.5" customHeight="1" x14ac:dyDescent="0.25">
      <c r="E1206" s="1"/>
      <c r="F1206" s="2"/>
      <c r="H1206" s="1"/>
      <c r="I1206" s="2"/>
    </row>
    <row r="1207" spans="5:9" ht="12.5" customHeight="1" x14ac:dyDescent="0.25">
      <c r="E1207" s="1"/>
      <c r="F1207" s="2"/>
      <c r="H1207" s="1"/>
      <c r="I1207" s="2"/>
    </row>
    <row r="1208" spans="5:9" ht="12.5" customHeight="1" x14ac:dyDescent="0.25">
      <c r="E1208" s="1"/>
      <c r="F1208" s="2"/>
      <c r="H1208" s="1"/>
      <c r="I1208" s="2"/>
    </row>
    <row r="1209" spans="5:9" ht="12.5" customHeight="1" x14ac:dyDescent="0.25">
      <c r="E1209" s="1"/>
      <c r="F1209" s="2"/>
      <c r="H1209" s="1"/>
      <c r="I1209" s="2"/>
    </row>
    <row r="1210" spans="5:9" ht="12.5" customHeight="1" x14ac:dyDescent="0.25">
      <c r="E1210" s="1"/>
      <c r="F1210" s="2"/>
      <c r="H1210" s="1"/>
      <c r="I1210" s="2"/>
    </row>
    <row r="1211" spans="5:9" ht="12.5" customHeight="1" x14ac:dyDescent="0.25">
      <c r="E1211" s="1"/>
      <c r="F1211" s="2"/>
      <c r="H1211" s="1"/>
      <c r="I1211" s="2"/>
    </row>
    <row r="1212" spans="5:9" ht="12.5" customHeight="1" x14ac:dyDescent="0.25">
      <c r="E1212" s="1"/>
      <c r="F1212" s="2"/>
      <c r="H1212" s="1"/>
      <c r="I1212" s="2"/>
    </row>
    <row r="1213" spans="5:9" ht="12.5" customHeight="1" x14ac:dyDescent="0.25">
      <c r="E1213" s="1"/>
      <c r="F1213" s="2"/>
      <c r="H1213" s="1"/>
      <c r="I1213" s="2"/>
    </row>
    <row r="1214" spans="5:9" ht="12.5" customHeight="1" x14ac:dyDescent="0.25">
      <c r="E1214" s="1"/>
      <c r="F1214" s="2"/>
      <c r="H1214" s="1"/>
      <c r="I1214" s="2"/>
    </row>
    <row r="1215" spans="5:9" ht="12.5" customHeight="1" x14ac:dyDescent="0.25">
      <c r="E1215" s="1"/>
      <c r="F1215" s="2"/>
      <c r="H1215" s="1"/>
      <c r="I1215" s="2"/>
    </row>
    <row r="1216" spans="5:9" ht="12.5" customHeight="1" x14ac:dyDescent="0.25">
      <c r="E1216" s="1"/>
      <c r="F1216" s="2"/>
      <c r="H1216" s="1"/>
      <c r="I1216" s="2"/>
    </row>
    <row r="1217" spans="5:9" ht="12.5" customHeight="1" x14ac:dyDescent="0.25">
      <c r="E1217" s="1"/>
      <c r="F1217" s="2"/>
      <c r="H1217" s="1"/>
      <c r="I1217" s="2"/>
    </row>
    <row r="1218" spans="5:9" ht="12.5" customHeight="1" x14ac:dyDescent="0.25">
      <c r="E1218" s="1"/>
      <c r="F1218" s="2"/>
      <c r="H1218" s="1"/>
      <c r="I1218" s="2"/>
    </row>
    <row r="1219" spans="5:9" ht="12.5" customHeight="1" x14ac:dyDescent="0.25">
      <c r="E1219" s="1"/>
      <c r="F1219" s="2"/>
      <c r="H1219" s="1"/>
      <c r="I1219" s="2"/>
    </row>
    <row r="1220" spans="5:9" ht="12.5" customHeight="1" x14ac:dyDescent="0.25">
      <c r="E1220" s="1"/>
      <c r="F1220" s="2"/>
      <c r="H1220" s="1"/>
      <c r="I1220" s="2"/>
    </row>
    <row r="1221" spans="5:9" ht="12.5" customHeight="1" x14ac:dyDescent="0.25">
      <c r="E1221" s="1"/>
      <c r="F1221" s="2"/>
      <c r="H1221" s="1"/>
      <c r="I1221" s="2"/>
    </row>
    <row r="1222" spans="5:9" ht="12.5" customHeight="1" x14ac:dyDescent="0.25">
      <c r="E1222" s="1"/>
      <c r="F1222" s="2"/>
      <c r="H1222" s="1"/>
      <c r="I1222" s="2"/>
    </row>
    <row r="1223" spans="5:9" ht="12.5" customHeight="1" x14ac:dyDescent="0.25">
      <c r="E1223" s="1"/>
      <c r="F1223" s="2"/>
      <c r="H1223" s="1"/>
      <c r="I1223" s="2"/>
    </row>
    <row r="1224" spans="5:9" ht="12.5" customHeight="1" x14ac:dyDescent="0.25">
      <c r="E1224" s="1"/>
      <c r="F1224" s="2"/>
      <c r="H1224" s="1"/>
      <c r="I1224" s="2"/>
    </row>
    <row r="1225" spans="5:9" ht="12.5" customHeight="1" x14ac:dyDescent="0.25">
      <c r="E1225" s="1"/>
      <c r="F1225" s="2"/>
      <c r="H1225" s="1"/>
      <c r="I1225" s="2"/>
    </row>
    <row r="1226" spans="5:9" ht="12.5" customHeight="1" x14ac:dyDescent="0.25">
      <c r="E1226" s="1"/>
      <c r="F1226" s="2"/>
      <c r="H1226" s="1"/>
      <c r="I1226" s="2"/>
    </row>
    <row r="1227" spans="5:9" ht="12.5" customHeight="1" x14ac:dyDescent="0.25">
      <c r="E1227" s="1"/>
      <c r="F1227" s="2"/>
      <c r="H1227" s="1"/>
      <c r="I1227" s="2"/>
    </row>
    <row r="1228" spans="5:9" ht="12.5" customHeight="1" x14ac:dyDescent="0.25">
      <c r="E1228" s="1"/>
      <c r="F1228" s="2"/>
      <c r="H1228" s="1"/>
      <c r="I1228" s="2"/>
    </row>
    <row r="1229" spans="5:9" ht="12.5" customHeight="1" x14ac:dyDescent="0.25">
      <c r="E1229" s="1"/>
      <c r="F1229" s="2"/>
      <c r="H1229" s="1"/>
      <c r="I1229" s="2"/>
    </row>
    <row r="1230" spans="5:9" ht="12.5" customHeight="1" x14ac:dyDescent="0.25">
      <c r="E1230" s="1"/>
      <c r="F1230" s="2"/>
      <c r="H1230" s="1"/>
      <c r="I1230" s="2"/>
    </row>
    <row r="1231" spans="5:9" ht="12.5" customHeight="1" x14ac:dyDescent="0.25">
      <c r="E1231" s="1"/>
      <c r="F1231" s="2"/>
      <c r="H1231" s="1"/>
      <c r="I1231" s="2"/>
    </row>
    <row r="1232" spans="5:9" ht="12.5" customHeight="1" x14ac:dyDescent="0.25">
      <c r="E1232" s="1"/>
      <c r="F1232" s="2"/>
      <c r="H1232" s="1"/>
      <c r="I1232" s="2"/>
    </row>
    <row r="1233" spans="5:9" ht="12.5" customHeight="1" x14ac:dyDescent="0.25">
      <c r="E1233" s="1"/>
      <c r="F1233" s="2"/>
      <c r="H1233" s="1"/>
      <c r="I1233" s="2"/>
    </row>
    <row r="1234" spans="5:9" ht="12.5" customHeight="1" x14ac:dyDescent="0.25">
      <c r="E1234" s="1"/>
      <c r="F1234" s="2"/>
      <c r="H1234" s="1"/>
      <c r="I1234" s="2"/>
    </row>
    <row r="1235" spans="5:9" ht="12.5" customHeight="1" x14ac:dyDescent="0.25">
      <c r="E1235" s="1"/>
      <c r="F1235" s="2"/>
      <c r="H1235" s="1"/>
      <c r="I1235" s="2"/>
    </row>
    <row r="1236" spans="5:9" ht="12.5" customHeight="1" x14ac:dyDescent="0.25">
      <c r="E1236" s="1"/>
      <c r="F1236" s="2"/>
      <c r="H1236" s="1"/>
      <c r="I1236" s="2"/>
    </row>
    <row r="1237" spans="5:9" ht="12.5" customHeight="1" x14ac:dyDescent="0.25">
      <c r="E1237" s="1"/>
      <c r="F1237" s="2"/>
      <c r="H1237" s="1"/>
      <c r="I1237" s="2"/>
    </row>
    <row r="1238" spans="5:9" ht="12.5" customHeight="1" x14ac:dyDescent="0.25">
      <c r="E1238" s="1"/>
      <c r="F1238" s="2"/>
      <c r="H1238" s="1"/>
      <c r="I1238" s="2"/>
    </row>
    <row r="1239" spans="5:9" ht="12.5" customHeight="1" x14ac:dyDescent="0.25">
      <c r="E1239" s="1"/>
      <c r="F1239" s="2"/>
      <c r="H1239" s="1"/>
      <c r="I1239" s="2"/>
    </row>
    <row r="1240" spans="5:9" ht="12.5" customHeight="1" x14ac:dyDescent="0.25">
      <c r="E1240" s="1"/>
      <c r="F1240" s="2"/>
      <c r="H1240" s="1"/>
      <c r="I1240" s="2"/>
    </row>
    <row r="1241" spans="5:9" ht="12.5" customHeight="1" x14ac:dyDescent="0.25">
      <c r="E1241" s="1"/>
      <c r="F1241" s="2"/>
      <c r="H1241" s="1"/>
      <c r="I1241" s="2"/>
    </row>
    <row r="1242" spans="5:9" ht="12.5" customHeight="1" x14ac:dyDescent="0.25">
      <c r="E1242" s="1"/>
      <c r="F1242" s="2"/>
      <c r="H1242" s="1"/>
      <c r="I1242" s="2"/>
    </row>
    <row r="1243" spans="5:9" ht="12.5" customHeight="1" x14ac:dyDescent="0.25">
      <c r="E1243" s="1"/>
      <c r="F1243" s="2"/>
      <c r="H1243" s="1"/>
      <c r="I1243" s="2"/>
    </row>
    <row r="1244" spans="5:9" ht="12.5" customHeight="1" x14ac:dyDescent="0.25">
      <c r="E1244" s="1"/>
      <c r="F1244" s="2"/>
      <c r="H1244" s="1"/>
      <c r="I1244" s="2"/>
    </row>
    <row r="1245" spans="5:9" ht="12.5" customHeight="1" x14ac:dyDescent="0.25">
      <c r="E1245" s="1"/>
      <c r="F1245" s="2"/>
      <c r="H1245" s="1"/>
      <c r="I1245" s="2"/>
    </row>
    <row r="1246" spans="5:9" ht="12.5" customHeight="1" x14ac:dyDescent="0.25">
      <c r="E1246" s="1"/>
      <c r="F1246" s="2"/>
      <c r="H1246" s="1"/>
      <c r="I1246" s="2"/>
    </row>
    <row r="1247" spans="5:9" ht="12.5" customHeight="1" x14ac:dyDescent="0.25">
      <c r="E1247" s="1"/>
      <c r="F1247" s="2"/>
      <c r="H1247" s="1"/>
      <c r="I1247" s="2"/>
    </row>
    <row r="1248" spans="5:9" ht="12.5" customHeight="1" x14ac:dyDescent="0.25">
      <c r="E1248" s="1"/>
      <c r="F1248" s="2"/>
      <c r="H1248" s="1"/>
      <c r="I1248" s="2"/>
    </row>
    <row r="1249" spans="5:9" ht="12.5" customHeight="1" x14ac:dyDescent="0.25">
      <c r="E1249" s="1"/>
      <c r="F1249" s="2"/>
      <c r="H1249" s="1"/>
      <c r="I1249" s="2"/>
    </row>
    <row r="1250" spans="5:9" ht="12.5" customHeight="1" x14ac:dyDescent="0.25">
      <c r="E1250" s="1"/>
      <c r="F1250" s="2"/>
      <c r="H1250" s="1"/>
      <c r="I1250" s="2"/>
    </row>
    <row r="1251" spans="5:9" ht="12.5" customHeight="1" x14ac:dyDescent="0.25">
      <c r="E1251" s="1"/>
      <c r="F1251" s="2"/>
      <c r="H1251" s="1"/>
      <c r="I1251" s="2"/>
    </row>
    <row r="1252" spans="5:9" ht="12.5" customHeight="1" x14ac:dyDescent="0.25">
      <c r="E1252" s="1"/>
      <c r="F1252" s="2"/>
      <c r="H1252" s="1"/>
      <c r="I1252" s="2"/>
    </row>
    <row r="1253" spans="5:9" ht="12.5" customHeight="1" x14ac:dyDescent="0.25">
      <c r="E1253" s="1"/>
      <c r="F1253" s="2"/>
      <c r="H1253" s="1"/>
      <c r="I1253" s="2"/>
    </row>
    <row r="1254" spans="5:9" ht="12.5" customHeight="1" x14ac:dyDescent="0.25">
      <c r="E1254" s="1"/>
      <c r="F1254" s="2"/>
      <c r="H1254" s="1"/>
      <c r="I1254" s="2"/>
    </row>
    <row r="1255" spans="5:9" ht="12.5" customHeight="1" x14ac:dyDescent="0.25">
      <c r="E1255" s="1"/>
      <c r="F1255" s="2"/>
      <c r="H1255" s="1"/>
      <c r="I1255" s="2"/>
    </row>
    <row r="1256" spans="5:9" ht="12.5" customHeight="1" x14ac:dyDescent="0.25">
      <c r="E1256" s="1"/>
      <c r="F1256" s="2"/>
      <c r="H1256" s="1"/>
      <c r="I1256" s="2"/>
    </row>
    <row r="1257" spans="5:9" ht="12.5" customHeight="1" x14ac:dyDescent="0.25">
      <c r="E1257" s="1"/>
      <c r="F1257" s="2"/>
      <c r="H1257" s="1"/>
      <c r="I1257" s="2"/>
    </row>
    <row r="1258" spans="5:9" ht="12.5" customHeight="1" x14ac:dyDescent="0.25">
      <c r="E1258" s="1"/>
      <c r="F1258" s="2"/>
      <c r="H1258" s="1"/>
      <c r="I1258" s="2"/>
    </row>
    <row r="1259" spans="5:9" ht="12.5" customHeight="1" x14ac:dyDescent="0.25">
      <c r="E1259" s="1"/>
      <c r="F1259" s="2"/>
      <c r="H1259" s="1"/>
      <c r="I1259" s="2"/>
    </row>
    <row r="1260" spans="5:9" ht="12.5" customHeight="1" x14ac:dyDescent="0.25">
      <c r="E1260" s="1"/>
      <c r="F1260" s="2"/>
      <c r="H1260" s="1"/>
      <c r="I1260" s="2"/>
    </row>
    <row r="1261" spans="5:9" ht="12.5" customHeight="1" x14ac:dyDescent="0.25">
      <c r="E1261" s="1"/>
      <c r="F1261" s="2"/>
      <c r="H1261" s="1"/>
      <c r="I1261" s="2"/>
    </row>
    <row r="1262" spans="5:9" ht="12.5" customHeight="1" x14ac:dyDescent="0.25">
      <c r="E1262" s="1"/>
      <c r="F1262" s="2"/>
      <c r="H1262" s="1"/>
      <c r="I1262" s="2"/>
    </row>
    <row r="1263" spans="5:9" ht="12.5" customHeight="1" x14ac:dyDescent="0.25">
      <c r="E1263" s="1"/>
      <c r="F1263" s="2"/>
      <c r="H1263" s="1"/>
      <c r="I1263" s="2"/>
    </row>
    <row r="1264" spans="5:9" ht="12.5" customHeight="1" x14ac:dyDescent="0.25">
      <c r="E1264" s="1"/>
      <c r="F1264" s="2"/>
      <c r="H1264" s="1"/>
      <c r="I1264" s="2"/>
    </row>
    <row r="1265" spans="5:9" ht="12.5" customHeight="1" x14ac:dyDescent="0.25">
      <c r="E1265" s="1"/>
      <c r="F1265" s="2"/>
      <c r="H1265" s="1"/>
      <c r="I1265" s="2"/>
    </row>
    <row r="1266" spans="5:9" ht="12.5" customHeight="1" x14ac:dyDescent="0.25">
      <c r="E1266" s="1"/>
      <c r="F1266" s="2"/>
      <c r="H1266" s="1"/>
      <c r="I1266" s="2"/>
    </row>
    <row r="1267" spans="5:9" ht="12.5" customHeight="1" x14ac:dyDescent="0.25">
      <c r="E1267" s="1"/>
      <c r="F1267" s="2"/>
      <c r="H1267" s="1"/>
      <c r="I1267" s="2"/>
    </row>
    <row r="1268" spans="5:9" ht="12.5" customHeight="1" x14ac:dyDescent="0.25">
      <c r="E1268" s="1"/>
      <c r="F1268" s="2"/>
      <c r="H1268" s="1"/>
      <c r="I1268" s="2"/>
    </row>
    <row r="1269" spans="5:9" ht="12.5" customHeight="1" x14ac:dyDescent="0.25">
      <c r="E1269" s="1"/>
      <c r="F1269" s="2"/>
      <c r="H1269" s="1"/>
      <c r="I1269" s="2"/>
    </row>
    <row r="1270" spans="5:9" ht="12.5" customHeight="1" x14ac:dyDescent="0.25">
      <c r="E1270" s="1"/>
      <c r="F1270" s="2"/>
      <c r="H1270" s="1"/>
      <c r="I1270" s="2"/>
    </row>
    <row r="1271" spans="5:9" ht="12.5" customHeight="1" x14ac:dyDescent="0.25">
      <c r="E1271" s="1"/>
      <c r="F1271" s="2"/>
      <c r="H1271" s="1"/>
      <c r="I1271" s="2"/>
    </row>
    <row r="1272" spans="5:9" ht="12.5" customHeight="1" x14ac:dyDescent="0.25">
      <c r="E1272" s="1"/>
      <c r="F1272" s="2"/>
      <c r="H1272" s="1"/>
      <c r="I1272" s="2"/>
    </row>
    <row r="1273" spans="5:9" ht="12.5" customHeight="1" x14ac:dyDescent="0.25">
      <c r="E1273" s="1"/>
      <c r="F1273" s="2"/>
      <c r="H1273" s="1"/>
      <c r="I1273" s="2"/>
    </row>
    <row r="1274" spans="5:9" ht="12.5" customHeight="1" x14ac:dyDescent="0.25">
      <c r="E1274" s="1"/>
      <c r="F1274" s="2"/>
      <c r="H1274" s="1"/>
      <c r="I1274" s="2"/>
    </row>
    <row r="1275" spans="5:9" ht="12.5" customHeight="1" x14ac:dyDescent="0.25">
      <c r="E1275" s="1"/>
      <c r="F1275" s="2"/>
      <c r="H1275" s="1"/>
      <c r="I1275" s="2"/>
    </row>
    <row r="1276" spans="5:9" ht="12.5" customHeight="1" x14ac:dyDescent="0.25">
      <c r="E1276" s="1"/>
      <c r="F1276" s="2"/>
      <c r="H1276" s="1"/>
      <c r="I1276" s="2"/>
    </row>
    <row r="1277" spans="5:9" ht="12.5" customHeight="1" x14ac:dyDescent="0.25">
      <c r="E1277" s="1"/>
      <c r="F1277" s="2"/>
      <c r="H1277" s="1"/>
      <c r="I1277" s="2"/>
    </row>
    <row r="1278" spans="5:9" ht="12.5" customHeight="1" x14ac:dyDescent="0.25">
      <c r="E1278" s="1"/>
      <c r="F1278" s="2"/>
      <c r="H1278" s="1"/>
      <c r="I1278" s="2"/>
    </row>
    <row r="1279" spans="5:9" ht="12.5" customHeight="1" x14ac:dyDescent="0.25">
      <c r="E1279" s="1"/>
      <c r="F1279" s="2"/>
      <c r="H1279" s="1"/>
      <c r="I1279" s="2"/>
    </row>
    <row r="1280" spans="5:9" ht="12.5" customHeight="1" x14ac:dyDescent="0.25">
      <c r="E1280" s="1"/>
      <c r="F1280" s="2"/>
      <c r="H1280" s="1"/>
      <c r="I1280" s="2"/>
    </row>
    <row r="1281" spans="5:9" ht="12.5" customHeight="1" x14ac:dyDescent="0.25">
      <c r="E1281" s="1"/>
      <c r="F1281" s="2"/>
      <c r="H1281" s="1"/>
      <c r="I1281" s="2"/>
    </row>
    <row r="1282" spans="5:9" ht="12.5" customHeight="1" x14ac:dyDescent="0.25">
      <c r="E1282" s="1"/>
      <c r="F1282" s="2"/>
      <c r="H1282" s="1"/>
      <c r="I1282" s="2"/>
    </row>
    <row r="1283" spans="5:9" ht="12.5" customHeight="1" x14ac:dyDescent="0.25">
      <c r="E1283" s="1"/>
      <c r="F1283" s="2"/>
      <c r="H1283" s="1"/>
      <c r="I1283" s="2"/>
    </row>
    <row r="1284" spans="5:9" ht="12.5" customHeight="1" x14ac:dyDescent="0.25">
      <c r="E1284" s="1"/>
      <c r="F1284" s="2"/>
      <c r="H1284" s="1"/>
      <c r="I1284" s="2"/>
    </row>
    <row r="1285" spans="5:9" ht="12.5" customHeight="1" x14ac:dyDescent="0.25">
      <c r="E1285" s="1"/>
      <c r="F1285" s="2"/>
      <c r="H1285" s="1"/>
      <c r="I1285" s="2"/>
    </row>
    <row r="1286" spans="5:9" ht="12.5" customHeight="1" x14ac:dyDescent="0.25">
      <c r="E1286" s="1"/>
      <c r="F1286" s="2"/>
      <c r="H1286" s="1"/>
      <c r="I1286" s="2"/>
    </row>
    <row r="1287" spans="5:9" ht="12.5" customHeight="1" x14ac:dyDescent="0.25">
      <c r="E1287" s="1"/>
      <c r="F1287" s="2"/>
      <c r="H1287" s="1"/>
      <c r="I1287" s="2"/>
    </row>
    <row r="1288" spans="5:9" ht="12.5" customHeight="1" x14ac:dyDescent="0.25">
      <c r="E1288" s="1"/>
      <c r="F1288" s="2"/>
      <c r="H1288" s="1"/>
      <c r="I1288" s="2"/>
    </row>
    <row r="1289" spans="5:9" ht="12.5" customHeight="1" x14ac:dyDescent="0.25">
      <c r="E1289" s="1"/>
      <c r="F1289" s="2"/>
      <c r="H1289" s="1"/>
      <c r="I1289" s="2"/>
    </row>
    <row r="1290" spans="5:9" ht="12.5" customHeight="1" x14ac:dyDescent="0.25">
      <c r="E1290" s="1"/>
      <c r="F1290" s="2"/>
      <c r="H1290" s="1"/>
      <c r="I1290" s="2"/>
    </row>
    <row r="1291" spans="5:9" ht="12.5" customHeight="1" x14ac:dyDescent="0.25">
      <c r="E1291" s="1"/>
      <c r="F1291" s="2"/>
      <c r="H1291" s="1"/>
      <c r="I1291" s="2"/>
    </row>
    <row r="1292" spans="5:9" ht="12.5" customHeight="1" x14ac:dyDescent="0.25">
      <c r="E1292" s="1"/>
      <c r="F1292" s="2"/>
      <c r="H1292" s="1"/>
      <c r="I1292" s="2"/>
    </row>
    <row r="1293" spans="5:9" ht="12.5" customHeight="1" x14ac:dyDescent="0.25">
      <c r="E1293" s="1"/>
      <c r="F1293" s="2"/>
      <c r="H1293" s="1"/>
      <c r="I1293" s="2"/>
    </row>
    <row r="1294" spans="5:9" ht="12.5" customHeight="1" x14ac:dyDescent="0.25">
      <c r="E1294" s="1"/>
      <c r="F1294" s="2"/>
      <c r="H1294" s="1"/>
      <c r="I1294" s="2"/>
    </row>
    <row r="1295" spans="5:9" ht="12.5" customHeight="1" x14ac:dyDescent="0.25">
      <c r="E1295" s="1"/>
      <c r="F1295" s="2"/>
      <c r="H1295" s="1"/>
      <c r="I1295" s="2"/>
    </row>
    <row r="1296" spans="5:9" ht="12.5" customHeight="1" x14ac:dyDescent="0.25">
      <c r="E1296" s="1"/>
      <c r="F1296" s="2"/>
      <c r="H1296" s="1"/>
      <c r="I1296" s="2"/>
    </row>
    <row r="1297" spans="5:9" ht="12.5" customHeight="1" x14ac:dyDescent="0.25">
      <c r="E1297" s="1"/>
      <c r="F1297" s="2"/>
      <c r="H1297" s="1"/>
      <c r="I1297" s="2"/>
    </row>
    <row r="1298" spans="5:9" ht="12.5" customHeight="1" x14ac:dyDescent="0.25">
      <c r="E1298" s="1"/>
      <c r="F1298" s="2"/>
      <c r="H1298" s="1"/>
      <c r="I1298" s="2"/>
    </row>
    <row r="1299" spans="5:9" ht="12.5" customHeight="1" x14ac:dyDescent="0.25">
      <c r="E1299" s="1"/>
      <c r="F1299" s="2"/>
      <c r="H1299" s="1"/>
      <c r="I1299" s="2"/>
    </row>
    <row r="1300" spans="5:9" ht="12.5" customHeight="1" x14ac:dyDescent="0.25">
      <c r="E1300" s="1"/>
      <c r="F1300" s="2"/>
      <c r="H1300" s="1"/>
      <c r="I1300" s="2"/>
    </row>
    <row r="1301" spans="5:9" ht="12.5" customHeight="1" x14ac:dyDescent="0.25">
      <c r="E1301" s="1"/>
      <c r="F1301" s="2"/>
      <c r="H1301" s="1"/>
      <c r="I1301" s="2"/>
    </row>
    <row r="1302" spans="5:9" ht="12.5" customHeight="1" x14ac:dyDescent="0.25">
      <c r="E1302" s="1"/>
      <c r="F1302" s="2"/>
      <c r="H1302" s="1"/>
      <c r="I1302" s="2"/>
    </row>
    <row r="1303" spans="5:9" ht="12.5" customHeight="1" x14ac:dyDescent="0.25">
      <c r="E1303" s="1"/>
      <c r="F1303" s="2"/>
      <c r="H1303" s="1"/>
      <c r="I1303" s="2"/>
    </row>
    <row r="1304" spans="5:9" ht="12.5" customHeight="1" x14ac:dyDescent="0.25">
      <c r="E1304" s="1"/>
      <c r="F1304" s="2"/>
      <c r="H1304" s="1"/>
      <c r="I1304" s="2"/>
    </row>
    <row r="1305" spans="5:9" ht="12.5" customHeight="1" x14ac:dyDescent="0.25">
      <c r="E1305" s="1"/>
      <c r="F1305" s="2"/>
      <c r="H1305" s="1"/>
      <c r="I1305" s="2"/>
    </row>
    <row r="1306" spans="5:9" ht="12.5" customHeight="1" x14ac:dyDescent="0.25">
      <c r="E1306" s="1"/>
      <c r="F1306" s="2"/>
      <c r="H1306" s="1"/>
      <c r="I1306" s="2"/>
    </row>
    <row r="1307" spans="5:9" ht="12.5" customHeight="1" x14ac:dyDescent="0.25">
      <c r="E1307" s="1"/>
      <c r="F1307" s="2"/>
      <c r="H1307" s="1"/>
      <c r="I1307" s="2"/>
    </row>
    <row r="1308" spans="5:9" ht="12.5" customHeight="1" x14ac:dyDescent="0.25">
      <c r="E1308" s="1"/>
      <c r="F1308" s="2"/>
      <c r="H1308" s="1"/>
      <c r="I1308" s="2"/>
    </row>
    <row r="1309" spans="5:9" ht="12.5" customHeight="1" x14ac:dyDescent="0.25">
      <c r="E1309" s="1"/>
      <c r="F1309" s="2"/>
      <c r="H1309" s="1"/>
      <c r="I1309" s="2"/>
    </row>
    <row r="1310" spans="5:9" ht="12.5" customHeight="1" x14ac:dyDescent="0.25">
      <c r="E1310" s="1"/>
      <c r="F1310" s="2"/>
      <c r="H1310" s="1"/>
      <c r="I1310" s="2"/>
    </row>
    <row r="1311" spans="5:9" ht="12.5" customHeight="1" x14ac:dyDescent="0.25">
      <c r="E1311" s="1"/>
      <c r="F1311" s="2"/>
      <c r="H1311" s="1"/>
      <c r="I1311" s="2"/>
    </row>
    <row r="1312" spans="5:9" ht="12.5" customHeight="1" x14ac:dyDescent="0.25">
      <c r="E1312" s="1"/>
      <c r="F1312" s="2"/>
      <c r="H1312" s="1"/>
      <c r="I1312" s="2"/>
    </row>
    <row r="1313" spans="5:9" ht="12.5" customHeight="1" x14ac:dyDescent="0.25">
      <c r="E1313" s="1"/>
      <c r="F1313" s="2"/>
      <c r="H1313" s="1"/>
      <c r="I1313" s="2"/>
    </row>
    <row r="1314" spans="5:9" ht="12.5" customHeight="1" x14ac:dyDescent="0.25">
      <c r="E1314" s="1"/>
      <c r="F1314" s="2"/>
      <c r="H1314" s="1"/>
      <c r="I1314" s="2"/>
    </row>
    <row r="1315" spans="5:9" ht="12.5" customHeight="1" x14ac:dyDescent="0.25">
      <c r="E1315" s="1"/>
      <c r="F1315" s="2"/>
      <c r="H1315" s="1"/>
      <c r="I1315" s="2"/>
    </row>
    <row r="1316" spans="5:9" ht="12.5" customHeight="1" x14ac:dyDescent="0.25">
      <c r="E1316" s="1"/>
      <c r="F1316" s="2"/>
      <c r="H1316" s="1"/>
      <c r="I1316" s="2"/>
    </row>
    <row r="1317" spans="5:9" ht="12.5" customHeight="1" x14ac:dyDescent="0.25">
      <c r="E1317" s="1"/>
      <c r="F1317" s="2"/>
      <c r="H1317" s="1"/>
      <c r="I1317" s="2"/>
    </row>
    <row r="1318" spans="5:9" ht="12.5" customHeight="1" x14ac:dyDescent="0.25">
      <c r="E1318" s="1"/>
      <c r="F1318" s="2"/>
      <c r="H1318" s="1"/>
      <c r="I1318" s="2"/>
    </row>
    <row r="1319" spans="5:9" ht="12.5" customHeight="1" x14ac:dyDescent="0.25">
      <c r="E1319" s="1"/>
      <c r="F1319" s="2"/>
      <c r="H1319" s="1"/>
      <c r="I1319" s="2"/>
    </row>
    <row r="1320" spans="5:9" ht="12.5" customHeight="1" x14ac:dyDescent="0.25">
      <c r="E1320" s="1"/>
      <c r="F1320" s="2"/>
      <c r="H1320" s="1"/>
      <c r="I1320" s="2"/>
    </row>
    <row r="1321" spans="5:9" ht="12.5" customHeight="1" x14ac:dyDescent="0.25">
      <c r="E1321" s="1"/>
      <c r="F1321" s="2"/>
      <c r="H1321" s="1"/>
      <c r="I1321" s="2"/>
    </row>
    <row r="1322" spans="5:9" ht="12.5" customHeight="1" x14ac:dyDescent="0.25">
      <c r="E1322" s="1"/>
      <c r="F1322" s="2"/>
      <c r="H1322" s="1"/>
      <c r="I1322" s="2"/>
    </row>
    <row r="1323" spans="5:9" ht="12.5" customHeight="1" x14ac:dyDescent="0.25">
      <c r="E1323" s="1"/>
      <c r="F1323" s="2"/>
      <c r="H1323" s="1"/>
      <c r="I1323" s="2"/>
    </row>
    <row r="1324" spans="5:9" ht="12.5" customHeight="1" x14ac:dyDescent="0.25">
      <c r="E1324" s="1"/>
      <c r="F1324" s="2"/>
      <c r="H1324" s="1"/>
      <c r="I1324" s="2"/>
    </row>
    <row r="1325" spans="5:9" ht="12.5" customHeight="1" x14ac:dyDescent="0.25">
      <c r="E1325" s="1"/>
      <c r="F1325" s="2"/>
      <c r="H1325" s="1"/>
      <c r="I1325" s="2"/>
    </row>
    <row r="1326" spans="5:9" ht="12.5" customHeight="1" x14ac:dyDescent="0.25">
      <c r="E1326" s="1"/>
      <c r="F1326" s="2"/>
      <c r="H1326" s="1"/>
      <c r="I1326" s="2"/>
    </row>
    <row r="1327" spans="5:9" ht="12.5" customHeight="1" x14ac:dyDescent="0.25">
      <c r="E1327" s="1"/>
      <c r="F1327" s="2"/>
      <c r="H1327" s="1"/>
      <c r="I1327" s="2"/>
    </row>
    <row r="1328" spans="5:9" ht="12.5" customHeight="1" x14ac:dyDescent="0.25">
      <c r="E1328" s="1"/>
      <c r="F1328" s="2"/>
      <c r="H1328" s="1"/>
      <c r="I1328" s="2"/>
    </row>
    <row r="1329" spans="5:9" ht="12.5" customHeight="1" x14ac:dyDescent="0.25">
      <c r="E1329" s="1"/>
      <c r="F1329" s="2"/>
      <c r="H1329" s="1"/>
      <c r="I1329" s="2"/>
    </row>
    <row r="1330" spans="5:9" ht="12.5" customHeight="1" x14ac:dyDescent="0.25">
      <c r="E1330" s="1"/>
      <c r="F1330" s="2"/>
      <c r="H1330" s="1"/>
      <c r="I1330" s="2"/>
    </row>
    <row r="1331" spans="5:9" ht="12.5" customHeight="1" x14ac:dyDescent="0.25">
      <c r="E1331" s="1"/>
      <c r="F1331" s="2"/>
      <c r="H1331" s="1"/>
      <c r="I1331" s="2"/>
    </row>
    <row r="1332" spans="5:9" ht="12.5" customHeight="1" x14ac:dyDescent="0.25">
      <c r="E1332" s="1"/>
      <c r="F1332" s="2"/>
      <c r="H1332" s="1"/>
      <c r="I1332" s="2"/>
    </row>
    <row r="1333" spans="5:9" ht="12.5" customHeight="1" x14ac:dyDescent="0.25">
      <c r="E1333" s="1"/>
      <c r="F1333" s="2"/>
      <c r="H1333" s="1"/>
      <c r="I1333" s="2"/>
    </row>
    <row r="1334" spans="5:9" ht="12.5" customHeight="1" x14ac:dyDescent="0.25">
      <c r="E1334" s="1"/>
      <c r="F1334" s="2"/>
      <c r="H1334" s="1"/>
      <c r="I1334" s="2"/>
    </row>
    <row r="1335" spans="5:9" ht="12.5" customHeight="1" x14ac:dyDescent="0.25">
      <c r="E1335" s="1"/>
      <c r="F1335" s="2"/>
      <c r="H1335" s="1"/>
      <c r="I1335" s="2"/>
    </row>
    <row r="1336" spans="5:9" ht="12.5" customHeight="1" x14ac:dyDescent="0.25">
      <c r="E1336" s="1"/>
      <c r="F1336" s="2"/>
      <c r="H1336" s="1"/>
      <c r="I1336" s="2"/>
    </row>
    <row r="1337" spans="5:9" ht="12.5" customHeight="1" x14ac:dyDescent="0.25">
      <c r="E1337" s="1"/>
      <c r="F1337" s="2"/>
      <c r="H1337" s="1"/>
      <c r="I1337" s="2"/>
    </row>
    <row r="1338" spans="5:9" ht="12.5" customHeight="1" x14ac:dyDescent="0.25">
      <c r="E1338" s="1"/>
      <c r="F1338" s="2"/>
      <c r="H1338" s="1"/>
      <c r="I1338" s="2"/>
    </row>
    <row r="1339" spans="5:9" ht="12.5" customHeight="1" x14ac:dyDescent="0.25">
      <c r="E1339" s="1"/>
      <c r="F1339" s="2"/>
      <c r="H1339" s="1"/>
      <c r="I1339" s="2"/>
    </row>
    <row r="1340" spans="5:9" ht="12.5" customHeight="1" x14ac:dyDescent="0.25">
      <c r="E1340" s="1"/>
      <c r="F1340" s="2"/>
      <c r="H1340" s="1"/>
      <c r="I1340" s="2"/>
    </row>
    <row r="1341" spans="5:9" ht="12.5" customHeight="1" x14ac:dyDescent="0.25">
      <c r="E1341" s="1"/>
      <c r="F1341" s="2"/>
      <c r="H1341" s="1"/>
      <c r="I1341" s="2"/>
    </row>
    <row r="1342" spans="5:9" ht="12.5" customHeight="1" x14ac:dyDescent="0.25">
      <c r="E1342" s="1"/>
      <c r="F1342" s="2"/>
      <c r="H1342" s="1"/>
      <c r="I1342" s="2"/>
    </row>
    <row r="1343" spans="5:9" ht="12.5" customHeight="1" x14ac:dyDescent="0.25">
      <c r="E1343" s="1"/>
      <c r="F1343" s="2"/>
      <c r="H1343" s="1"/>
      <c r="I1343" s="2"/>
    </row>
    <row r="1344" spans="5:9" ht="12.5" customHeight="1" x14ac:dyDescent="0.25">
      <c r="E1344" s="1"/>
      <c r="F1344" s="2"/>
      <c r="H1344" s="1"/>
      <c r="I1344" s="2"/>
    </row>
    <row r="1345" spans="5:9" ht="12.5" customHeight="1" x14ac:dyDescent="0.25">
      <c r="E1345" s="1"/>
      <c r="F1345" s="2"/>
      <c r="H1345" s="1"/>
      <c r="I1345" s="2"/>
    </row>
    <row r="1346" spans="5:9" ht="12.5" customHeight="1" x14ac:dyDescent="0.25">
      <c r="E1346" s="1"/>
      <c r="F1346" s="2"/>
      <c r="H1346" s="1"/>
      <c r="I1346" s="2"/>
    </row>
    <row r="1347" spans="5:9" ht="12.5" customHeight="1" x14ac:dyDescent="0.25">
      <c r="E1347" s="1"/>
      <c r="F1347" s="2"/>
      <c r="H1347" s="1"/>
      <c r="I1347" s="2"/>
    </row>
    <row r="1348" spans="5:9" ht="12.5" customHeight="1" x14ac:dyDescent="0.25">
      <c r="E1348" s="1"/>
      <c r="F1348" s="2"/>
      <c r="H1348" s="1"/>
      <c r="I1348" s="2"/>
    </row>
    <row r="1349" spans="5:9" ht="12.5" customHeight="1" x14ac:dyDescent="0.25">
      <c r="E1349" s="1"/>
      <c r="F1349" s="2"/>
      <c r="H1349" s="1"/>
      <c r="I1349" s="2"/>
    </row>
    <row r="1350" spans="5:9" ht="12.5" customHeight="1" x14ac:dyDescent="0.25">
      <c r="E1350" s="1"/>
      <c r="F1350" s="2"/>
      <c r="H1350" s="1"/>
      <c r="I1350" s="2"/>
    </row>
    <row r="1351" spans="5:9" ht="12.5" customHeight="1" x14ac:dyDescent="0.25">
      <c r="E1351" s="1"/>
      <c r="F1351" s="2"/>
      <c r="H1351" s="1"/>
      <c r="I1351" s="2"/>
    </row>
    <row r="1352" spans="5:9" ht="12.5" customHeight="1" x14ac:dyDescent="0.25">
      <c r="E1352" s="1"/>
      <c r="F1352" s="2"/>
      <c r="H1352" s="1"/>
      <c r="I1352" s="2"/>
    </row>
    <row r="1353" spans="5:9" ht="12.5" customHeight="1" x14ac:dyDescent="0.25">
      <c r="E1353" s="1"/>
      <c r="F1353" s="2"/>
      <c r="H1353" s="1"/>
      <c r="I1353" s="2"/>
    </row>
    <row r="1354" spans="5:9" ht="12.5" customHeight="1" x14ac:dyDescent="0.25">
      <c r="E1354" s="1"/>
      <c r="F1354" s="2"/>
      <c r="H1354" s="1"/>
      <c r="I1354" s="2"/>
    </row>
    <row r="1355" spans="5:9" ht="12.5" customHeight="1" x14ac:dyDescent="0.25">
      <c r="E1355" s="1"/>
      <c r="F1355" s="2"/>
      <c r="H1355" s="1"/>
      <c r="I1355" s="2"/>
    </row>
    <row r="1356" spans="5:9" ht="12.5" customHeight="1" x14ac:dyDescent="0.25">
      <c r="E1356" s="1"/>
      <c r="F1356" s="2"/>
      <c r="H1356" s="1"/>
      <c r="I1356" s="2"/>
    </row>
    <row r="1357" spans="5:9" ht="12.5" customHeight="1" x14ac:dyDescent="0.25">
      <c r="E1357" s="1"/>
      <c r="F1357" s="2"/>
      <c r="H1357" s="1"/>
      <c r="I1357" s="2"/>
    </row>
    <row r="1358" spans="5:9" ht="12.5" customHeight="1" x14ac:dyDescent="0.25">
      <c r="E1358" s="1"/>
      <c r="F1358" s="2"/>
      <c r="H1358" s="1"/>
      <c r="I1358" s="2"/>
    </row>
    <row r="1359" spans="5:9" ht="12.5" customHeight="1" x14ac:dyDescent="0.25">
      <c r="E1359" s="1"/>
      <c r="F1359" s="2"/>
      <c r="H1359" s="1"/>
      <c r="I1359" s="2"/>
    </row>
    <row r="1360" spans="5:9" ht="12.5" customHeight="1" x14ac:dyDescent="0.25">
      <c r="E1360" s="1"/>
      <c r="F1360" s="2"/>
      <c r="H1360" s="1"/>
      <c r="I1360" s="2"/>
    </row>
    <row r="1361" spans="5:9" ht="12.5" customHeight="1" x14ac:dyDescent="0.25">
      <c r="E1361" s="1"/>
      <c r="F1361" s="2"/>
      <c r="H1361" s="1"/>
      <c r="I1361" s="2"/>
    </row>
    <row r="1362" spans="5:9" ht="12.5" customHeight="1" x14ac:dyDescent="0.25">
      <c r="E1362" s="1"/>
      <c r="F1362" s="2"/>
      <c r="H1362" s="1"/>
      <c r="I1362" s="2"/>
    </row>
    <row r="1363" spans="5:9" ht="12.5" customHeight="1" x14ac:dyDescent="0.25">
      <c r="E1363" s="1"/>
      <c r="F1363" s="2"/>
      <c r="H1363" s="1"/>
      <c r="I1363" s="2"/>
    </row>
    <row r="1364" spans="5:9" ht="12.5" customHeight="1" x14ac:dyDescent="0.25">
      <c r="E1364" s="1"/>
      <c r="F1364" s="2"/>
      <c r="H1364" s="1"/>
      <c r="I1364" s="2"/>
    </row>
    <row r="1365" spans="5:9" ht="12.5" customHeight="1" x14ac:dyDescent="0.25">
      <c r="E1365" s="1"/>
      <c r="F1365" s="2"/>
      <c r="H1365" s="1"/>
      <c r="I1365" s="2"/>
    </row>
    <row r="1366" spans="5:9" ht="12.5" customHeight="1" x14ac:dyDescent="0.25">
      <c r="E1366" s="1"/>
      <c r="F1366" s="2"/>
      <c r="H1366" s="1"/>
      <c r="I1366" s="2"/>
    </row>
    <row r="1367" spans="5:9" ht="12.5" customHeight="1" x14ac:dyDescent="0.25">
      <c r="E1367" s="1"/>
      <c r="F1367" s="2"/>
      <c r="H1367" s="1"/>
      <c r="I1367" s="2"/>
    </row>
    <row r="1368" spans="5:9" ht="12.5" customHeight="1" x14ac:dyDescent="0.25">
      <c r="E1368" s="1"/>
      <c r="F1368" s="2"/>
      <c r="H1368" s="1"/>
      <c r="I1368" s="2"/>
    </row>
    <row r="1369" spans="5:9" ht="12.5" customHeight="1" x14ac:dyDescent="0.25">
      <c r="E1369" s="1"/>
      <c r="F1369" s="2"/>
      <c r="H1369" s="1"/>
      <c r="I1369" s="2"/>
    </row>
    <row r="1370" spans="5:9" ht="12.5" customHeight="1" x14ac:dyDescent="0.25">
      <c r="E1370" s="1"/>
      <c r="F1370" s="2"/>
      <c r="H1370" s="1"/>
      <c r="I1370" s="2"/>
    </row>
    <row r="1371" spans="5:9" ht="12.5" customHeight="1" x14ac:dyDescent="0.25">
      <c r="E1371" s="1"/>
      <c r="F1371" s="2"/>
      <c r="H1371" s="1"/>
      <c r="I1371" s="2"/>
    </row>
    <row r="1372" spans="5:9" ht="12.5" customHeight="1" x14ac:dyDescent="0.25">
      <c r="E1372" s="1"/>
      <c r="F1372" s="2"/>
      <c r="H1372" s="1"/>
      <c r="I1372" s="2"/>
    </row>
    <row r="1373" spans="5:9" ht="12.5" customHeight="1" x14ac:dyDescent="0.25">
      <c r="E1373" s="1"/>
      <c r="F1373" s="2"/>
      <c r="H1373" s="1"/>
      <c r="I1373" s="2"/>
    </row>
    <row r="1374" spans="5:9" ht="12.5" customHeight="1" x14ac:dyDescent="0.25">
      <c r="E1374" s="1"/>
      <c r="F1374" s="2"/>
      <c r="H1374" s="1"/>
      <c r="I1374" s="2"/>
    </row>
    <row r="1375" spans="5:9" ht="12.5" customHeight="1" x14ac:dyDescent="0.25">
      <c r="E1375" s="1"/>
      <c r="F1375" s="2"/>
      <c r="H1375" s="1"/>
      <c r="I1375" s="2"/>
    </row>
    <row r="1376" spans="5:9" ht="12.5" customHeight="1" x14ac:dyDescent="0.25">
      <c r="E1376" s="1"/>
      <c r="F1376" s="2"/>
      <c r="H1376" s="1"/>
      <c r="I1376" s="2"/>
    </row>
    <row r="1377" spans="5:9" ht="12.5" customHeight="1" x14ac:dyDescent="0.25">
      <c r="E1377" s="1"/>
      <c r="F1377" s="2"/>
      <c r="H1377" s="1"/>
      <c r="I1377" s="2"/>
    </row>
    <row r="1378" spans="5:9" ht="12.5" customHeight="1" x14ac:dyDescent="0.25">
      <c r="E1378" s="1"/>
      <c r="F1378" s="2"/>
      <c r="H1378" s="1"/>
      <c r="I1378" s="2"/>
    </row>
    <row r="1379" spans="5:9" ht="12.5" customHeight="1" x14ac:dyDescent="0.25">
      <c r="E1379" s="1"/>
      <c r="F1379" s="2"/>
      <c r="H1379" s="1"/>
      <c r="I1379" s="2"/>
    </row>
    <row r="1380" spans="5:9" ht="12.5" customHeight="1" x14ac:dyDescent="0.25">
      <c r="E1380" s="1"/>
      <c r="F1380" s="2"/>
      <c r="H1380" s="1"/>
      <c r="I1380" s="2"/>
    </row>
    <row r="1381" spans="5:9" ht="12.5" customHeight="1" x14ac:dyDescent="0.25">
      <c r="E1381" s="1"/>
      <c r="F1381" s="2"/>
      <c r="H1381" s="1"/>
      <c r="I1381" s="2"/>
    </row>
    <row r="1382" spans="5:9" ht="12.5" customHeight="1" x14ac:dyDescent="0.25">
      <c r="E1382" s="1"/>
      <c r="F1382" s="2"/>
      <c r="H1382" s="1"/>
      <c r="I1382" s="2"/>
    </row>
    <row r="1383" spans="5:9" ht="12.5" customHeight="1" x14ac:dyDescent="0.25">
      <c r="E1383" s="1"/>
      <c r="F1383" s="2"/>
      <c r="H1383" s="1"/>
      <c r="I1383" s="2"/>
    </row>
    <row r="1384" spans="5:9" ht="12.5" customHeight="1" x14ac:dyDescent="0.25">
      <c r="E1384" s="1"/>
      <c r="F1384" s="2"/>
      <c r="H1384" s="1"/>
      <c r="I1384" s="2"/>
    </row>
    <row r="1385" spans="5:9" ht="12.5" customHeight="1" x14ac:dyDescent="0.25">
      <c r="E1385" s="1"/>
      <c r="F1385" s="2"/>
      <c r="H1385" s="1"/>
      <c r="I1385" s="2"/>
    </row>
    <row r="1386" spans="5:9" ht="12.5" customHeight="1" x14ac:dyDescent="0.25">
      <c r="E1386" s="1"/>
      <c r="F1386" s="2"/>
      <c r="H1386" s="1"/>
      <c r="I1386" s="2"/>
    </row>
    <row r="1387" spans="5:9" ht="12.5" customHeight="1" x14ac:dyDescent="0.25">
      <c r="E1387" s="1"/>
      <c r="F1387" s="2"/>
      <c r="H1387" s="1"/>
      <c r="I1387" s="2"/>
    </row>
    <row r="1388" spans="5:9" ht="12.5" customHeight="1" x14ac:dyDescent="0.25">
      <c r="E1388" s="1"/>
      <c r="F1388" s="2"/>
      <c r="H1388" s="1"/>
      <c r="I1388" s="2"/>
    </row>
    <row r="1389" spans="5:9" ht="12.5" customHeight="1" x14ac:dyDescent="0.25">
      <c r="E1389" s="1"/>
      <c r="F1389" s="2"/>
      <c r="H1389" s="1"/>
      <c r="I1389" s="2"/>
    </row>
    <row r="1390" spans="5:9" ht="12.5" customHeight="1" x14ac:dyDescent="0.25">
      <c r="E1390" s="1"/>
      <c r="F1390" s="2"/>
      <c r="H1390" s="1"/>
      <c r="I1390" s="2"/>
    </row>
    <row r="1391" spans="5:9" ht="12.5" customHeight="1" x14ac:dyDescent="0.25">
      <c r="E1391" s="1"/>
      <c r="F1391" s="2"/>
      <c r="H1391" s="1"/>
      <c r="I1391" s="2"/>
    </row>
    <row r="1392" spans="5:9" ht="12.5" customHeight="1" x14ac:dyDescent="0.25">
      <c r="E1392" s="1"/>
      <c r="F1392" s="2"/>
      <c r="H1392" s="1"/>
      <c r="I1392" s="2"/>
    </row>
    <row r="1393" spans="5:9" ht="12.5" customHeight="1" x14ac:dyDescent="0.25">
      <c r="E1393" s="1"/>
      <c r="F1393" s="2"/>
      <c r="H1393" s="1"/>
      <c r="I1393" s="2"/>
    </row>
    <row r="1394" spans="5:9" ht="12.5" customHeight="1" x14ac:dyDescent="0.25">
      <c r="E1394" s="1"/>
      <c r="F1394" s="2"/>
      <c r="H1394" s="1"/>
      <c r="I1394" s="2"/>
    </row>
    <row r="1395" spans="5:9" ht="12.5" customHeight="1" x14ac:dyDescent="0.25">
      <c r="E1395" s="1"/>
      <c r="F1395" s="2"/>
      <c r="H1395" s="1"/>
      <c r="I1395" s="2"/>
    </row>
    <row r="1396" spans="5:9" ht="12.5" customHeight="1" x14ac:dyDescent="0.25">
      <c r="E1396" s="1"/>
      <c r="F1396" s="2"/>
      <c r="H1396" s="1"/>
      <c r="I1396" s="2"/>
    </row>
    <row r="1397" spans="5:9" ht="12.5" customHeight="1" x14ac:dyDescent="0.25">
      <c r="E1397" s="1"/>
      <c r="F1397" s="2"/>
      <c r="H1397" s="1"/>
      <c r="I1397" s="2"/>
    </row>
    <row r="1398" spans="5:9" ht="12.5" customHeight="1" x14ac:dyDescent="0.25">
      <c r="E1398" s="1"/>
      <c r="F1398" s="2"/>
      <c r="H1398" s="1"/>
      <c r="I1398" s="2"/>
    </row>
    <row r="1399" spans="5:9" ht="12.5" customHeight="1" x14ac:dyDescent="0.25">
      <c r="E1399" s="1"/>
      <c r="F1399" s="2"/>
      <c r="H1399" s="1"/>
      <c r="I1399" s="2"/>
    </row>
    <row r="1400" spans="5:9" ht="12.5" customHeight="1" x14ac:dyDescent="0.25">
      <c r="E1400" s="1"/>
      <c r="F1400" s="2"/>
      <c r="H1400" s="1"/>
      <c r="I1400" s="2"/>
    </row>
    <row r="1401" spans="5:9" ht="12.5" customHeight="1" x14ac:dyDescent="0.25">
      <c r="E1401" s="1"/>
      <c r="F1401" s="2"/>
      <c r="H1401" s="1"/>
      <c r="I1401" s="2"/>
    </row>
    <row r="1402" spans="5:9" ht="12.5" customHeight="1" x14ac:dyDescent="0.25">
      <c r="E1402" s="1"/>
      <c r="F1402" s="2"/>
      <c r="H1402" s="1"/>
      <c r="I1402" s="2"/>
    </row>
    <row r="1403" spans="5:9" ht="12.5" customHeight="1" x14ac:dyDescent="0.25">
      <c r="E1403" s="1"/>
      <c r="F1403" s="2"/>
      <c r="H1403" s="1"/>
      <c r="I1403" s="2"/>
    </row>
    <row r="1404" spans="5:9" ht="12.5" customHeight="1" x14ac:dyDescent="0.25">
      <c r="E1404" s="1"/>
      <c r="F1404" s="2"/>
      <c r="H1404" s="1"/>
      <c r="I1404" s="2"/>
    </row>
    <row r="1405" spans="5:9" ht="12.5" customHeight="1" x14ac:dyDescent="0.25">
      <c r="E1405" s="1"/>
      <c r="F1405" s="2"/>
      <c r="H1405" s="1"/>
      <c r="I1405" s="2"/>
    </row>
    <row r="1406" spans="5:9" ht="12.5" customHeight="1" x14ac:dyDescent="0.25">
      <c r="E1406" s="1"/>
      <c r="F1406" s="2"/>
      <c r="H1406" s="1"/>
      <c r="I1406" s="2"/>
    </row>
    <row r="1407" spans="5:9" ht="12.5" customHeight="1" x14ac:dyDescent="0.25">
      <c r="E1407" s="1"/>
      <c r="F1407" s="2"/>
      <c r="H1407" s="1"/>
      <c r="I1407" s="2"/>
    </row>
    <row r="1408" spans="5:9" ht="12.5" customHeight="1" x14ac:dyDescent="0.25">
      <c r="E1408" s="1"/>
      <c r="F1408" s="2"/>
      <c r="H1408" s="1"/>
      <c r="I1408" s="2"/>
    </row>
    <row r="1409" spans="5:9" ht="12.5" customHeight="1" x14ac:dyDescent="0.25">
      <c r="E1409" s="1"/>
      <c r="F1409" s="2"/>
      <c r="H1409" s="1"/>
      <c r="I1409" s="2"/>
    </row>
    <row r="1410" spans="5:9" ht="12.5" customHeight="1" x14ac:dyDescent="0.25">
      <c r="E1410" s="1"/>
      <c r="F1410" s="2"/>
      <c r="H1410" s="1"/>
      <c r="I1410" s="2"/>
    </row>
    <row r="1411" spans="5:9" ht="12.5" customHeight="1" x14ac:dyDescent="0.25">
      <c r="E1411" s="1"/>
      <c r="F1411" s="2"/>
      <c r="H1411" s="1"/>
      <c r="I1411" s="2"/>
    </row>
    <row r="1412" spans="5:9" ht="12.5" customHeight="1" x14ac:dyDescent="0.25">
      <c r="E1412" s="1"/>
      <c r="F1412" s="2"/>
      <c r="H1412" s="1"/>
      <c r="I1412" s="2"/>
    </row>
    <row r="1413" spans="5:9" ht="12.5" customHeight="1" x14ac:dyDescent="0.25">
      <c r="E1413" s="1"/>
      <c r="F1413" s="2"/>
      <c r="H1413" s="1"/>
      <c r="I1413" s="2"/>
    </row>
    <row r="1414" spans="5:9" ht="12.5" customHeight="1" x14ac:dyDescent="0.25">
      <c r="E1414" s="1"/>
      <c r="F1414" s="2"/>
      <c r="H1414" s="1"/>
      <c r="I1414" s="2"/>
    </row>
    <row r="1415" spans="5:9" ht="12.5" customHeight="1" x14ac:dyDescent="0.25">
      <c r="E1415" s="1"/>
      <c r="F1415" s="2"/>
      <c r="H1415" s="1"/>
      <c r="I1415" s="2"/>
    </row>
    <row r="1416" spans="5:9" ht="12.5" customHeight="1" x14ac:dyDescent="0.25">
      <c r="E1416" s="1"/>
      <c r="F1416" s="2"/>
      <c r="H1416" s="1"/>
      <c r="I1416" s="2"/>
    </row>
    <row r="1417" spans="5:9" ht="12.5" customHeight="1" x14ac:dyDescent="0.25">
      <c r="E1417" s="1"/>
      <c r="F1417" s="2"/>
      <c r="H1417" s="1"/>
      <c r="I1417" s="2"/>
    </row>
    <row r="1418" spans="5:9" ht="12.5" customHeight="1" x14ac:dyDescent="0.25">
      <c r="E1418" s="1"/>
      <c r="F1418" s="2"/>
      <c r="H1418" s="1"/>
      <c r="I1418" s="2"/>
    </row>
    <row r="1419" spans="5:9" ht="12.5" customHeight="1" x14ac:dyDescent="0.25">
      <c r="E1419" s="1"/>
      <c r="F1419" s="2"/>
      <c r="H1419" s="1"/>
      <c r="I1419" s="2"/>
    </row>
    <row r="1420" spans="5:9" ht="12.5" customHeight="1" x14ac:dyDescent="0.25">
      <c r="E1420" s="1"/>
      <c r="F1420" s="2"/>
      <c r="H1420" s="1"/>
      <c r="I1420" s="2"/>
    </row>
    <row r="1421" spans="5:9" ht="12.5" customHeight="1" x14ac:dyDescent="0.25">
      <c r="E1421" s="1"/>
      <c r="F1421" s="2"/>
      <c r="H1421" s="1"/>
      <c r="I1421" s="2"/>
    </row>
    <row r="1422" spans="5:9" ht="12.5" customHeight="1" x14ac:dyDescent="0.25">
      <c r="E1422" s="1"/>
      <c r="F1422" s="2"/>
      <c r="H1422" s="1"/>
      <c r="I1422" s="2"/>
    </row>
    <row r="1423" spans="5:9" ht="12.5" customHeight="1" x14ac:dyDescent="0.25">
      <c r="E1423" s="1"/>
      <c r="F1423" s="2"/>
      <c r="H1423" s="1"/>
      <c r="I1423" s="2"/>
    </row>
    <row r="1424" spans="5:9" ht="12.5" customHeight="1" x14ac:dyDescent="0.25">
      <c r="E1424" s="1"/>
      <c r="F1424" s="2"/>
      <c r="H1424" s="1"/>
      <c r="I1424" s="2"/>
    </row>
    <row r="1425" spans="5:9" ht="12.5" customHeight="1" x14ac:dyDescent="0.25">
      <c r="E1425" s="1"/>
      <c r="F1425" s="2"/>
      <c r="H1425" s="1"/>
      <c r="I1425" s="2"/>
    </row>
    <row r="1426" spans="5:9" ht="12.5" customHeight="1" x14ac:dyDescent="0.25">
      <c r="E1426" s="1"/>
      <c r="F1426" s="2"/>
      <c r="H1426" s="1"/>
      <c r="I1426" s="2"/>
    </row>
    <row r="1427" spans="5:9" ht="12.5" customHeight="1" x14ac:dyDescent="0.25">
      <c r="E1427" s="1"/>
      <c r="F1427" s="2"/>
      <c r="H1427" s="1"/>
      <c r="I1427" s="2"/>
    </row>
    <row r="1428" spans="5:9" ht="12.5" customHeight="1" x14ac:dyDescent="0.25">
      <c r="E1428" s="1"/>
      <c r="F1428" s="2"/>
      <c r="H1428" s="1"/>
      <c r="I1428" s="2"/>
    </row>
    <row r="1429" spans="5:9" ht="12.5" customHeight="1" x14ac:dyDescent="0.25">
      <c r="E1429" s="1"/>
      <c r="F1429" s="2"/>
      <c r="H1429" s="1"/>
      <c r="I1429" s="2"/>
    </row>
    <row r="1430" spans="5:9" ht="12.5" customHeight="1" x14ac:dyDescent="0.25">
      <c r="E1430" s="1"/>
      <c r="F1430" s="2"/>
      <c r="H1430" s="1"/>
      <c r="I1430" s="2"/>
    </row>
    <row r="1431" spans="5:9" ht="12.5" customHeight="1" x14ac:dyDescent="0.25">
      <c r="E1431" s="1"/>
      <c r="F1431" s="2"/>
      <c r="H1431" s="1"/>
      <c r="I1431" s="2"/>
    </row>
    <row r="1432" spans="5:9" ht="12.5" customHeight="1" x14ac:dyDescent="0.25">
      <c r="E1432" s="1"/>
      <c r="F1432" s="2"/>
      <c r="H1432" s="1"/>
      <c r="I1432" s="2"/>
    </row>
    <row r="1433" spans="5:9" ht="12.5" customHeight="1" x14ac:dyDescent="0.25">
      <c r="E1433" s="1"/>
      <c r="F1433" s="2"/>
      <c r="H1433" s="1"/>
      <c r="I1433" s="2"/>
    </row>
    <row r="1434" spans="5:9" ht="12.5" customHeight="1" x14ac:dyDescent="0.25">
      <c r="E1434" s="1"/>
      <c r="F1434" s="2"/>
      <c r="H1434" s="1"/>
      <c r="I1434" s="2"/>
    </row>
    <row r="1435" spans="5:9" ht="12.5" customHeight="1" x14ac:dyDescent="0.25">
      <c r="E1435" s="1"/>
      <c r="F1435" s="2"/>
      <c r="H1435" s="1"/>
      <c r="I1435" s="2"/>
    </row>
    <row r="1436" spans="5:9" ht="12.5" customHeight="1" x14ac:dyDescent="0.25">
      <c r="E1436" s="1"/>
      <c r="F1436" s="2"/>
      <c r="H1436" s="1"/>
      <c r="I1436" s="2"/>
    </row>
    <row r="1437" spans="5:9" ht="12.5" customHeight="1" x14ac:dyDescent="0.25">
      <c r="E1437" s="1"/>
      <c r="F1437" s="2"/>
      <c r="H1437" s="1"/>
      <c r="I1437" s="2"/>
    </row>
    <row r="1438" spans="5:9" ht="12.5" customHeight="1" x14ac:dyDescent="0.25">
      <c r="E1438" s="1"/>
      <c r="F1438" s="2"/>
      <c r="H1438" s="1"/>
      <c r="I1438" s="2"/>
    </row>
    <row r="1439" spans="5:9" ht="12.5" customHeight="1" x14ac:dyDescent="0.25">
      <c r="E1439" s="1"/>
      <c r="F1439" s="2"/>
      <c r="H1439" s="1"/>
      <c r="I1439" s="2"/>
    </row>
    <row r="1440" spans="5:9" ht="12.5" customHeight="1" x14ac:dyDescent="0.25">
      <c r="E1440" s="1"/>
      <c r="F1440" s="2"/>
      <c r="H1440" s="1"/>
      <c r="I1440" s="2"/>
    </row>
    <row r="1441" spans="5:9" ht="12.5" customHeight="1" x14ac:dyDescent="0.25">
      <c r="E1441" s="1"/>
      <c r="F1441" s="2"/>
      <c r="H1441" s="1"/>
      <c r="I1441" s="2"/>
    </row>
    <row r="1442" spans="5:9" ht="12.5" customHeight="1" x14ac:dyDescent="0.25">
      <c r="E1442" s="1"/>
      <c r="F1442" s="2"/>
      <c r="H1442" s="1"/>
      <c r="I1442" s="2"/>
    </row>
    <row r="1443" spans="5:9" ht="12.5" customHeight="1" x14ac:dyDescent="0.25">
      <c r="E1443" s="1"/>
      <c r="F1443" s="2"/>
      <c r="H1443" s="1"/>
      <c r="I1443" s="2"/>
    </row>
    <row r="1444" spans="5:9" ht="12.5" customHeight="1" x14ac:dyDescent="0.25">
      <c r="E1444" s="1"/>
      <c r="F1444" s="2"/>
      <c r="H1444" s="1"/>
      <c r="I1444" s="2"/>
    </row>
    <row r="1445" spans="5:9" ht="12.5" customHeight="1" x14ac:dyDescent="0.25">
      <c r="E1445" s="1"/>
      <c r="F1445" s="2"/>
      <c r="H1445" s="1"/>
      <c r="I1445" s="2"/>
    </row>
    <row r="1446" spans="5:9" ht="12.5" customHeight="1" x14ac:dyDescent="0.25">
      <c r="E1446" s="1"/>
      <c r="F1446" s="2"/>
      <c r="H1446" s="1"/>
      <c r="I1446" s="2"/>
    </row>
    <row r="1447" spans="5:9" ht="12.5" customHeight="1" x14ac:dyDescent="0.25">
      <c r="E1447" s="1"/>
      <c r="F1447" s="2"/>
      <c r="H1447" s="1"/>
      <c r="I1447" s="2"/>
    </row>
    <row r="1448" spans="5:9" ht="12.5" customHeight="1" x14ac:dyDescent="0.25">
      <c r="E1448" s="1"/>
      <c r="F1448" s="2"/>
      <c r="H1448" s="1"/>
      <c r="I1448" s="2"/>
    </row>
    <row r="1449" spans="5:9" ht="12.5" customHeight="1" x14ac:dyDescent="0.25">
      <c r="E1449" s="1"/>
      <c r="F1449" s="2"/>
      <c r="H1449" s="1"/>
      <c r="I1449" s="2"/>
    </row>
    <row r="1450" spans="5:9" ht="12.5" customHeight="1" x14ac:dyDescent="0.25">
      <c r="E1450" s="1"/>
      <c r="F1450" s="2"/>
      <c r="H1450" s="1"/>
      <c r="I1450" s="2"/>
    </row>
    <row r="1451" spans="5:9" ht="12.5" customHeight="1" x14ac:dyDescent="0.25">
      <c r="E1451" s="1"/>
      <c r="F1451" s="2"/>
      <c r="H1451" s="1"/>
      <c r="I1451" s="2"/>
    </row>
    <row r="1452" spans="5:9" ht="12.5" customHeight="1" x14ac:dyDescent="0.25">
      <c r="E1452" s="1"/>
      <c r="F1452" s="2"/>
      <c r="H1452" s="1"/>
      <c r="I1452" s="2"/>
    </row>
    <row r="1453" spans="5:9" ht="12.5" customHeight="1" x14ac:dyDescent="0.25">
      <c r="E1453" s="1"/>
      <c r="F1453" s="2"/>
      <c r="H1453" s="1"/>
      <c r="I1453" s="2"/>
    </row>
    <row r="1454" spans="5:9" ht="12.5" customHeight="1" x14ac:dyDescent="0.25">
      <c r="E1454" s="1"/>
      <c r="F1454" s="2"/>
      <c r="H1454" s="1"/>
      <c r="I1454" s="2"/>
    </row>
    <row r="1455" spans="5:9" ht="12.5" customHeight="1" x14ac:dyDescent="0.25">
      <c r="E1455" s="1"/>
      <c r="F1455" s="2"/>
      <c r="H1455" s="1"/>
      <c r="I1455" s="2"/>
    </row>
    <row r="1456" spans="5:9" ht="12.5" customHeight="1" x14ac:dyDescent="0.25">
      <c r="E1456" s="1"/>
      <c r="F1456" s="2"/>
      <c r="H1456" s="1"/>
      <c r="I1456" s="2"/>
    </row>
    <row r="1457" spans="5:9" ht="12.5" customHeight="1" x14ac:dyDescent="0.25">
      <c r="E1457" s="1"/>
      <c r="F1457" s="2"/>
      <c r="H1457" s="1"/>
      <c r="I1457" s="2"/>
    </row>
    <row r="1458" spans="5:9" ht="12.5" customHeight="1" x14ac:dyDescent="0.25">
      <c r="E1458" s="1"/>
      <c r="F1458" s="2"/>
      <c r="H1458" s="1"/>
      <c r="I1458" s="2"/>
    </row>
    <row r="1459" spans="5:9" ht="12.5" customHeight="1" x14ac:dyDescent="0.25">
      <c r="E1459" s="1"/>
      <c r="F1459" s="2"/>
      <c r="H1459" s="1"/>
      <c r="I1459" s="2"/>
    </row>
    <row r="1460" spans="5:9" ht="12.5" customHeight="1" x14ac:dyDescent="0.25">
      <c r="E1460" s="1"/>
      <c r="F1460" s="2"/>
      <c r="H1460" s="1"/>
      <c r="I1460" s="2"/>
    </row>
    <row r="1461" spans="5:9" ht="12.5" customHeight="1" x14ac:dyDescent="0.25">
      <c r="E1461" s="1"/>
      <c r="F1461" s="2"/>
      <c r="H1461" s="1"/>
      <c r="I1461" s="2"/>
    </row>
    <row r="1462" spans="5:9" ht="12.5" customHeight="1" x14ac:dyDescent="0.25">
      <c r="E1462" s="1"/>
      <c r="F1462" s="2"/>
      <c r="H1462" s="1"/>
      <c r="I1462" s="2"/>
    </row>
    <row r="1463" spans="5:9" ht="12.5" customHeight="1" x14ac:dyDescent="0.25">
      <c r="E1463" s="1"/>
      <c r="F1463" s="2"/>
      <c r="H1463" s="1"/>
      <c r="I1463" s="2"/>
    </row>
    <row r="1464" spans="5:9" ht="12.5" customHeight="1" x14ac:dyDescent="0.25">
      <c r="E1464" s="1"/>
      <c r="F1464" s="2"/>
      <c r="H1464" s="1"/>
      <c r="I1464" s="2"/>
    </row>
    <row r="1465" spans="5:9" ht="12.5" customHeight="1" x14ac:dyDescent="0.25">
      <c r="E1465" s="1"/>
      <c r="F1465" s="2"/>
      <c r="H1465" s="1"/>
      <c r="I1465" s="2"/>
    </row>
    <row r="1466" spans="5:9" ht="12.5" customHeight="1" x14ac:dyDescent="0.25">
      <c r="E1466" s="1"/>
      <c r="F1466" s="2"/>
      <c r="H1466" s="1"/>
      <c r="I1466" s="2"/>
    </row>
    <row r="1467" spans="5:9" ht="12.5" customHeight="1" x14ac:dyDescent="0.25">
      <c r="E1467" s="1"/>
      <c r="F1467" s="2"/>
      <c r="H1467" s="1"/>
      <c r="I1467" s="2"/>
    </row>
    <row r="1468" spans="5:9" ht="12.5" customHeight="1" x14ac:dyDescent="0.25">
      <c r="E1468" s="1"/>
      <c r="F1468" s="2"/>
      <c r="H1468" s="1"/>
      <c r="I1468" s="2"/>
    </row>
    <row r="1469" spans="5:9" ht="12.5" customHeight="1" x14ac:dyDescent="0.25">
      <c r="E1469" s="1"/>
      <c r="F1469" s="2"/>
      <c r="H1469" s="1"/>
      <c r="I1469" s="2"/>
    </row>
    <row r="1470" spans="5:9" ht="12.5" customHeight="1" x14ac:dyDescent="0.25">
      <c r="E1470" s="1"/>
      <c r="F1470" s="2"/>
      <c r="H1470" s="1"/>
      <c r="I1470" s="2"/>
    </row>
    <row r="1471" spans="5:9" ht="12.5" customHeight="1" x14ac:dyDescent="0.25">
      <c r="E1471" s="1"/>
      <c r="F1471" s="2"/>
      <c r="H1471" s="1"/>
      <c r="I1471" s="2"/>
    </row>
    <row r="1472" spans="5:9" ht="12.5" customHeight="1" x14ac:dyDescent="0.25">
      <c r="E1472" s="1"/>
      <c r="F1472" s="2"/>
      <c r="H1472" s="1"/>
      <c r="I1472" s="2"/>
    </row>
    <row r="1473" spans="5:9" ht="12.5" customHeight="1" x14ac:dyDescent="0.25">
      <c r="E1473" s="1"/>
      <c r="F1473" s="2"/>
      <c r="H1473" s="1"/>
      <c r="I1473" s="2"/>
    </row>
    <row r="1474" spans="5:9" ht="12.5" customHeight="1" x14ac:dyDescent="0.25">
      <c r="E1474" s="1"/>
      <c r="F1474" s="2"/>
      <c r="H1474" s="1"/>
      <c r="I1474" s="2"/>
    </row>
    <row r="1475" spans="5:9" ht="12.5" customHeight="1" x14ac:dyDescent="0.25">
      <c r="E1475" s="1"/>
      <c r="F1475" s="2"/>
      <c r="H1475" s="1"/>
      <c r="I1475" s="2"/>
    </row>
    <row r="1476" spans="5:9" ht="12.5" customHeight="1" x14ac:dyDescent="0.25">
      <c r="E1476" s="1"/>
      <c r="F1476" s="2"/>
      <c r="H1476" s="1"/>
      <c r="I1476" s="2"/>
    </row>
    <row r="1477" spans="5:9" ht="12.5" customHeight="1" x14ac:dyDescent="0.25">
      <c r="E1477" s="1"/>
      <c r="F1477" s="2"/>
      <c r="H1477" s="1"/>
      <c r="I1477" s="2"/>
    </row>
    <row r="1478" spans="5:9" ht="12.5" customHeight="1" x14ac:dyDescent="0.25">
      <c r="E1478" s="1"/>
      <c r="F1478" s="2"/>
      <c r="H1478" s="1"/>
      <c r="I1478" s="2"/>
    </row>
    <row r="1479" spans="5:9" ht="12.5" customHeight="1" x14ac:dyDescent="0.25">
      <c r="E1479" s="1"/>
      <c r="F1479" s="2"/>
      <c r="H1479" s="1"/>
      <c r="I1479" s="2"/>
    </row>
    <row r="1480" spans="5:9" ht="12.5" customHeight="1" x14ac:dyDescent="0.25">
      <c r="E1480" s="1"/>
      <c r="F1480" s="2"/>
      <c r="H1480" s="1"/>
      <c r="I1480" s="2"/>
    </row>
    <row r="1481" spans="5:9" ht="12.5" customHeight="1" x14ac:dyDescent="0.25">
      <c r="E1481" s="1"/>
      <c r="F1481" s="2"/>
      <c r="H1481" s="1"/>
      <c r="I1481" s="2"/>
    </row>
    <row r="1482" spans="5:9" ht="12.5" customHeight="1" x14ac:dyDescent="0.25">
      <c r="E1482" s="1"/>
      <c r="F1482" s="2"/>
      <c r="H1482" s="1"/>
      <c r="I1482" s="2"/>
    </row>
    <row r="1483" spans="5:9" ht="12.5" customHeight="1" x14ac:dyDescent="0.25">
      <c r="E1483" s="1"/>
      <c r="F1483" s="2"/>
      <c r="H1483" s="1"/>
      <c r="I1483" s="2"/>
    </row>
    <row r="1484" spans="5:9" ht="12.5" customHeight="1" x14ac:dyDescent="0.25">
      <c r="E1484" s="1"/>
      <c r="F1484" s="2"/>
      <c r="H1484" s="1"/>
      <c r="I1484" s="2"/>
    </row>
    <row r="1485" spans="5:9" ht="12.5" customHeight="1" x14ac:dyDescent="0.25">
      <c r="E1485" s="1"/>
      <c r="F1485" s="2"/>
      <c r="H1485" s="1"/>
      <c r="I1485" s="2"/>
    </row>
    <row r="1486" spans="5:9" ht="12.5" customHeight="1" x14ac:dyDescent="0.25">
      <c r="E1486" s="1"/>
      <c r="F1486" s="2"/>
      <c r="H1486" s="1"/>
      <c r="I1486" s="2"/>
    </row>
    <row r="1487" spans="5:9" ht="12.5" customHeight="1" x14ac:dyDescent="0.25">
      <c r="E1487" s="1"/>
      <c r="F1487" s="2"/>
      <c r="H1487" s="1"/>
      <c r="I1487" s="2"/>
    </row>
    <row r="1488" spans="5:9" ht="12.5" customHeight="1" x14ac:dyDescent="0.25">
      <c r="E1488" s="1"/>
      <c r="F1488" s="2"/>
      <c r="H1488" s="1"/>
      <c r="I1488" s="2"/>
    </row>
    <row r="1489" spans="5:9" ht="12.5" customHeight="1" x14ac:dyDescent="0.25">
      <c r="E1489" s="1"/>
      <c r="F1489" s="2"/>
      <c r="H1489" s="1"/>
      <c r="I1489" s="2"/>
    </row>
    <row r="1490" spans="5:9" ht="12.5" customHeight="1" x14ac:dyDescent="0.25">
      <c r="E1490" s="1"/>
      <c r="F1490" s="2"/>
      <c r="H1490" s="1"/>
      <c r="I1490" s="2"/>
    </row>
    <row r="1491" spans="5:9" ht="12.5" customHeight="1" x14ac:dyDescent="0.25">
      <c r="E1491" s="1"/>
      <c r="F1491" s="2"/>
      <c r="H1491" s="1"/>
      <c r="I1491" s="2"/>
    </row>
    <row r="1492" spans="5:9" ht="12.5" customHeight="1" x14ac:dyDescent="0.25">
      <c r="E1492" s="1"/>
      <c r="F1492" s="2"/>
      <c r="H1492" s="1"/>
      <c r="I1492" s="2"/>
    </row>
    <row r="1493" spans="5:9" ht="12.5" customHeight="1" x14ac:dyDescent="0.25">
      <c r="E1493" s="1"/>
      <c r="F1493" s="2"/>
      <c r="H1493" s="1"/>
      <c r="I1493" s="2"/>
    </row>
    <row r="1494" spans="5:9" ht="12.5" customHeight="1" x14ac:dyDescent="0.25">
      <c r="E1494" s="1"/>
      <c r="F1494" s="2"/>
      <c r="H1494" s="1"/>
      <c r="I1494" s="2"/>
    </row>
    <row r="1495" spans="5:9" ht="12.5" customHeight="1" x14ac:dyDescent="0.25">
      <c r="E1495" s="1"/>
      <c r="F1495" s="2"/>
      <c r="H1495" s="1"/>
      <c r="I1495" s="2"/>
    </row>
    <row r="1496" spans="5:9" ht="12.5" customHeight="1" x14ac:dyDescent="0.25">
      <c r="E1496" s="1"/>
      <c r="F1496" s="2"/>
      <c r="H1496" s="1"/>
      <c r="I1496" s="2"/>
    </row>
    <row r="1497" spans="5:9" ht="12.5" customHeight="1" x14ac:dyDescent="0.25">
      <c r="E1497" s="1"/>
      <c r="F1497" s="2"/>
      <c r="H1497" s="1"/>
      <c r="I1497" s="2"/>
    </row>
    <row r="1498" spans="5:9" ht="12.5" customHeight="1" x14ac:dyDescent="0.25">
      <c r="E1498" s="1"/>
      <c r="F1498" s="2"/>
      <c r="H1498" s="1"/>
      <c r="I1498" s="2"/>
    </row>
    <row r="1499" spans="5:9" ht="12.5" customHeight="1" x14ac:dyDescent="0.25">
      <c r="E1499" s="1"/>
      <c r="F1499" s="2"/>
      <c r="H1499" s="1"/>
      <c r="I1499" s="2"/>
    </row>
    <row r="1500" spans="5:9" ht="12.5" customHeight="1" x14ac:dyDescent="0.25">
      <c r="E1500" s="1"/>
      <c r="F1500" s="2"/>
      <c r="H1500" s="1"/>
      <c r="I1500" s="2"/>
    </row>
    <row r="1501" spans="5:9" ht="12.5" customHeight="1" x14ac:dyDescent="0.25">
      <c r="E1501" s="1"/>
      <c r="F1501" s="2"/>
      <c r="H1501" s="1"/>
      <c r="I1501" s="2"/>
    </row>
    <row r="1502" spans="5:9" ht="12.5" customHeight="1" x14ac:dyDescent="0.25">
      <c r="E1502" s="1"/>
      <c r="F1502" s="2"/>
      <c r="H1502" s="1"/>
      <c r="I1502" s="2"/>
    </row>
    <row r="1503" spans="5:9" ht="12.5" customHeight="1" x14ac:dyDescent="0.25">
      <c r="E1503" s="1"/>
      <c r="F1503" s="2"/>
      <c r="H1503" s="1"/>
      <c r="I1503" s="2"/>
    </row>
    <row r="1504" spans="5:9" ht="12.5" customHeight="1" x14ac:dyDescent="0.25">
      <c r="E1504" s="1"/>
      <c r="F1504" s="2"/>
      <c r="H1504" s="1"/>
      <c r="I1504" s="2"/>
    </row>
    <row r="1505" spans="5:9" ht="12.5" customHeight="1" x14ac:dyDescent="0.25">
      <c r="E1505" s="1"/>
      <c r="F1505" s="2"/>
      <c r="H1505" s="1"/>
      <c r="I1505" s="2"/>
    </row>
    <row r="1506" spans="5:9" ht="12.5" customHeight="1" x14ac:dyDescent="0.25">
      <c r="E1506" s="1"/>
      <c r="F1506" s="2"/>
      <c r="H1506" s="1"/>
      <c r="I1506" s="2"/>
    </row>
    <row r="1507" spans="5:9" ht="12.5" customHeight="1" x14ac:dyDescent="0.25">
      <c r="E1507" s="1"/>
      <c r="F1507" s="2"/>
      <c r="H1507" s="1"/>
      <c r="I1507" s="2"/>
    </row>
    <row r="1508" spans="5:9" ht="12.5" customHeight="1" x14ac:dyDescent="0.25">
      <c r="E1508" s="1"/>
      <c r="F1508" s="2"/>
      <c r="H1508" s="1"/>
      <c r="I1508" s="2"/>
    </row>
    <row r="1509" spans="5:9" ht="12.5" customHeight="1" x14ac:dyDescent="0.25">
      <c r="E1509" s="1"/>
      <c r="F1509" s="2"/>
      <c r="H1509" s="1"/>
      <c r="I1509" s="2"/>
    </row>
    <row r="1510" spans="5:9" ht="12.5" customHeight="1" x14ac:dyDescent="0.25">
      <c r="E1510" s="1"/>
      <c r="F1510" s="2"/>
      <c r="H1510" s="1"/>
      <c r="I1510" s="2"/>
    </row>
    <row r="1511" spans="5:9" ht="12.5" customHeight="1" x14ac:dyDescent="0.25">
      <c r="E1511" s="1"/>
      <c r="F1511" s="2"/>
      <c r="H1511" s="1"/>
      <c r="I1511" s="2"/>
    </row>
    <row r="1512" spans="5:9" ht="12.5" customHeight="1" x14ac:dyDescent="0.25">
      <c r="E1512" s="1"/>
      <c r="F1512" s="2"/>
      <c r="H1512" s="1"/>
      <c r="I1512" s="2"/>
    </row>
    <row r="1513" spans="5:9" ht="12.5" customHeight="1" x14ac:dyDescent="0.25">
      <c r="E1513" s="1"/>
      <c r="F1513" s="2"/>
      <c r="H1513" s="1"/>
      <c r="I1513" s="2"/>
    </row>
    <row r="1514" spans="5:9" ht="12.5" customHeight="1" x14ac:dyDescent="0.25">
      <c r="E1514" s="1"/>
      <c r="F1514" s="2"/>
      <c r="H1514" s="1"/>
      <c r="I1514" s="2"/>
    </row>
    <row r="1515" spans="5:9" ht="12.5" customHeight="1" x14ac:dyDescent="0.25">
      <c r="E1515" s="1"/>
      <c r="F1515" s="2"/>
      <c r="H1515" s="1"/>
      <c r="I1515" s="2"/>
    </row>
    <row r="1516" spans="5:9" ht="12.5" customHeight="1" x14ac:dyDescent="0.25">
      <c r="E1516" s="1"/>
      <c r="F1516" s="2"/>
      <c r="H1516" s="1"/>
      <c r="I1516" s="2"/>
    </row>
    <row r="1517" spans="5:9" ht="12.5" customHeight="1" x14ac:dyDescent="0.25">
      <c r="E1517" s="1"/>
      <c r="F1517" s="2"/>
      <c r="H1517" s="1"/>
      <c r="I1517" s="2"/>
    </row>
    <row r="1518" spans="5:9" ht="12.5" customHeight="1" x14ac:dyDescent="0.25">
      <c r="E1518" s="1"/>
      <c r="F1518" s="2"/>
      <c r="H1518" s="1"/>
      <c r="I1518" s="2"/>
    </row>
    <row r="1519" spans="5:9" ht="12.5" customHeight="1" x14ac:dyDescent="0.25">
      <c r="E1519" s="1"/>
      <c r="F1519" s="2"/>
      <c r="H1519" s="1"/>
      <c r="I1519" s="2"/>
    </row>
    <row r="1520" spans="5:9" ht="12.5" customHeight="1" x14ac:dyDescent="0.25">
      <c r="E1520" s="1"/>
      <c r="F1520" s="2"/>
      <c r="H1520" s="1"/>
      <c r="I1520" s="2"/>
    </row>
    <row r="1521" spans="5:9" ht="12.5" customHeight="1" x14ac:dyDescent="0.25">
      <c r="E1521" s="1"/>
      <c r="F1521" s="2"/>
      <c r="H1521" s="1"/>
      <c r="I1521" s="2"/>
    </row>
    <row r="1522" spans="5:9" ht="12.5" customHeight="1" x14ac:dyDescent="0.25">
      <c r="E1522" s="1"/>
      <c r="F1522" s="2"/>
      <c r="H1522" s="1"/>
      <c r="I1522" s="2"/>
    </row>
    <row r="1523" spans="5:9" ht="12.5" customHeight="1" x14ac:dyDescent="0.25">
      <c r="E1523" s="1"/>
      <c r="F1523" s="2"/>
      <c r="H1523" s="1"/>
      <c r="I1523" s="2"/>
    </row>
    <row r="1524" spans="5:9" ht="12.5" customHeight="1" x14ac:dyDescent="0.25">
      <c r="E1524" s="1"/>
      <c r="F1524" s="2"/>
      <c r="H1524" s="1"/>
      <c r="I1524" s="2"/>
    </row>
    <row r="1525" spans="5:9" ht="12.5" customHeight="1" x14ac:dyDescent="0.25">
      <c r="E1525" s="1"/>
      <c r="F1525" s="2"/>
      <c r="H1525" s="1"/>
      <c r="I1525" s="2"/>
    </row>
    <row r="1526" spans="5:9" ht="12.5" customHeight="1" x14ac:dyDescent="0.25">
      <c r="E1526" s="1"/>
      <c r="F1526" s="2"/>
      <c r="H1526" s="1"/>
      <c r="I1526" s="2"/>
    </row>
    <row r="1527" spans="5:9" ht="12.5" customHeight="1" x14ac:dyDescent="0.25">
      <c r="E1527" s="1"/>
      <c r="F1527" s="2"/>
      <c r="H1527" s="1"/>
      <c r="I1527" s="2"/>
    </row>
    <row r="1528" spans="5:9" ht="12.5" customHeight="1" x14ac:dyDescent="0.25">
      <c r="E1528" s="1"/>
      <c r="F1528" s="2"/>
      <c r="H1528" s="1"/>
      <c r="I1528" s="2"/>
    </row>
    <row r="1529" spans="5:9" ht="12.5" customHeight="1" x14ac:dyDescent="0.25">
      <c r="E1529" s="1"/>
      <c r="F1529" s="2"/>
      <c r="H1529" s="1"/>
      <c r="I1529" s="2"/>
    </row>
    <row r="1530" spans="5:9" ht="12.5" customHeight="1" x14ac:dyDescent="0.25">
      <c r="E1530" s="1"/>
      <c r="F1530" s="2"/>
      <c r="H1530" s="1"/>
      <c r="I1530" s="2"/>
    </row>
    <row r="1531" spans="5:9" ht="12.5" customHeight="1" x14ac:dyDescent="0.25">
      <c r="E1531" s="1"/>
      <c r="F1531" s="2"/>
      <c r="H1531" s="1"/>
      <c r="I1531" s="2"/>
    </row>
    <row r="1532" spans="5:9" ht="12.5" customHeight="1" x14ac:dyDescent="0.25">
      <c r="E1532" s="1"/>
      <c r="F1532" s="2"/>
      <c r="H1532" s="1"/>
      <c r="I1532" s="2"/>
    </row>
    <row r="1533" spans="5:9" ht="12.5" customHeight="1" x14ac:dyDescent="0.25">
      <c r="E1533" s="1"/>
      <c r="F1533" s="2"/>
      <c r="H1533" s="1"/>
      <c r="I1533" s="2"/>
    </row>
    <row r="1534" spans="5:9" ht="12.5" customHeight="1" x14ac:dyDescent="0.25">
      <c r="E1534" s="1"/>
      <c r="F1534" s="2"/>
      <c r="H1534" s="1"/>
      <c r="I1534" s="2"/>
    </row>
    <row r="1535" spans="5:9" ht="12.5" customHeight="1" x14ac:dyDescent="0.25">
      <c r="E1535" s="1"/>
      <c r="F1535" s="2"/>
      <c r="H1535" s="1"/>
      <c r="I1535" s="2"/>
    </row>
    <row r="1536" spans="5:9" ht="12.5" customHeight="1" x14ac:dyDescent="0.25">
      <c r="E1536" s="1"/>
      <c r="F1536" s="2"/>
      <c r="H1536" s="1"/>
      <c r="I1536" s="2"/>
    </row>
    <row r="1537" spans="5:9" ht="12.5" customHeight="1" x14ac:dyDescent="0.25">
      <c r="E1537" s="1"/>
      <c r="F1537" s="2"/>
      <c r="H1537" s="1"/>
      <c r="I1537" s="2"/>
    </row>
    <row r="1538" spans="5:9" ht="12.5" customHeight="1" x14ac:dyDescent="0.25">
      <c r="E1538" s="1"/>
      <c r="F1538" s="2"/>
      <c r="H1538" s="1"/>
      <c r="I1538" s="2"/>
    </row>
    <row r="1539" spans="5:9" ht="12.5" customHeight="1" x14ac:dyDescent="0.25">
      <c r="E1539" s="1"/>
      <c r="F1539" s="2"/>
      <c r="H1539" s="1"/>
      <c r="I1539" s="2"/>
    </row>
    <row r="1540" spans="5:9" ht="12.5" customHeight="1" x14ac:dyDescent="0.25">
      <c r="E1540" s="1"/>
      <c r="F1540" s="2"/>
      <c r="H1540" s="1"/>
      <c r="I1540" s="2"/>
    </row>
    <row r="1541" spans="5:9" ht="12.5" customHeight="1" x14ac:dyDescent="0.25">
      <c r="E1541" s="1"/>
      <c r="F1541" s="2"/>
      <c r="H1541" s="1"/>
      <c r="I1541" s="2"/>
    </row>
    <row r="1542" spans="5:9" ht="12.5" customHeight="1" x14ac:dyDescent="0.25">
      <c r="E1542" s="1"/>
      <c r="F1542" s="2"/>
      <c r="H1542" s="1"/>
      <c r="I1542" s="2"/>
    </row>
    <row r="1543" spans="5:9" ht="12.5" customHeight="1" x14ac:dyDescent="0.25">
      <c r="E1543" s="1"/>
      <c r="F1543" s="2"/>
      <c r="H1543" s="1"/>
      <c r="I1543" s="2"/>
    </row>
    <row r="1544" spans="5:9" ht="12.5" customHeight="1" x14ac:dyDescent="0.25">
      <c r="E1544" s="1"/>
      <c r="F1544" s="2"/>
      <c r="H1544" s="1"/>
      <c r="I1544" s="2"/>
    </row>
    <row r="1545" spans="5:9" ht="12.5" customHeight="1" x14ac:dyDescent="0.25">
      <c r="E1545" s="1"/>
      <c r="F1545" s="2"/>
      <c r="H1545" s="1"/>
      <c r="I1545" s="2"/>
    </row>
    <row r="1546" spans="5:9" ht="12.5" customHeight="1" x14ac:dyDescent="0.25">
      <c r="E1546" s="1"/>
      <c r="F1546" s="2"/>
      <c r="H1546" s="1"/>
      <c r="I1546" s="2"/>
    </row>
    <row r="1547" spans="5:9" ht="12.5" customHeight="1" x14ac:dyDescent="0.25">
      <c r="E1547" s="1"/>
      <c r="F1547" s="2"/>
      <c r="H1547" s="1"/>
      <c r="I1547" s="2"/>
    </row>
    <row r="1548" spans="5:9" ht="12.5" customHeight="1" x14ac:dyDescent="0.25">
      <c r="E1548" s="1"/>
      <c r="F1548" s="2"/>
      <c r="H1548" s="1"/>
      <c r="I1548" s="2"/>
    </row>
    <row r="1549" spans="5:9" ht="12.5" customHeight="1" x14ac:dyDescent="0.25">
      <c r="E1549" s="1"/>
      <c r="F1549" s="2"/>
      <c r="H1549" s="1"/>
      <c r="I1549" s="2"/>
    </row>
    <row r="1550" spans="5:9" ht="12.5" customHeight="1" x14ac:dyDescent="0.25">
      <c r="E1550" s="1"/>
      <c r="F1550" s="2"/>
      <c r="H1550" s="1"/>
      <c r="I1550" s="2"/>
    </row>
    <row r="1551" spans="5:9" ht="12.5" customHeight="1" x14ac:dyDescent="0.25">
      <c r="E1551" s="1"/>
      <c r="F1551" s="2"/>
      <c r="H1551" s="1"/>
      <c r="I1551" s="2"/>
    </row>
    <row r="1552" spans="5:9" ht="12.5" customHeight="1" x14ac:dyDescent="0.25">
      <c r="E1552" s="1"/>
      <c r="F1552" s="2"/>
      <c r="H1552" s="1"/>
      <c r="I1552" s="2"/>
    </row>
    <row r="1553" spans="5:9" ht="12.5" customHeight="1" x14ac:dyDescent="0.25">
      <c r="E1553" s="1"/>
      <c r="F1553" s="2"/>
      <c r="H1553" s="1"/>
      <c r="I1553" s="2"/>
    </row>
    <row r="1554" spans="5:9" ht="12.5" customHeight="1" x14ac:dyDescent="0.25">
      <c r="E1554" s="1"/>
      <c r="F1554" s="2"/>
      <c r="H1554" s="1"/>
      <c r="I1554" s="2"/>
    </row>
    <row r="1555" spans="5:9" ht="12.5" customHeight="1" x14ac:dyDescent="0.25">
      <c r="E1555" s="1"/>
      <c r="F1555" s="2"/>
      <c r="H1555" s="1"/>
      <c r="I1555" s="2"/>
    </row>
    <row r="1556" spans="5:9" ht="12.5" customHeight="1" x14ac:dyDescent="0.25">
      <c r="E1556" s="1"/>
      <c r="F1556" s="2"/>
      <c r="H1556" s="1"/>
      <c r="I1556" s="2"/>
    </row>
    <row r="1557" spans="5:9" ht="12.5" customHeight="1" x14ac:dyDescent="0.25">
      <c r="E1557" s="1"/>
      <c r="F1557" s="2"/>
      <c r="H1557" s="1"/>
      <c r="I1557" s="2"/>
    </row>
    <row r="1558" spans="5:9" ht="12.5" customHeight="1" x14ac:dyDescent="0.25">
      <c r="E1558" s="1"/>
      <c r="F1558" s="2"/>
      <c r="H1558" s="1"/>
      <c r="I1558" s="2"/>
    </row>
    <row r="1559" spans="5:9" ht="12.5" customHeight="1" x14ac:dyDescent="0.25">
      <c r="E1559" s="1"/>
      <c r="F1559" s="2"/>
      <c r="H1559" s="1"/>
      <c r="I1559" s="2"/>
    </row>
    <row r="1560" spans="5:9" ht="12.5" customHeight="1" x14ac:dyDescent="0.25">
      <c r="E1560" s="1"/>
      <c r="F1560" s="2"/>
      <c r="H1560" s="1"/>
      <c r="I1560" s="2"/>
    </row>
    <row r="1561" spans="5:9" ht="12.5" customHeight="1" x14ac:dyDescent="0.25">
      <c r="E1561" s="1"/>
      <c r="F1561" s="2"/>
      <c r="H1561" s="1"/>
      <c r="I1561" s="2"/>
    </row>
    <row r="1562" spans="5:9" ht="12.5" customHeight="1" x14ac:dyDescent="0.25">
      <c r="E1562" s="1"/>
      <c r="F1562" s="2"/>
      <c r="H1562" s="1"/>
      <c r="I1562" s="2"/>
    </row>
    <row r="1563" spans="5:9" ht="12.5" customHeight="1" x14ac:dyDescent="0.25">
      <c r="E1563" s="1"/>
      <c r="F1563" s="2"/>
      <c r="H1563" s="1"/>
      <c r="I1563" s="2"/>
    </row>
    <row r="1564" spans="5:9" ht="12.5" customHeight="1" x14ac:dyDescent="0.25">
      <c r="E1564" s="1"/>
      <c r="F1564" s="2"/>
      <c r="H1564" s="1"/>
      <c r="I1564" s="2"/>
    </row>
    <row r="1565" spans="5:9" ht="12.5" customHeight="1" x14ac:dyDescent="0.25">
      <c r="E1565" s="1"/>
      <c r="F1565" s="2"/>
      <c r="H1565" s="1"/>
      <c r="I1565" s="2"/>
    </row>
    <row r="1566" spans="5:9" ht="12.5" customHeight="1" x14ac:dyDescent="0.25">
      <c r="E1566" s="1"/>
      <c r="F1566" s="2"/>
      <c r="H1566" s="1"/>
      <c r="I1566" s="2"/>
    </row>
    <row r="1567" spans="5:9" ht="12.5" customHeight="1" x14ac:dyDescent="0.25">
      <c r="E1567" s="1"/>
      <c r="F1567" s="2"/>
      <c r="H1567" s="1"/>
      <c r="I1567" s="2"/>
    </row>
    <row r="1568" spans="5:9" ht="12.5" customHeight="1" x14ac:dyDescent="0.25">
      <c r="E1568" s="1"/>
      <c r="F1568" s="2"/>
      <c r="H1568" s="1"/>
      <c r="I1568" s="2"/>
    </row>
    <row r="1569" spans="5:9" ht="12.5" customHeight="1" x14ac:dyDescent="0.25">
      <c r="E1569" s="1"/>
      <c r="F1569" s="2"/>
      <c r="H1569" s="1"/>
      <c r="I1569" s="2"/>
    </row>
    <row r="1570" spans="5:9" ht="12.5" customHeight="1" x14ac:dyDescent="0.25">
      <c r="E1570" s="1"/>
      <c r="F1570" s="2"/>
      <c r="H1570" s="1"/>
      <c r="I1570" s="2"/>
    </row>
    <row r="1571" spans="5:9" ht="12.5" customHeight="1" x14ac:dyDescent="0.25">
      <c r="E1571" s="1"/>
      <c r="F1571" s="2"/>
      <c r="H1571" s="1"/>
      <c r="I1571" s="2"/>
    </row>
    <row r="1572" spans="5:9" ht="12.5" customHeight="1" x14ac:dyDescent="0.25">
      <c r="E1572" s="1"/>
      <c r="F1572" s="2"/>
      <c r="H1572" s="1"/>
      <c r="I1572" s="2"/>
    </row>
    <row r="1573" spans="5:9" ht="12.5" customHeight="1" x14ac:dyDescent="0.25">
      <c r="E1573" s="1"/>
      <c r="F1573" s="2"/>
      <c r="H1573" s="1"/>
      <c r="I1573" s="2"/>
    </row>
    <row r="1574" spans="5:9" ht="12.5" customHeight="1" x14ac:dyDescent="0.25">
      <c r="E1574" s="1"/>
      <c r="F1574" s="2"/>
      <c r="H1574" s="1"/>
      <c r="I1574" s="2"/>
    </row>
    <row r="1575" spans="5:9" ht="12.5" customHeight="1" x14ac:dyDescent="0.25">
      <c r="E1575" s="1"/>
      <c r="F1575" s="2"/>
      <c r="H1575" s="1"/>
      <c r="I1575" s="2"/>
    </row>
    <row r="1576" spans="5:9" ht="12.5" customHeight="1" x14ac:dyDescent="0.25">
      <c r="E1576" s="1"/>
      <c r="F1576" s="2"/>
      <c r="H1576" s="1"/>
      <c r="I1576" s="2"/>
    </row>
    <row r="1577" spans="5:9" ht="12.5" customHeight="1" x14ac:dyDescent="0.25">
      <c r="E1577" s="1"/>
      <c r="F1577" s="2"/>
      <c r="H1577" s="1"/>
      <c r="I1577" s="2"/>
    </row>
    <row r="1578" spans="5:9" ht="12.5" customHeight="1" x14ac:dyDescent="0.25">
      <c r="E1578" s="1"/>
      <c r="F1578" s="2"/>
      <c r="H1578" s="1"/>
      <c r="I1578" s="2"/>
    </row>
    <row r="1579" spans="5:9" ht="12.5" customHeight="1" x14ac:dyDescent="0.25">
      <c r="E1579" s="1"/>
      <c r="F1579" s="2"/>
      <c r="H1579" s="1"/>
      <c r="I1579" s="2"/>
    </row>
    <row r="1580" spans="5:9" ht="12.5" customHeight="1" x14ac:dyDescent="0.25">
      <c r="E1580" s="1"/>
      <c r="F1580" s="2"/>
      <c r="H1580" s="1"/>
      <c r="I1580" s="2"/>
    </row>
    <row r="1581" spans="5:9" ht="12.5" customHeight="1" x14ac:dyDescent="0.25">
      <c r="E1581" s="1"/>
      <c r="F1581" s="2"/>
      <c r="H1581" s="1"/>
      <c r="I1581" s="2"/>
    </row>
    <row r="1582" spans="5:9" ht="12.5" customHeight="1" x14ac:dyDescent="0.25">
      <c r="E1582" s="1"/>
      <c r="F1582" s="2"/>
      <c r="H1582" s="1"/>
      <c r="I1582" s="2"/>
    </row>
    <row r="1583" spans="5:9" ht="12.5" customHeight="1" x14ac:dyDescent="0.25">
      <c r="E1583" s="1"/>
      <c r="F1583" s="2"/>
      <c r="H1583" s="1"/>
      <c r="I1583" s="2"/>
    </row>
    <row r="1584" spans="5:9" ht="12.5" customHeight="1" x14ac:dyDescent="0.25">
      <c r="E1584" s="1"/>
      <c r="F1584" s="2"/>
      <c r="H1584" s="1"/>
      <c r="I1584" s="2"/>
    </row>
    <row r="1585" spans="5:9" ht="12.5" customHeight="1" x14ac:dyDescent="0.25">
      <c r="E1585" s="1"/>
      <c r="F1585" s="2"/>
      <c r="H1585" s="1"/>
      <c r="I1585" s="2"/>
    </row>
    <row r="1586" spans="5:9" ht="12.5" customHeight="1" x14ac:dyDescent="0.25">
      <c r="E1586" s="1"/>
      <c r="F1586" s="2"/>
      <c r="H1586" s="1"/>
      <c r="I1586" s="2"/>
    </row>
    <row r="1587" spans="5:9" ht="12.5" customHeight="1" x14ac:dyDescent="0.25">
      <c r="E1587" s="1"/>
      <c r="F1587" s="2"/>
      <c r="H1587" s="1"/>
      <c r="I1587" s="2"/>
    </row>
    <row r="1588" spans="5:9" ht="12.5" customHeight="1" x14ac:dyDescent="0.25">
      <c r="E1588" s="1"/>
      <c r="F1588" s="2"/>
      <c r="H1588" s="1"/>
      <c r="I1588" s="2"/>
    </row>
    <row r="1589" spans="5:9" ht="12.5" customHeight="1" x14ac:dyDescent="0.25">
      <c r="E1589" s="1"/>
      <c r="F1589" s="2"/>
      <c r="H1589" s="1"/>
      <c r="I1589" s="2"/>
    </row>
    <row r="1590" spans="5:9" ht="12.5" customHeight="1" x14ac:dyDescent="0.25">
      <c r="E1590" s="1"/>
      <c r="F1590" s="2"/>
      <c r="H1590" s="1"/>
      <c r="I1590" s="2"/>
    </row>
    <row r="1591" spans="5:9" ht="12.5" customHeight="1" x14ac:dyDescent="0.25">
      <c r="E1591" s="1"/>
      <c r="F1591" s="2"/>
      <c r="H1591" s="1"/>
      <c r="I1591" s="2"/>
    </row>
    <row r="1592" spans="5:9" ht="12.5" customHeight="1" x14ac:dyDescent="0.25">
      <c r="E1592" s="1"/>
      <c r="F1592" s="2"/>
      <c r="H1592" s="1"/>
      <c r="I1592" s="2"/>
    </row>
    <row r="1593" spans="5:9" ht="12.5" customHeight="1" x14ac:dyDescent="0.25">
      <c r="E1593" s="1"/>
      <c r="F1593" s="2"/>
      <c r="H1593" s="1"/>
      <c r="I1593" s="2"/>
    </row>
    <row r="1594" spans="5:9" ht="12.5" customHeight="1" x14ac:dyDescent="0.25">
      <c r="E1594" s="1"/>
      <c r="F1594" s="2"/>
      <c r="H1594" s="1"/>
      <c r="I1594" s="2"/>
    </row>
    <row r="1595" spans="5:9" ht="12.5" customHeight="1" x14ac:dyDescent="0.25">
      <c r="E1595" s="1"/>
      <c r="F1595" s="2"/>
      <c r="H1595" s="1"/>
      <c r="I1595" s="2"/>
    </row>
    <row r="1596" spans="5:9" ht="12.5" customHeight="1" x14ac:dyDescent="0.25">
      <c r="E1596" s="1"/>
      <c r="F1596" s="2"/>
      <c r="H1596" s="1"/>
      <c r="I1596" s="2"/>
    </row>
    <row r="1597" spans="5:9" ht="12.5" customHeight="1" x14ac:dyDescent="0.25">
      <c r="E1597" s="1"/>
      <c r="F1597" s="2"/>
      <c r="H1597" s="1"/>
      <c r="I1597" s="2"/>
    </row>
    <row r="1598" spans="5:9" ht="12.5" customHeight="1" x14ac:dyDescent="0.25">
      <c r="E1598" s="1"/>
      <c r="F1598" s="2"/>
      <c r="H1598" s="1"/>
      <c r="I1598" s="2"/>
    </row>
    <row r="1599" spans="5:9" ht="12.5" customHeight="1" x14ac:dyDescent="0.25">
      <c r="E1599" s="1"/>
      <c r="F1599" s="2"/>
      <c r="H1599" s="1"/>
      <c r="I1599" s="2"/>
    </row>
    <row r="1600" spans="5:9" ht="12.5" customHeight="1" x14ac:dyDescent="0.25">
      <c r="E1600" s="1"/>
      <c r="F1600" s="2"/>
      <c r="H1600" s="1"/>
      <c r="I1600" s="2"/>
    </row>
    <row r="1601" spans="5:9" ht="12.5" customHeight="1" x14ac:dyDescent="0.25">
      <c r="E1601" s="1"/>
      <c r="F1601" s="2"/>
      <c r="H1601" s="1"/>
      <c r="I1601" s="2"/>
    </row>
    <row r="1602" spans="5:9" ht="12.5" customHeight="1" x14ac:dyDescent="0.25">
      <c r="E1602" s="1"/>
      <c r="F1602" s="2"/>
      <c r="H1602" s="1"/>
      <c r="I1602" s="2"/>
    </row>
    <row r="1603" spans="5:9" ht="12.5" customHeight="1" x14ac:dyDescent="0.25">
      <c r="E1603" s="1"/>
      <c r="F1603" s="2"/>
      <c r="H1603" s="1"/>
      <c r="I1603" s="2"/>
    </row>
    <row r="1604" spans="5:9" ht="12.5" customHeight="1" x14ac:dyDescent="0.25">
      <c r="E1604" s="1"/>
      <c r="F1604" s="2"/>
      <c r="H1604" s="1"/>
      <c r="I1604" s="2"/>
    </row>
    <row r="1605" spans="5:9" ht="12.5" customHeight="1" x14ac:dyDescent="0.25">
      <c r="E1605" s="1"/>
      <c r="F1605" s="2"/>
      <c r="H1605" s="1"/>
      <c r="I1605" s="2"/>
    </row>
    <row r="1606" spans="5:9" ht="12.5" customHeight="1" x14ac:dyDescent="0.25">
      <c r="E1606" s="1"/>
      <c r="F1606" s="2"/>
      <c r="H1606" s="1"/>
      <c r="I1606" s="2"/>
    </row>
    <row r="1607" spans="5:9" ht="12.5" customHeight="1" x14ac:dyDescent="0.25">
      <c r="E1607" s="1"/>
      <c r="F1607" s="2"/>
      <c r="H1607" s="1"/>
      <c r="I1607" s="2"/>
    </row>
    <row r="1608" spans="5:9" ht="12.5" customHeight="1" x14ac:dyDescent="0.25">
      <c r="E1608" s="1"/>
      <c r="F1608" s="2"/>
      <c r="H1608" s="1"/>
      <c r="I1608" s="2"/>
    </row>
    <row r="1609" spans="5:9" ht="12.5" customHeight="1" x14ac:dyDescent="0.25">
      <c r="E1609" s="1"/>
      <c r="F1609" s="2"/>
      <c r="H1609" s="1"/>
      <c r="I1609" s="2"/>
    </row>
    <row r="1610" spans="5:9" ht="12.5" customHeight="1" x14ac:dyDescent="0.25">
      <c r="E1610" s="1"/>
      <c r="F1610" s="2"/>
      <c r="H1610" s="1"/>
      <c r="I1610" s="2"/>
    </row>
    <row r="1611" spans="5:9" ht="12.5" customHeight="1" x14ac:dyDescent="0.25">
      <c r="E1611" s="1"/>
      <c r="F1611" s="2"/>
      <c r="H1611" s="1"/>
      <c r="I1611" s="2"/>
    </row>
    <row r="1612" spans="5:9" ht="12.5" customHeight="1" x14ac:dyDescent="0.25">
      <c r="E1612" s="1"/>
      <c r="F1612" s="2"/>
      <c r="H1612" s="1"/>
      <c r="I1612" s="2"/>
    </row>
    <row r="1613" spans="5:9" ht="12.5" customHeight="1" x14ac:dyDescent="0.25">
      <c r="E1613" s="1"/>
      <c r="F1613" s="2"/>
      <c r="H1613" s="1"/>
      <c r="I1613" s="2"/>
    </row>
    <row r="1614" spans="5:9" ht="12.5" customHeight="1" x14ac:dyDescent="0.25">
      <c r="E1614" s="1"/>
      <c r="F1614" s="2"/>
      <c r="H1614" s="1"/>
      <c r="I1614" s="2"/>
    </row>
    <row r="1615" spans="5:9" ht="12.5" customHeight="1" x14ac:dyDescent="0.25">
      <c r="E1615" s="1"/>
      <c r="F1615" s="2"/>
      <c r="H1615" s="1"/>
      <c r="I1615" s="2"/>
    </row>
    <row r="1616" spans="5:9" ht="12.5" customHeight="1" x14ac:dyDescent="0.25">
      <c r="E1616" s="1"/>
      <c r="F1616" s="2"/>
      <c r="H1616" s="1"/>
      <c r="I1616" s="2"/>
    </row>
    <row r="1617" spans="5:9" ht="12.5" customHeight="1" x14ac:dyDescent="0.25">
      <c r="E1617" s="1"/>
      <c r="F1617" s="2"/>
      <c r="H1617" s="1"/>
      <c r="I1617" s="2"/>
    </row>
    <row r="1618" spans="5:9" ht="12.5" customHeight="1" x14ac:dyDescent="0.25">
      <c r="E1618" s="1"/>
      <c r="F1618" s="2"/>
      <c r="H1618" s="1"/>
      <c r="I1618" s="2"/>
    </row>
    <row r="1619" spans="5:9" ht="12.5" customHeight="1" x14ac:dyDescent="0.25">
      <c r="E1619" s="1"/>
      <c r="F1619" s="2"/>
      <c r="H1619" s="1"/>
      <c r="I1619" s="2"/>
    </row>
    <row r="1620" spans="5:9" ht="12.5" customHeight="1" x14ac:dyDescent="0.25">
      <c r="E1620" s="1"/>
      <c r="F1620" s="2"/>
      <c r="H1620" s="1"/>
      <c r="I1620" s="2"/>
    </row>
    <row r="1621" spans="5:9" ht="12.5" customHeight="1" x14ac:dyDescent="0.25">
      <c r="E1621" s="1"/>
      <c r="F1621" s="2"/>
      <c r="H1621" s="1"/>
      <c r="I1621" s="2"/>
    </row>
    <row r="1622" spans="5:9" ht="12.5" customHeight="1" x14ac:dyDescent="0.25">
      <c r="E1622" s="1"/>
      <c r="F1622" s="2"/>
      <c r="H1622" s="1"/>
      <c r="I1622" s="2"/>
    </row>
    <row r="1623" spans="5:9" ht="12.5" customHeight="1" x14ac:dyDescent="0.25">
      <c r="E1623" s="1"/>
      <c r="F1623" s="2"/>
      <c r="H1623" s="1"/>
      <c r="I1623" s="2"/>
    </row>
    <row r="1624" spans="5:9" ht="12.5" customHeight="1" x14ac:dyDescent="0.25">
      <c r="E1624" s="1"/>
      <c r="F1624" s="2"/>
      <c r="H1624" s="1"/>
      <c r="I1624" s="2"/>
    </row>
    <row r="1625" spans="5:9" ht="12.5" customHeight="1" x14ac:dyDescent="0.25">
      <c r="E1625" s="1"/>
      <c r="F1625" s="2"/>
      <c r="H1625" s="1"/>
      <c r="I1625" s="2"/>
    </row>
    <row r="1626" spans="5:9" ht="12.5" customHeight="1" x14ac:dyDescent="0.25">
      <c r="E1626" s="1"/>
      <c r="F1626" s="2"/>
      <c r="H1626" s="1"/>
      <c r="I1626" s="2"/>
    </row>
    <row r="1627" spans="5:9" ht="12.5" customHeight="1" x14ac:dyDescent="0.25">
      <c r="E1627" s="1"/>
      <c r="F1627" s="2"/>
      <c r="H1627" s="1"/>
      <c r="I1627" s="2"/>
    </row>
    <row r="1628" spans="5:9" ht="12.5" customHeight="1" x14ac:dyDescent="0.25">
      <c r="E1628" s="1"/>
      <c r="F1628" s="2"/>
      <c r="H1628" s="1"/>
      <c r="I1628" s="2"/>
    </row>
    <row r="1629" spans="5:9" ht="12.5" customHeight="1" x14ac:dyDescent="0.25">
      <c r="E1629" s="1"/>
      <c r="F1629" s="2"/>
      <c r="H1629" s="1"/>
      <c r="I1629" s="2"/>
    </row>
    <row r="1630" spans="5:9" ht="12.5" customHeight="1" x14ac:dyDescent="0.25">
      <c r="E1630" s="1"/>
      <c r="F1630" s="2"/>
      <c r="H1630" s="1"/>
      <c r="I1630" s="2"/>
    </row>
    <row r="1631" spans="5:9" ht="12.5" customHeight="1" x14ac:dyDescent="0.25">
      <c r="E1631" s="1"/>
      <c r="F1631" s="2"/>
      <c r="H1631" s="1"/>
      <c r="I1631" s="2"/>
    </row>
    <row r="1632" spans="5:9" ht="12.5" customHeight="1" x14ac:dyDescent="0.25">
      <c r="E1632" s="1"/>
      <c r="F1632" s="2"/>
      <c r="H1632" s="1"/>
      <c r="I1632" s="2"/>
    </row>
    <row r="1633" spans="5:9" ht="12.5" customHeight="1" x14ac:dyDescent="0.25">
      <c r="E1633" s="1"/>
      <c r="F1633" s="2"/>
      <c r="H1633" s="1"/>
      <c r="I1633" s="2"/>
    </row>
    <row r="1634" spans="5:9" ht="12.5" customHeight="1" x14ac:dyDescent="0.25">
      <c r="E1634" s="1"/>
      <c r="F1634" s="2"/>
      <c r="H1634" s="1"/>
      <c r="I1634" s="2"/>
    </row>
    <row r="1635" spans="5:9" ht="12.5" customHeight="1" x14ac:dyDescent="0.25">
      <c r="E1635" s="1"/>
      <c r="F1635" s="2"/>
      <c r="H1635" s="1"/>
      <c r="I1635" s="2"/>
    </row>
    <row r="1636" spans="5:9" ht="12.5" customHeight="1" x14ac:dyDescent="0.25">
      <c r="E1636" s="1"/>
      <c r="F1636" s="2"/>
      <c r="H1636" s="1"/>
      <c r="I1636" s="2"/>
    </row>
    <row r="1637" spans="5:9" ht="12.5" customHeight="1" x14ac:dyDescent="0.25">
      <c r="E1637" s="1"/>
      <c r="F1637" s="2"/>
      <c r="H1637" s="1"/>
      <c r="I1637" s="2"/>
    </row>
    <row r="1638" spans="5:9" ht="12.5" customHeight="1" x14ac:dyDescent="0.25">
      <c r="E1638" s="1"/>
      <c r="F1638" s="2"/>
      <c r="H1638" s="1"/>
      <c r="I1638" s="2"/>
    </row>
    <row r="1639" spans="5:9" ht="12.5" customHeight="1" x14ac:dyDescent="0.25">
      <c r="E1639" s="1"/>
      <c r="F1639" s="2"/>
      <c r="H1639" s="1"/>
      <c r="I1639" s="2"/>
    </row>
    <row r="1640" spans="5:9" ht="12.5" customHeight="1" x14ac:dyDescent="0.25">
      <c r="E1640" s="1"/>
      <c r="F1640" s="2"/>
      <c r="H1640" s="1"/>
      <c r="I1640" s="2"/>
    </row>
    <row r="1641" spans="5:9" ht="12.5" customHeight="1" x14ac:dyDescent="0.25">
      <c r="E1641" s="1"/>
      <c r="F1641" s="2"/>
      <c r="H1641" s="1"/>
      <c r="I1641" s="2"/>
    </row>
    <row r="1642" spans="5:9" ht="12.5" customHeight="1" x14ac:dyDescent="0.25">
      <c r="E1642" s="1"/>
      <c r="F1642" s="2"/>
      <c r="H1642" s="1"/>
      <c r="I1642" s="2"/>
    </row>
    <row r="1643" spans="5:9" ht="12.5" customHeight="1" x14ac:dyDescent="0.25">
      <c r="E1643" s="1"/>
      <c r="F1643" s="2"/>
      <c r="H1643" s="1"/>
      <c r="I1643" s="2"/>
    </row>
    <row r="1644" spans="5:9" ht="12.5" customHeight="1" x14ac:dyDescent="0.25">
      <c r="E1644" s="1"/>
      <c r="F1644" s="2"/>
      <c r="H1644" s="1"/>
      <c r="I1644" s="2"/>
    </row>
    <row r="1645" spans="5:9" ht="12.5" customHeight="1" x14ac:dyDescent="0.25">
      <c r="E1645" s="1"/>
      <c r="F1645" s="2"/>
      <c r="H1645" s="1"/>
      <c r="I1645" s="2"/>
    </row>
    <row r="1646" spans="5:9" ht="12.5" customHeight="1" x14ac:dyDescent="0.25">
      <c r="E1646" s="1"/>
      <c r="F1646" s="2"/>
      <c r="H1646" s="1"/>
      <c r="I1646" s="2"/>
    </row>
    <row r="1647" spans="5:9" ht="12.5" customHeight="1" x14ac:dyDescent="0.25">
      <c r="E1647" s="1"/>
      <c r="F1647" s="2"/>
      <c r="H1647" s="1"/>
      <c r="I1647" s="2"/>
    </row>
    <row r="1648" spans="5:9" ht="12.5" customHeight="1" x14ac:dyDescent="0.25">
      <c r="E1648" s="1"/>
      <c r="F1648" s="2"/>
      <c r="H1648" s="1"/>
      <c r="I1648" s="2"/>
    </row>
    <row r="1649" spans="5:9" ht="12.5" customHeight="1" x14ac:dyDescent="0.25">
      <c r="E1649" s="1"/>
      <c r="F1649" s="2"/>
      <c r="H1649" s="1"/>
      <c r="I1649" s="2"/>
    </row>
    <row r="1650" spans="5:9" ht="12.5" customHeight="1" x14ac:dyDescent="0.25">
      <c r="E1650" s="1"/>
      <c r="F1650" s="2"/>
      <c r="H1650" s="1"/>
      <c r="I1650" s="2"/>
    </row>
    <row r="1651" spans="5:9" ht="12.5" customHeight="1" x14ac:dyDescent="0.25">
      <c r="E1651" s="1"/>
      <c r="F1651" s="2"/>
      <c r="H1651" s="1"/>
      <c r="I1651" s="2"/>
    </row>
    <row r="1652" spans="5:9" ht="12.5" customHeight="1" x14ac:dyDescent="0.25">
      <c r="E1652" s="1"/>
      <c r="F1652" s="2"/>
      <c r="H1652" s="1"/>
      <c r="I1652" s="2"/>
    </row>
    <row r="1653" spans="5:9" ht="12.5" customHeight="1" x14ac:dyDescent="0.25">
      <c r="E1653" s="1"/>
      <c r="F1653" s="2"/>
      <c r="H1653" s="1"/>
      <c r="I1653" s="2"/>
    </row>
    <row r="1654" spans="5:9" ht="12.5" customHeight="1" x14ac:dyDescent="0.25">
      <c r="E1654" s="1"/>
      <c r="F1654" s="2"/>
      <c r="H1654" s="1"/>
      <c r="I1654" s="2"/>
    </row>
    <row r="1655" spans="5:9" ht="12.5" customHeight="1" x14ac:dyDescent="0.25">
      <c r="E1655" s="1"/>
      <c r="F1655" s="2"/>
      <c r="H1655" s="1"/>
      <c r="I1655" s="2"/>
    </row>
    <row r="1656" spans="5:9" ht="12.5" customHeight="1" x14ac:dyDescent="0.25">
      <c r="E1656" s="1"/>
      <c r="F1656" s="2"/>
      <c r="H1656" s="1"/>
      <c r="I1656" s="2"/>
    </row>
    <row r="1657" spans="5:9" ht="12.5" customHeight="1" x14ac:dyDescent="0.25">
      <c r="E1657" s="1"/>
      <c r="F1657" s="2"/>
      <c r="H1657" s="1"/>
      <c r="I1657" s="2"/>
    </row>
    <row r="1658" spans="5:9" ht="12.5" customHeight="1" x14ac:dyDescent="0.25">
      <c r="E1658" s="1"/>
      <c r="F1658" s="2"/>
      <c r="H1658" s="1"/>
      <c r="I1658" s="2"/>
    </row>
    <row r="1659" spans="5:9" ht="12.5" customHeight="1" x14ac:dyDescent="0.25">
      <c r="E1659" s="1"/>
      <c r="F1659" s="2"/>
      <c r="H1659" s="1"/>
      <c r="I1659" s="2"/>
    </row>
    <row r="1660" spans="5:9" ht="12.5" customHeight="1" x14ac:dyDescent="0.25">
      <c r="E1660" s="1"/>
      <c r="F1660" s="2"/>
      <c r="H1660" s="1"/>
      <c r="I1660" s="2"/>
    </row>
    <row r="1661" spans="5:9" ht="12.5" customHeight="1" x14ac:dyDescent="0.25">
      <c r="E1661" s="1"/>
      <c r="F1661" s="2"/>
      <c r="H1661" s="1"/>
      <c r="I1661" s="2"/>
    </row>
    <row r="1662" spans="5:9" ht="12.5" customHeight="1" x14ac:dyDescent="0.25">
      <c r="E1662" s="1"/>
      <c r="F1662" s="2"/>
      <c r="H1662" s="1"/>
      <c r="I1662" s="2"/>
    </row>
    <row r="1663" spans="5:9" ht="12.5" customHeight="1" x14ac:dyDescent="0.25">
      <c r="E1663" s="1"/>
      <c r="F1663" s="2"/>
      <c r="H1663" s="1"/>
      <c r="I1663" s="2"/>
    </row>
    <row r="1664" spans="5:9" ht="12.5" customHeight="1" x14ac:dyDescent="0.25">
      <c r="E1664" s="1"/>
      <c r="F1664" s="2"/>
      <c r="H1664" s="1"/>
      <c r="I1664" s="2"/>
    </row>
    <row r="1665" spans="5:9" ht="12.5" customHeight="1" x14ac:dyDescent="0.25">
      <c r="E1665" s="1"/>
      <c r="F1665" s="2"/>
      <c r="H1665" s="1"/>
      <c r="I1665" s="2"/>
    </row>
    <row r="1666" spans="5:9" ht="12.5" customHeight="1" x14ac:dyDescent="0.25">
      <c r="E1666" s="1"/>
      <c r="F1666" s="2"/>
      <c r="H1666" s="1"/>
      <c r="I1666" s="2"/>
    </row>
    <row r="1667" spans="5:9" ht="12.5" customHeight="1" x14ac:dyDescent="0.25">
      <c r="E1667" s="1"/>
      <c r="F1667" s="2"/>
      <c r="H1667" s="1"/>
      <c r="I1667" s="2"/>
    </row>
    <row r="1668" spans="5:9" ht="12.5" customHeight="1" x14ac:dyDescent="0.25">
      <c r="E1668" s="1"/>
      <c r="F1668" s="2"/>
      <c r="H1668" s="1"/>
      <c r="I1668" s="2"/>
    </row>
    <row r="1669" spans="5:9" ht="12.5" customHeight="1" x14ac:dyDescent="0.25">
      <c r="E1669" s="1"/>
      <c r="F1669" s="2"/>
      <c r="H1669" s="1"/>
      <c r="I1669" s="2"/>
    </row>
    <row r="1670" spans="5:9" ht="12.5" customHeight="1" x14ac:dyDescent="0.25">
      <c r="E1670" s="1"/>
      <c r="F1670" s="2"/>
      <c r="H1670" s="1"/>
      <c r="I1670" s="2"/>
    </row>
    <row r="1671" spans="5:9" ht="12.5" customHeight="1" x14ac:dyDescent="0.25">
      <c r="E1671" s="1"/>
      <c r="F1671" s="2"/>
      <c r="H1671" s="1"/>
      <c r="I1671" s="2"/>
    </row>
    <row r="1672" spans="5:9" ht="12.5" customHeight="1" x14ac:dyDescent="0.25">
      <c r="E1672" s="1"/>
      <c r="F1672" s="2"/>
      <c r="H1672" s="1"/>
      <c r="I1672" s="2"/>
    </row>
    <row r="1673" spans="5:9" ht="12.5" customHeight="1" x14ac:dyDescent="0.25">
      <c r="E1673" s="1"/>
      <c r="F1673" s="2"/>
      <c r="H1673" s="1"/>
      <c r="I1673" s="2"/>
    </row>
    <row r="1674" spans="5:9" ht="12.5" customHeight="1" x14ac:dyDescent="0.25">
      <c r="E1674" s="1"/>
      <c r="F1674" s="2"/>
      <c r="H1674" s="1"/>
      <c r="I1674" s="2"/>
    </row>
    <row r="1675" spans="5:9" ht="12.5" customHeight="1" x14ac:dyDescent="0.25">
      <c r="E1675" s="1"/>
      <c r="F1675" s="2"/>
      <c r="H1675" s="1"/>
      <c r="I1675" s="2"/>
    </row>
    <row r="1676" spans="5:9" ht="12.5" customHeight="1" x14ac:dyDescent="0.25">
      <c r="E1676" s="1"/>
      <c r="F1676" s="2"/>
      <c r="H1676" s="1"/>
      <c r="I1676" s="2"/>
    </row>
    <row r="1677" spans="5:9" ht="12.5" customHeight="1" x14ac:dyDescent="0.25">
      <c r="E1677" s="1"/>
      <c r="F1677" s="2"/>
      <c r="H1677" s="1"/>
      <c r="I1677" s="2"/>
    </row>
    <row r="1678" spans="5:9" ht="12.5" customHeight="1" x14ac:dyDescent="0.25">
      <c r="E1678" s="1"/>
      <c r="F1678" s="2"/>
      <c r="H1678" s="1"/>
      <c r="I1678" s="2"/>
    </row>
    <row r="1679" spans="5:9" ht="12.5" customHeight="1" x14ac:dyDescent="0.25">
      <c r="E1679" s="1"/>
      <c r="F1679" s="2"/>
      <c r="H1679" s="1"/>
      <c r="I1679" s="2"/>
    </row>
    <row r="1680" spans="5:9" ht="12.5" customHeight="1" x14ac:dyDescent="0.25">
      <c r="E1680" s="1"/>
      <c r="F1680" s="2"/>
      <c r="H1680" s="1"/>
      <c r="I1680" s="2"/>
    </row>
    <row r="1681" spans="5:9" ht="12.5" customHeight="1" x14ac:dyDescent="0.25">
      <c r="E1681" s="1"/>
      <c r="F1681" s="2"/>
      <c r="H1681" s="1"/>
      <c r="I1681" s="2"/>
    </row>
    <row r="1682" spans="5:9" ht="12.5" customHeight="1" x14ac:dyDescent="0.25">
      <c r="E1682" s="1"/>
      <c r="F1682" s="2"/>
      <c r="H1682" s="1"/>
      <c r="I1682" s="2"/>
    </row>
    <row r="1683" spans="5:9" ht="12.5" customHeight="1" x14ac:dyDescent="0.25">
      <c r="E1683" s="1"/>
      <c r="F1683" s="2"/>
      <c r="H1683" s="1"/>
      <c r="I1683" s="2"/>
    </row>
    <row r="1684" spans="5:9" ht="12.5" customHeight="1" x14ac:dyDescent="0.25">
      <c r="E1684" s="1"/>
      <c r="F1684" s="2"/>
      <c r="H1684" s="1"/>
      <c r="I1684" s="2"/>
    </row>
    <row r="1685" spans="5:9" ht="12.5" customHeight="1" x14ac:dyDescent="0.25">
      <c r="E1685" s="1"/>
      <c r="F1685" s="2"/>
      <c r="H1685" s="1"/>
      <c r="I1685" s="2"/>
    </row>
    <row r="1686" spans="5:9" ht="12.5" customHeight="1" x14ac:dyDescent="0.25">
      <c r="E1686" s="1"/>
      <c r="F1686" s="2"/>
      <c r="H1686" s="1"/>
      <c r="I1686" s="2"/>
    </row>
    <row r="1687" spans="5:9" ht="12.5" customHeight="1" x14ac:dyDescent="0.25">
      <c r="E1687" s="1"/>
      <c r="F1687" s="2"/>
      <c r="H1687" s="1"/>
      <c r="I1687" s="2"/>
    </row>
    <row r="1688" spans="5:9" ht="12.5" customHeight="1" x14ac:dyDescent="0.25">
      <c r="E1688" s="1"/>
      <c r="F1688" s="2"/>
      <c r="H1688" s="1"/>
      <c r="I1688" s="2"/>
    </row>
    <row r="1689" spans="5:9" ht="12.5" customHeight="1" x14ac:dyDescent="0.25">
      <c r="E1689" s="1"/>
      <c r="F1689" s="2"/>
      <c r="H1689" s="1"/>
      <c r="I1689" s="2"/>
    </row>
    <row r="1690" spans="5:9" ht="12.5" customHeight="1" x14ac:dyDescent="0.25">
      <c r="E1690" s="1"/>
      <c r="F1690" s="2"/>
      <c r="H1690" s="1"/>
      <c r="I1690" s="2"/>
    </row>
    <row r="1691" spans="5:9" ht="12.5" customHeight="1" x14ac:dyDescent="0.25">
      <c r="E1691" s="1"/>
      <c r="F1691" s="2"/>
      <c r="H1691" s="1"/>
      <c r="I1691" s="2"/>
    </row>
    <row r="1692" spans="5:9" ht="12.5" customHeight="1" x14ac:dyDescent="0.25">
      <c r="E1692" s="1"/>
      <c r="F1692" s="2"/>
      <c r="H1692" s="1"/>
      <c r="I1692" s="2"/>
    </row>
    <row r="1693" spans="5:9" ht="12.5" customHeight="1" x14ac:dyDescent="0.25">
      <c r="E1693" s="1"/>
      <c r="F1693" s="2"/>
      <c r="H1693" s="1"/>
      <c r="I1693" s="2"/>
    </row>
    <row r="1694" spans="5:9" ht="12.5" customHeight="1" x14ac:dyDescent="0.25">
      <c r="E1694" s="1"/>
      <c r="F1694" s="2"/>
      <c r="H1694" s="1"/>
      <c r="I1694" s="2"/>
    </row>
    <row r="1695" spans="5:9" ht="12.5" customHeight="1" x14ac:dyDescent="0.25">
      <c r="E1695" s="1"/>
      <c r="F1695" s="2"/>
      <c r="H1695" s="1"/>
      <c r="I1695" s="2"/>
    </row>
    <row r="1696" spans="5:9" ht="12.5" customHeight="1" x14ac:dyDescent="0.25">
      <c r="E1696" s="1"/>
      <c r="F1696" s="2"/>
      <c r="H1696" s="1"/>
      <c r="I1696" s="2"/>
    </row>
    <row r="1697" spans="5:9" ht="12.5" customHeight="1" x14ac:dyDescent="0.25">
      <c r="E1697" s="1"/>
      <c r="F1697" s="2"/>
      <c r="H1697" s="1"/>
      <c r="I1697" s="2"/>
    </row>
    <row r="1698" spans="5:9" ht="12.5" customHeight="1" x14ac:dyDescent="0.25">
      <c r="E1698" s="1"/>
      <c r="F1698" s="2"/>
      <c r="H1698" s="1"/>
      <c r="I1698" s="2"/>
    </row>
    <row r="1699" spans="5:9" ht="12.5" customHeight="1" x14ac:dyDescent="0.25">
      <c r="E1699" s="1"/>
      <c r="F1699" s="2"/>
      <c r="H1699" s="1"/>
      <c r="I1699" s="2"/>
    </row>
    <row r="1700" spans="5:9" ht="12.5" customHeight="1" x14ac:dyDescent="0.25">
      <c r="E1700" s="1"/>
      <c r="F1700" s="2"/>
      <c r="H1700" s="1"/>
      <c r="I1700" s="2"/>
    </row>
    <row r="1701" spans="5:9" ht="12.5" customHeight="1" x14ac:dyDescent="0.25">
      <c r="E1701" s="1"/>
      <c r="F1701" s="2"/>
      <c r="H1701" s="1"/>
      <c r="I1701" s="2"/>
    </row>
    <row r="1702" spans="5:9" ht="12.5" customHeight="1" x14ac:dyDescent="0.25">
      <c r="E1702" s="1"/>
      <c r="F1702" s="2"/>
      <c r="H1702" s="1"/>
      <c r="I1702" s="2"/>
    </row>
    <row r="1703" spans="5:9" ht="12.5" customHeight="1" x14ac:dyDescent="0.25">
      <c r="E1703" s="1"/>
      <c r="F1703" s="2"/>
      <c r="H1703" s="1"/>
      <c r="I1703" s="2"/>
    </row>
    <row r="1704" spans="5:9" ht="12.5" customHeight="1" x14ac:dyDescent="0.25">
      <c r="E1704" s="1"/>
      <c r="F1704" s="2"/>
      <c r="H1704" s="1"/>
      <c r="I1704" s="2"/>
    </row>
    <row r="1705" spans="5:9" ht="12.5" customHeight="1" x14ac:dyDescent="0.25">
      <c r="E1705" s="1"/>
      <c r="F1705" s="2"/>
      <c r="H1705" s="1"/>
      <c r="I1705" s="2"/>
    </row>
    <row r="1706" spans="5:9" ht="12.5" customHeight="1" x14ac:dyDescent="0.25">
      <c r="E1706" s="1"/>
      <c r="F1706" s="2"/>
      <c r="H1706" s="1"/>
      <c r="I1706" s="2"/>
    </row>
    <row r="1707" spans="5:9" ht="12.5" customHeight="1" x14ac:dyDescent="0.25">
      <c r="E1707" s="1"/>
      <c r="F1707" s="2"/>
      <c r="H1707" s="1"/>
      <c r="I1707" s="2"/>
    </row>
    <row r="1708" spans="5:9" ht="12.5" customHeight="1" x14ac:dyDescent="0.25">
      <c r="E1708" s="1"/>
      <c r="F1708" s="2"/>
      <c r="H1708" s="1"/>
      <c r="I1708" s="2"/>
    </row>
    <row r="1709" spans="5:9" ht="12.5" customHeight="1" x14ac:dyDescent="0.25">
      <c r="E1709" s="1"/>
      <c r="F1709" s="2"/>
      <c r="H1709" s="1"/>
      <c r="I1709" s="2"/>
    </row>
    <row r="1710" spans="5:9" ht="12.5" customHeight="1" x14ac:dyDescent="0.25">
      <c r="E1710" s="1"/>
      <c r="F1710" s="2"/>
      <c r="H1710" s="1"/>
      <c r="I1710" s="2"/>
    </row>
    <row r="1711" spans="5:9" ht="12.5" customHeight="1" x14ac:dyDescent="0.25">
      <c r="E1711" s="1"/>
      <c r="F1711" s="2"/>
      <c r="H1711" s="1"/>
      <c r="I1711" s="2"/>
    </row>
    <row r="1712" spans="5:9" ht="12.5" customHeight="1" x14ac:dyDescent="0.25">
      <c r="E1712" s="1"/>
      <c r="F1712" s="2"/>
      <c r="H1712" s="1"/>
      <c r="I1712" s="2"/>
    </row>
    <row r="1713" spans="5:9" ht="12.5" customHeight="1" x14ac:dyDescent="0.25">
      <c r="E1713" s="1"/>
      <c r="F1713" s="2"/>
      <c r="H1713" s="1"/>
      <c r="I1713" s="2"/>
    </row>
    <row r="1714" spans="5:9" ht="12.5" customHeight="1" x14ac:dyDescent="0.25">
      <c r="E1714" s="1"/>
      <c r="F1714" s="2"/>
      <c r="H1714" s="1"/>
      <c r="I1714" s="2"/>
    </row>
    <row r="1715" spans="5:9" ht="12.5" customHeight="1" x14ac:dyDescent="0.25">
      <c r="E1715" s="1"/>
      <c r="F1715" s="2"/>
      <c r="H1715" s="1"/>
      <c r="I1715" s="2"/>
    </row>
    <row r="1716" spans="5:9" ht="12.5" customHeight="1" x14ac:dyDescent="0.25">
      <c r="E1716" s="1"/>
      <c r="F1716" s="2"/>
      <c r="H1716" s="1"/>
      <c r="I1716" s="2"/>
    </row>
    <row r="1717" spans="5:9" ht="12.5" customHeight="1" x14ac:dyDescent="0.25">
      <c r="E1717" s="1"/>
      <c r="F1717" s="2"/>
      <c r="H1717" s="1"/>
      <c r="I1717" s="2"/>
    </row>
    <row r="1718" spans="5:9" ht="12.5" customHeight="1" x14ac:dyDescent="0.25">
      <c r="E1718" s="1"/>
      <c r="F1718" s="2"/>
      <c r="H1718" s="1"/>
      <c r="I1718" s="2"/>
    </row>
    <row r="1719" spans="5:9" ht="12.5" customHeight="1" x14ac:dyDescent="0.25">
      <c r="E1719" s="1"/>
      <c r="F1719" s="2"/>
      <c r="H1719" s="1"/>
      <c r="I1719" s="2"/>
    </row>
    <row r="1720" spans="5:9" ht="12.5" customHeight="1" x14ac:dyDescent="0.25">
      <c r="E1720" s="1"/>
      <c r="F1720" s="2"/>
      <c r="H1720" s="1"/>
      <c r="I1720" s="2"/>
    </row>
    <row r="1721" spans="5:9" ht="12.5" customHeight="1" x14ac:dyDescent="0.25">
      <c r="E1721" s="1"/>
      <c r="F1721" s="2"/>
      <c r="H1721" s="1"/>
      <c r="I1721" s="2"/>
    </row>
    <row r="1722" spans="5:9" ht="12.5" customHeight="1" x14ac:dyDescent="0.25">
      <c r="E1722" s="1"/>
      <c r="F1722" s="2"/>
      <c r="H1722" s="1"/>
      <c r="I1722" s="2"/>
    </row>
    <row r="1723" spans="5:9" ht="12.5" customHeight="1" x14ac:dyDescent="0.25">
      <c r="E1723" s="1"/>
      <c r="F1723" s="2"/>
      <c r="H1723" s="1"/>
      <c r="I1723" s="2"/>
    </row>
    <row r="1724" spans="5:9" ht="12.5" customHeight="1" x14ac:dyDescent="0.25">
      <c r="E1724" s="1"/>
      <c r="F1724" s="2"/>
      <c r="H1724" s="1"/>
      <c r="I1724" s="2"/>
    </row>
    <row r="1725" spans="5:9" ht="12.5" customHeight="1" x14ac:dyDescent="0.25">
      <c r="E1725" s="1"/>
      <c r="F1725" s="2"/>
      <c r="H1725" s="1"/>
      <c r="I1725" s="2"/>
    </row>
    <row r="1726" spans="5:9" ht="12.5" customHeight="1" x14ac:dyDescent="0.25">
      <c r="E1726" s="1"/>
      <c r="F1726" s="2"/>
      <c r="H1726" s="1"/>
      <c r="I1726" s="2"/>
    </row>
    <row r="1727" spans="5:9" ht="12.5" customHeight="1" x14ac:dyDescent="0.25">
      <c r="E1727" s="1"/>
      <c r="F1727" s="2"/>
      <c r="H1727" s="1"/>
      <c r="I1727" s="2"/>
    </row>
    <row r="1728" spans="5:9" ht="12.5" customHeight="1" x14ac:dyDescent="0.25">
      <c r="E1728" s="1"/>
      <c r="F1728" s="2"/>
      <c r="H1728" s="1"/>
      <c r="I1728" s="2"/>
    </row>
    <row r="1729" spans="5:9" ht="12.5" customHeight="1" x14ac:dyDescent="0.25">
      <c r="E1729" s="1"/>
      <c r="F1729" s="2"/>
      <c r="H1729" s="1"/>
      <c r="I1729" s="2"/>
    </row>
    <row r="1730" spans="5:9" ht="12.5" customHeight="1" x14ac:dyDescent="0.25">
      <c r="E1730" s="1"/>
      <c r="F1730" s="2"/>
      <c r="H1730" s="1"/>
      <c r="I1730" s="2"/>
    </row>
    <row r="1731" spans="5:9" ht="12.5" customHeight="1" x14ac:dyDescent="0.25">
      <c r="E1731" s="1"/>
      <c r="F1731" s="2"/>
      <c r="H1731" s="1"/>
      <c r="I1731" s="2"/>
    </row>
    <row r="1732" spans="5:9" ht="12.5" customHeight="1" x14ac:dyDescent="0.25">
      <c r="E1732" s="1"/>
      <c r="F1732" s="2"/>
      <c r="H1732" s="1"/>
      <c r="I1732" s="2"/>
    </row>
    <row r="1733" spans="5:9" ht="12.5" customHeight="1" x14ac:dyDescent="0.25">
      <c r="E1733" s="1"/>
      <c r="F1733" s="2"/>
      <c r="H1733" s="1"/>
      <c r="I1733" s="2"/>
    </row>
    <row r="1734" spans="5:9" ht="12.5" customHeight="1" x14ac:dyDescent="0.25">
      <c r="E1734" s="1"/>
      <c r="F1734" s="2"/>
      <c r="H1734" s="1"/>
      <c r="I1734" s="2"/>
    </row>
    <row r="1735" spans="5:9" ht="12.5" customHeight="1" x14ac:dyDescent="0.25">
      <c r="E1735" s="1"/>
      <c r="F1735" s="2"/>
      <c r="H1735" s="1"/>
      <c r="I1735" s="2"/>
    </row>
    <row r="1736" spans="5:9" ht="12.5" customHeight="1" x14ac:dyDescent="0.25">
      <c r="E1736" s="1"/>
      <c r="F1736" s="2"/>
      <c r="H1736" s="1"/>
      <c r="I1736" s="2"/>
    </row>
    <row r="1737" spans="5:9" ht="12.5" customHeight="1" x14ac:dyDescent="0.25">
      <c r="E1737" s="1"/>
      <c r="F1737" s="2"/>
      <c r="H1737" s="1"/>
      <c r="I1737" s="2"/>
    </row>
    <row r="1738" spans="5:9" ht="12.5" customHeight="1" x14ac:dyDescent="0.25">
      <c r="E1738" s="1"/>
      <c r="F1738" s="2"/>
      <c r="H1738" s="1"/>
      <c r="I1738" s="2"/>
    </row>
    <row r="1739" spans="5:9" ht="12.5" customHeight="1" x14ac:dyDescent="0.25">
      <c r="E1739" s="1"/>
      <c r="F1739" s="2"/>
      <c r="H1739" s="1"/>
      <c r="I1739" s="2"/>
    </row>
    <row r="1740" spans="5:9" ht="12.5" customHeight="1" x14ac:dyDescent="0.25">
      <c r="E1740" s="1"/>
      <c r="F1740" s="2"/>
      <c r="H1740" s="1"/>
      <c r="I1740" s="2"/>
    </row>
    <row r="1741" spans="5:9" ht="12.5" customHeight="1" x14ac:dyDescent="0.25">
      <c r="E1741" s="1"/>
      <c r="F1741" s="2"/>
      <c r="H1741" s="1"/>
      <c r="I1741" s="2"/>
    </row>
    <row r="1742" spans="5:9" ht="12.5" customHeight="1" x14ac:dyDescent="0.25">
      <c r="E1742" s="1"/>
      <c r="F1742" s="2"/>
      <c r="H1742" s="1"/>
      <c r="I1742" s="2"/>
    </row>
    <row r="1743" spans="5:9" ht="12.5" customHeight="1" x14ac:dyDescent="0.25">
      <c r="E1743" s="1"/>
      <c r="F1743" s="2"/>
      <c r="H1743" s="1"/>
      <c r="I1743" s="2"/>
    </row>
    <row r="1744" spans="5:9" ht="12.5" customHeight="1" x14ac:dyDescent="0.25">
      <c r="E1744" s="1"/>
      <c r="F1744" s="2"/>
      <c r="H1744" s="1"/>
      <c r="I1744" s="2"/>
    </row>
    <row r="1745" spans="5:9" ht="12.5" customHeight="1" x14ac:dyDescent="0.25">
      <c r="E1745" s="1"/>
      <c r="F1745" s="2"/>
      <c r="H1745" s="1"/>
      <c r="I1745" s="2"/>
    </row>
    <row r="1746" spans="5:9" ht="12.5" customHeight="1" x14ac:dyDescent="0.25">
      <c r="E1746" s="1"/>
      <c r="F1746" s="2"/>
      <c r="H1746" s="1"/>
      <c r="I1746" s="2"/>
    </row>
    <row r="1747" spans="5:9" ht="12.5" customHeight="1" x14ac:dyDescent="0.25">
      <c r="E1747" s="1"/>
      <c r="F1747" s="2"/>
      <c r="H1747" s="1"/>
      <c r="I1747" s="2"/>
    </row>
    <row r="1748" spans="5:9" ht="12.5" customHeight="1" x14ac:dyDescent="0.25">
      <c r="E1748" s="1"/>
      <c r="F1748" s="2"/>
      <c r="H1748" s="1"/>
      <c r="I1748" s="2"/>
    </row>
    <row r="1749" spans="5:9" ht="12.5" customHeight="1" x14ac:dyDescent="0.25">
      <c r="E1749" s="1"/>
      <c r="F1749" s="2"/>
      <c r="H1749" s="1"/>
      <c r="I1749" s="2"/>
    </row>
    <row r="1750" spans="5:9" ht="12.5" customHeight="1" x14ac:dyDescent="0.25">
      <c r="E1750" s="1"/>
      <c r="F1750" s="2"/>
      <c r="H1750" s="1"/>
      <c r="I1750" s="2"/>
    </row>
    <row r="1751" spans="5:9" ht="12.5" customHeight="1" x14ac:dyDescent="0.25">
      <c r="E1751" s="1"/>
      <c r="F1751" s="2"/>
      <c r="H1751" s="1"/>
      <c r="I1751" s="2"/>
    </row>
    <row r="1752" spans="5:9" ht="12.5" customHeight="1" x14ac:dyDescent="0.25">
      <c r="E1752" s="1"/>
      <c r="F1752" s="2"/>
      <c r="H1752" s="1"/>
      <c r="I1752" s="2"/>
    </row>
    <row r="1753" spans="5:9" ht="12.5" customHeight="1" x14ac:dyDescent="0.25">
      <c r="E1753" s="1"/>
      <c r="F1753" s="2"/>
      <c r="H1753" s="1"/>
      <c r="I1753" s="2"/>
    </row>
    <row r="1754" spans="5:9" ht="12.5" customHeight="1" x14ac:dyDescent="0.25">
      <c r="E1754" s="1"/>
      <c r="F1754" s="2"/>
      <c r="H1754" s="1"/>
      <c r="I1754" s="2"/>
    </row>
    <row r="1755" spans="5:9" ht="12.5" customHeight="1" x14ac:dyDescent="0.25">
      <c r="E1755" s="1"/>
      <c r="F1755" s="2"/>
      <c r="H1755" s="1"/>
      <c r="I1755" s="2"/>
    </row>
    <row r="1756" spans="5:9" ht="12.5" customHeight="1" x14ac:dyDescent="0.25">
      <c r="E1756" s="1"/>
      <c r="F1756" s="2"/>
      <c r="H1756" s="1"/>
      <c r="I1756" s="2"/>
    </row>
    <row r="1757" spans="5:9" ht="12.5" customHeight="1" x14ac:dyDescent="0.25">
      <c r="E1757" s="1"/>
      <c r="F1757" s="2"/>
      <c r="H1757" s="1"/>
      <c r="I1757" s="2"/>
    </row>
    <row r="1758" spans="5:9" ht="12.5" customHeight="1" x14ac:dyDescent="0.25">
      <c r="E1758" s="1"/>
      <c r="F1758" s="2"/>
      <c r="H1758" s="1"/>
      <c r="I1758" s="2"/>
    </row>
    <row r="1759" spans="5:9" ht="12.5" customHeight="1" x14ac:dyDescent="0.25">
      <c r="E1759" s="1"/>
      <c r="F1759" s="2"/>
      <c r="H1759" s="1"/>
      <c r="I1759" s="2"/>
    </row>
    <row r="1760" spans="5:9" ht="12.5" customHeight="1" x14ac:dyDescent="0.25">
      <c r="E1760" s="1"/>
      <c r="F1760" s="2"/>
      <c r="H1760" s="1"/>
      <c r="I1760" s="2"/>
    </row>
    <row r="1761" spans="5:9" ht="12.5" customHeight="1" x14ac:dyDescent="0.25">
      <c r="E1761" s="1"/>
      <c r="F1761" s="2"/>
      <c r="H1761" s="1"/>
      <c r="I1761" s="2"/>
    </row>
    <row r="1762" spans="5:9" ht="12.5" customHeight="1" x14ac:dyDescent="0.25">
      <c r="E1762" s="1"/>
      <c r="F1762" s="2"/>
      <c r="H1762" s="1"/>
      <c r="I1762" s="2"/>
    </row>
    <row r="1763" spans="5:9" ht="12.5" customHeight="1" x14ac:dyDescent="0.25">
      <c r="E1763" s="1"/>
      <c r="F1763" s="2"/>
      <c r="H1763" s="1"/>
      <c r="I1763" s="2"/>
    </row>
    <row r="1764" spans="5:9" ht="12.5" customHeight="1" x14ac:dyDescent="0.25">
      <c r="E1764" s="1"/>
      <c r="F1764" s="2"/>
      <c r="H1764" s="1"/>
      <c r="I1764" s="2"/>
    </row>
    <row r="1765" spans="5:9" ht="12.5" customHeight="1" x14ac:dyDescent="0.25">
      <c r="E1765" s="1"/>
      <c r="F1765" s="2"/>
      <c r="H1765" s="1"/>
      <c r="I1765" s="2"/>
    </row>
    <row r="1766" spans="5:9" ht="12.5" customHeight="1" x14ac:dyDescent="0.25">
      <c r="E1766" s="1"/>
      <c r="F1766" s="2"/>
      <c r="H1766" s="1"/>
      <c r="I1766" s="2"/>
    </row>
    <row r="1767" spans="5:9" ht="12.5" customHeight="1" x14ac:dyDescent="0.25">
      <c r="E1767" s="1"/>
      <c r="F1767" s="2"/>
      <c r="H1767" s="1"/>
      <c r="I1767" s="2"/>
    </row>
    <row r="1768" spans="5:9" ht="12.5" customHeight="1" x14ac:dyDescent="0.25">
      <c r="E1768" s="1"/>
      <c r="F1768" s="2"/>
      <c r="H1768" s="1"/>
      <c r="I1768" s="2"/>
    </row>
    <row r="1769" spans="5:9" ht="12.5" customHeight="1" x14ac:dyDescent="0.25">
      <c r="E1769" s="1"/>
      <c r="F1769" s="2"/>
      <c r="H1769" s="1"/>
      <c r="I1769" s="2"/>
    </row>
    <row r="1770" spans="5:9" ht="12.5" customHeight="1" x14ac:dyDescent="0.25">
      <c r="E1770" s="1"/>
      <c r="F1770" s="2"/>
      <c r="H1770" s="1"/>
      <c r="I1770" s="2"/>
    </row>
    <row r="1771" spans="5:9" ht="12.5" customHeight="1" x14ac:dyDescent="0.25">
      <c r="E1771" s="1"/>
      <c r="F1771" s="2"/>
      <c r="H1771" s="1"/>
      <c r="I1771" s="2"/>
    </row>
    <row r="1772" spans="5:9" ht="12.5" customHeight="1" x14ac:dyDescent="0.25">
      <c r="E1772" s="1"/>
      <c r="F1772" s="2"/>
      <c r="H1772" s="1"/>
      <c r="I1772" s="2"/>
    </row>
    <row r="1773" spans="5:9" ht="12.5" customHeight="1" x14ac:dyDescent="0.25">
      <c r="E1773" s="1"/>
      <c r="F1773" s="2"/>
      <c r="H1773" s="1"/>
      <c r="I1773" s="2"/>
    </row>
    <row r="1774" spans="5:9" ht="12.5" customHeight="1" x14ac:dyDescent="0.25">
      <c r="E1774" s="1"/>
      <c r="F1774" s="2"/>
      <c r="H1774" s="1"/>
      <c r="I1774" s="2"/>
    </row>
    <row r="1775" spans="5:9" ht="12.5" customHeight="1" x14ac:dyDescent="0.25">
      <c r="E1775" s="1"/>
      <c r="F1775" s="2"/>
      <c r="H1775" s="1"/>
      <c r="I1775" s="2"/>
    </row>
    <row r="1776" spans="5:9" ht="12.5" customHeight="1" x14ac:dyDescent="0.25">
      <c r="E1776" s="1"/>
      <c r="F1776" s="2"/>
      <c r="H1776" s="1"/>
      <c r="I1776" s="2"/>
    </row>
    <row r="1777" spans="5:9" ht="12.5" customHeight="1" x14ac:dyDescent="0.25">
      <c r="E1777" s="1"/>
      <c r="F1777" s="2"/>
      <c r="H1777" s="1"/>
      <c r="I1777" s="2"/>
    </row>
    <row r="1778" spans="5:9" ht="12.5" customHeight="1" x14ac:dyDescent="0.25">
      <c r="E1778" s="1"/>
      <c r="F1778" s="2"/>
      <c r="H1778" s="1"/>
      <c r="I1778" s="2"/>
    </row>
    <row r="1779" spans="5:9" ht="12.5" customHeight="1" x14ac:dyDescent="0.25">
      <c r="E1779" s="1"/>
      <c r="F1779" s="2"/>
      <c r="H1779" s="1"/>
      <c r="I1779" s="2"/>
    </row>
    <row r="1780" spans="5:9" ht="12.5" customHeight="1" x14ac:dyDescent="0.25">
      <c r="E1780" s="1"/>
      <c r="F1780" s="2"/>
      <c r="H1780" s="1"/>
      <c r="I1780" s="2"/>
    </row>
    <row r="1781" spans="5:9" ht="12.5" customHeight="1" x14ac:dyDescent="0.25">
      <c r="E1781" s="1"/>
      <c r="F1781" s="2"/>
      <c r="H1781" s="1"/>
      <c r="I1781" s="2"/>
    </row>
    <row r="1782" spans="5:9" ht="12.5" customHeight="1" x14ac:dyDescent="0.25">
      <c r="E1782" s="1"/>
      <c r="F1782" s="2"/>
      <c r="H1782" s="1"/>
      <c r="I1782" s="2"/>
    </row>
    <row r="1783" spans="5:9" ht="12.5" customHeight="1" x14ac:dyDescent="0.25">
      <c r="E1783" s="1"/>
      <c r="F1783" s="2"/>
      <c r="H1783" s="1"/>
      <c r="I1783" s="2"/>
    </row>
    <row r="1784" spans="5:9" ht="12.5" customHeight="1" x14ac:dyDescent="0.25">
      <c r="E1784" s="1"/>
      <c r="F1784" s="2"/>
      <c r="H1784" s="1"/>
      <c r="I1784" s="2"/>
    </row>
    <row r="1785" spans="5:9" ht="12.5" customHeight="1" x14ac:dyDescent="0.25">
      <c r="E1785" s="1"/>
      <c r="F1785" s="2"/>
      <c r="H1785" s="1"/>
      <c r="I1785" s="2"/>
    </row>
    <row r="1786" spans="5:9" ht="12.5" customHeight="1" x14ac:dyDescent="0.25">
      <c r="E1786" s="1"/>
      <c r="F1786" s="2"/>
      <c r="H1786" s="1"/>
      <c r="I1786" s="2"/>
    </row>
    <row r="1787" spans="5:9" ht="12.5" customHeight="1" x14ac:dyDescent="0.25">
      <c r="E1787" s="1"/>
      <c r="F1787" s="2"/>
      <c r="H1787" s="1"/>
      <c r="I1787" s="2"/>
    </row>
    <row r="1788" spans="5:9" ht="12.5" customHeight="1" x14ac:dyDescent="0.25">
      <c r="E1788" s="1"/>
      <c r="F1788" s="2"/>
      <c r="H1788" s="1"/>
      <c r="I1788" s="2"/>
    </row>
    <row r="1789" spans="5:9" ht="12.5" customHeight="1" x14ac:dyDescent="0.25">
      <c r="E1789" s="1"/>
      <c r="F1789" s="2"/>
      <c r="H1789" s="1"/>
      <c r="I1789" s="2"/>
    </row>
    <row r="1790" spans="5:9" ht="12.5" customHeight="1" x14ac:dyDescent="0.25">
      <c r="E1790" s="1"/>
      <c r="F1790" s="2"/>
      <c r="H1790" s="1"/>
      <c r="I1790" s="2"/>
    </row>
    <row r="1791" spans="5:9" ht="12.5" customHeight="1" x14ac:dyDescent="0.25">
      <c r="E1791" s="1"/>
      <c r="F1791" s="2"/>
      <c r="H1791" s="1"/>
      <c r="I1791" s="2"/>
    </row>
    <row r="1792" spans="5:9" ht="12.5" customHeight="1" x14ac:dyDescent="0.25">
      <c r="E1792" s="1"/>
      <c r="F1792" s="2"/>
      <c r="H1792" s="1"/>
      <c r="I1792" s="2"/>
    </row>
    <row r="1793" spans="5:9" ht="12.5" customHeight="1" x14ac:dyDescent="0.25">
      <c r="E1793" s="1"/>
      <c r="F1793" s="2"/>
      <c r="H1793" s="1"/>
      <c r="I1793" s="2"/>
    </row>
    <row r="1794" spans="5:9" ht="12.5" customHeight="1" x14ac:dyDescent="0.25">
      <c r="E1794" s="1"/>
      <c r="F1794" s="2"/>
      <c r="H1794" s="1"/>
      <c r="I1794" s="2"/>
    </row>
    <row r="1795" spans="5:9" ht="12.5" customHeight="1" x14ac:dyDescent="0.25">
      <c r="E1795" s="1"/>
      <c r="F1795" s="2"/>
      <c r="H1795" s="1"/>
      <c r="I1795" s="2"/>
    </row>
    <row r="1796" spans="5:9" ht="12.5" customHeight="1" x14ac:dyDescent="0.25">
      <c r="E1796" s="1"/>
      <c r="F1796" s="2"/>
      <c r="H1796" s="1"/>
      <c r="I1796" s="2"/>
    </row>
    <row r="1797" spans="5:9" ht="12.5" customHeight="1" x14ac:dyDescent="0.25">
      <c r="E1797" s="1"/>
      <c r="F1797" s="2"/>
      <c r="H1797" s="1"/>
      <c r="I1797" s="2"/>
    </row>
    <row r="1798" spans="5:9" ht="12.5" customHeight="1" x14ac:dyDescent="0.25">
      <c r="E1798" s="1"/>
      <c r="F1798" s="2"/>
      <c r="H1798" s="1"/>
      <c r="I1798" s="2"/>
    </row>
    <row r="1799" spans="5:9" ht="12.5" customHeight="1" x14ac:dyDescent="0.25">
      <c r="E1799" s="1"/>
      <c r="F1799" s="2"/>
      <c r="H1799" s="1"/>
      <c r="I1799" s="2"/>
    </row>
    <row r="1800" spans="5:9" ht="12.5" customHeight="1" x14ac:dyDescent="0.25">
      <c r="E1800" s="1"/>
      <c r="F1800" s="2"/>
      <c r="H1800" s="1"/>
      <c r="I1800" s="2"/>
    </row>
    <row r="1801" spans="5:9" ht="12.5" customHeight="1" x14ac:dyDescent="0.25">
      <c r="E1801" s="1"/>
      <c r="F1801" s="2"/>
      <c r="H1801" s="1"/>
      <c r="I1801" s="2"/>
    </row>
    <row r="1802" spans="5:9" ht="12.5" customHeight="1" x14ac:dyDescent="0.25">
      <c r="E1802" s="1"/>
      <c r="F1802" s="2"/>
      <c r="H1802" s="1"/>
      <c r="I1802" s="2"/>
    </row>
    <row r="1803" spans="5:9" ht="12.5" customHeight="1" x14ac:dyDescent="0.25">
      <c r="E1803" s="1"/>
      <c r="F1803" s="2"/>
      <c r="H1803" s="1"/>
      <c r="I1803" s="2"/>
    </row>
    <row r="1804" spans="5:9" ht="12.5" customHeight="1" x14ac:dyDescent="0.25">
      <c r="E1804" s="1"/>
      <c r="F1804" s="2"/>
      <c r="H1804" s="1"/>
      <c r="I1804" s="2"/>
    </row>
    <row r="1805" spans="5:9" ht="12.5" customHeight="1" x14ac:dyDescent="0.25">
      <c r="E1805" s="1"/>
      <c r="F1805" s="2"/>
      <c r="H1805" s="1"/>
      <c r="I1805" s="2"/>
    </row>
    <row r="1806" spans="5:9" ht="12.5" customHeight="1" x14ac:dyDescent="0.25">
      <c r="E1806" s="1"/>
      <c r="F1806" s="2"/>
      <c r="H1806" s="1"/>
      <c r="I1806" s="2"/>
    </row>
    <row r="1807" spans="5:9" ht="12.5" customHeight="1" x14ac:dyDescent="0.25">
      <c r="E1807" s="1"/>
      <c r="F1807" s="2"/>
      <c r="H1807" s="1"/>
      <c r="I1807" s="2"/>
    </row>
    <row r="1808" spans="5:9" ht="12.5" customHeight="1" x14ac:dyDescent="0.25">
      <c r="E1808" s="1"/>
      <c r="F1808" s="2"/>
      <c r="H1808" s="1"/>
      <c r="I1808" s="2"/>
    </row>
    <row r="1809" spans="5:9" ht="12.5" customHeight="1" x14ac:dyDescent="0.25">
      <c r="E1809" s="1"/>
      <c r="F1809" s="2"/>
      <c r="H1809" s="1"/>
      <c r="I1809" s="2"/>
    </row>
    <row r="1810" spans="5:9" ht="12.5" customHeight="1" x14ac:dyDescent="0.25">
      <c r="E1810" s="1"/>
      <c r="F1810" s="2"/>
      <c r="H1810" s="1"/>
      <c r="I1810" s="2"/>
    </row>
    <row r="1811" spans="5:9" ht="12.5" customHeight="1" x14ac:dyDescent="0.25">
      <c r="E1811" s="1"/>
      <c r="F1811" s="2"/>
      <c r="H1811" s="1"/>
      <c r="I1811" s="2"/>
    </row>
    <row r="1812" spans="5:9" ht="12.5" customHeight="1" x14ac:dyDescent="0.25">
      <c r="E1812" s="1"/>
      <c r="F1812" s="2"/>
      <c r="H1812" s="1"/>
      <c r="I1812" s="2"/>
    </row>
    <row r="1813" spans="5:9" ht="12.5" customHeight="1" x14ac:dyDescent="0.25">
      <c r="E1813" s="1"/>
      <c r="F1813" s="2"/>
      <c r="H1813" s="1"/>
      <c r="I1813" s="2"/>
    </row>
    <row r="1814" spans="5:9" ht="12.5" customHeight="1" x14ac:dyDescent="0.25">
      <c r="E1814" s="1"/>
      <c r="F1814" s="2"/>
      <c r="H1814" s="1"/>
      <c r="I1814" s="2"/>
    </row>
    <row r="1815" spans="5:9" ht="12.5" customHeight="1" x14ac:dyDescent="0.25">
      <c r="E1815" s="1"/>
      <c r="F1815" s="2"/>
      <c r="H1815" s="1"/>
      <c r="I1815" s="2"/>
    </row>
    <row r="1816" spans="5:9" ht="12.5" customHeight="1" x14ac:dyDescent="0.25">
      <c r="E1816" s="1"/>
      <c r="F1816" s="2"/>
      <c r="H1816" s="1"/>
      <c r="I1816" s="2"/>
    </row>
    <row r="1817" spans="5:9" ht="12.5" customHeight="1" x14ac:dyDescent="0.25">
      <c r="E1817" s="1"/>
      <c r="F1817" s="2"/>
      <c r="H1817" s="1"/>
      <c r="I1817" s="2"/>
    </row>
    <row r="1818" spans="5:9" ht="12.5" customHeight="1" x14ac:dyDescent="0.25">
      <c r="E1818" s="1"/>
      <c r="F1818" s="2"/>
      <c r="H1818" s="1"/>
      <c r="I1818" s="2"/>
    </row>
    <row r="1819" spans="5:9" ht="12.5" customHeight="1" x14ac:dyDescent="0.25">
      <c r="E1819" s="1"/>
      <c r="F1819" s="2"/>
      <c r="H1819" s="1"/>
      <c r="I1819" s="2"/>
    </row>
    <row r="1820" spans="5:9" ht="12.5" customHeight="1" x14ac:dyDescent="0.25">
      <c r="E1820" s="1"/>
      <c r="F1820" s="2"/>
      <c r="H1820" s="1"/>
      <c r="I1820" s="2"/>
    </row>
    <row r="1821" spans="5:9" ht="12.5" customHeight="1" x14ac:dyDescent="0.25">
      <c r="E1821" s="1"/>
      <c r="F1821" s="2"/>
      <c r="H1821" s="1"/>
      <c r="I1821" s="2"/>
    </row>
    <row r="1822" spans="5:9" ht="12.5" customHeight="1" x14ac:dyDescent="0.25">
      <c r="E1822" s="1"/>
      <c r="F1822" s="2"/>
      <c r="H1822" s="1"/>
      <c r="I1822" s="2"/>
    </row>
    <row r="1823" spans="5:9" ht="12.5" customHeight="1" x14ac:dyDescent="0.25">
      <c r="E1823" s="1"/>
      <c r="F1823" s="2"/>
      <c r="H1823" s="1"/>
      <c r="I1823" s="2"/>
    </row>
    <row r="1824" spans="5:9" ht="12.5" customHeight="1" x14ac:dyDescent="0.25">
      <c r="E1824" s="1"/>
      <c r="F1824" s="2"/>
      <c r="H1824" s="1"/>
      <c r="I1824" s="2"/>
    </row>
    <row r="1825" spans="5:9" ht="12.5" customHeight="1" x14ac:dyDescent="0.25">
      <c r="E1825" s="1"/>
      <c r="F1825" s="2"/>
      <c r="H1825" s="1"/>
      <c r="I1825" s="2"/>
    </row>
    <row r="1826" spans="5:9" ht="12.5" customHeight="1" x14ac:dyDescent="0.25">
      <c r="E1826" s="1"/>
      <c r="F1826" s="2"/>
      <c r="H1826" s="1"/>
      <c r="I1826" s="2"/>
    </row>
    <row r="1827" spans="5:9" ht="12.5" customHeight="1" x14ac:dyDescent="0.25">
      <c r="E1827" s="1"/>
      <c r="F1827" s="2"/>
      <c r="H1827" s="1"/>
      <c r="I1827" s="2"/>
    </row>
    <row r="1828" spans="5:9" ht="12.5" customHeight="1" x14ac:dyDescent="0.25">
      <c r="E1828" s="1"/>
      <c r="F1828" s="2"/>
      <c r="H1828" s="1"/>
      <c r="I1828" s="2"/>
    </row>
    <row r="1829" spans="5:9" ht="12.5" customHeight="1" x14ac:dyDescent="0.25">
      <c r="E1829" s="1"/>
      <c r="F1829" s="2"/>
      <c r="H1829" s="1"/>
      <c r="I1829" s="2"/>
    </row>
    <row r="1830" spans="5:9" ht="12.5" customHeight="1" x14ac:dyDescent="0.25">
      <c r="E1830" s="1"/>
      <c r="F1830" s="2"/>
      <c r="H1830" s="1"/>
      <c r="I1830" s="2"/>
    </row>
    <row r="1831" spans="5:9" ht="12.5" customHeight="1" x14ac:dyDescent="0.25">
      <c r="E1831" s="1"/>
      <c r="F1831" s="2"/>
      <c r="H1831" s="1"/>
      <c r="I1831" s="2"/>
    </row>
    <row r="1832" spans="5:9" ht="12.5" customHeight="1" x14ac:dyDescent="0.25">
      <c r="E1832" s="1"/>
      <c r="F1832" s="2"/>
      <c r="H1832" s="1"/>
      <c r="I1832" s="2"/>
    </row>
    <row r="1833" spans="5:9" ht="12.5" customHeight="1" x14ac:dyDescent="0.25">
      <c r="E1833" s="1"/>
      <c r="F1833" s="2"/>
      <c r="H1833" s="1"/>
      <c r="I1833" s="2"/>
    </row>
    <row r="1834" spans="5:9" ht="12.5" customHeight="1" x14ac:dyDescent="0.25">
      <c r="E1834" s="1"/>
      <c r="F1834" s="2"/>
      <c r="H1834" s="1"/>
      <c r="I1834" s="2"/>
    </row>
    <row r="1835" spans="5:9" ht="12.5" customHeight="1" x14ac:dyDescent="0.25">
      <c r="E1835" s="1"/>
      <c r="F1835" s="2"/>
      <c r="H1835" s="1"/>
      <c r="I1835" s="2"/>
    </row>
    <row r="1836" spans="5:9" ht="12.5" customHeight="1" x14ac:dyDescent="0.25">
      <c r="E1836" s="1"/>
      <c r="F1836" s="2"/>
      <c r="H1836" s="1"/>
      <c r="I1836" s="2"/>
    </row>
    <row r="1837" spans="5:9" ht="12.5" customHeight="1" x14ac:dyDescent="0.25">
      <c r="E1837" s="1"/>
      <c r="F1837" s="2"/>
      <c r="H1837" s="1"/>
      <c r="I1837" s="2"/>
    </row>
    <row r="1838" spans="5:9" ht="12.5" customHeight="1" x14ac:dyDescent="0.25">
      <c r="E1838" s="1"/>
      <c r="F1838" s="2"/>
      <c r="H1838" s="1"/>
      <c r="I1838" s="2"/>
    </row>
    <row r="1839" spans="5:9" ht="12.5" customHeight="1" x14ac:dyDescent="0.25">
      <c r="E1839" s="1"/>
      <c r="F1839" s="2"/>
      <c r="H1839" s="1"/>
      <c r="I1839" s="2"/>
    </row>
    <row r="1840" spans="5:9" ht="12.5" customHeight="1" x14ac:dyDescent="0.25">
      <c r="E1840" s="1"/>
      <c r="F1840" s="2"/>
      <c r="H1840" s="1"/>
      <c r="I1840" s="2"/>
    </row>
    <row r="1841" spans="5:9" ht="12.5" customHeight="1" x14ac:dyDescent="0.25">
      <c r="E1841" s="1"/>
      <c r="F1841" s="2"/>
      <c r="H1841" s="1"/>
      <c r="I1841" s="2"/>
    </row>
    <row r="1842" spans="5:9" ht="12.5" customHeight="1" x14ac:dyDescent="0.25">
      <c r="E1842" s="1"/>
      <c r="F1842" s="2"/>
      <c r="H1842" s="1"/>
      <c r="I1842" s="2"/>
    </row>
    <row r="1843" spans="5:9" ht="12.5" customHeight="1" x14ac:dyDescent="0.25">
      <c r="E1843" s="1"/>
      <c r="F1843" s="2"/>
      <c r="H1843" s="1"/>
      <c r="I1843" s="2"/>
    </row>
    <row r="1844" spans="5:9" ht="12.5" customHeight="1" x14ac:dyDescent="0.25">
      <c r="E1844" s="1"/>
      <c r="F1844" s="2"/>
      <c r="H1844" s="1"/>
      <c r="I1844" s="2"/>
    </row>
    <row r="1845" spans="5:9" ht="12.5" customHeight="1" x14ac:dyDescent="0.25">
      <c r="E1845" s="1"/>
      <c r="F1845" s="2"/>
      <c r="H1845" s="1"/>
      <c r="I1845" s="2"/>
    </row>
    <row r="1846" spans="5:9" ht="12.5" customHeight="1" x14ac:dyDescent="0.25">
      <c r="E1846" s="1"/>
      <c r="F1846" s="2"/>
      <c r="H1846" s="1"/>
      <c r="I1846" s="2"/>
    </row>
    <row r="1847" spans="5:9" ht="12.5" customHeight="1" x14ac:dyDescent="0.25">
      <c r="E1847" s="1"/>
      <c r="F1847" s="2"/>
      <c r="H1847" s="1"/>
      <c r="I1847" s="2"/>
    </row>
    <row r="1848" spans="5:9" ht="12.5" customHeight="1" x14ac:dyDescent="0.25">
      <c r="E1848" s="1"/>
      <c r="F1848" s="2"/>
      <c r="H1848" s="1"/>
      <c r="I1848" s="2"/>
    </row>
    <row r="1849" spans="5:9" ht="12.5" customHeight="1" x14ac:dyDescent="0.25">
      <c r="E1849" s="1"/>
      <c r="F1849" s="2"/>
      <c r="H1849" s="1"/>
      <c r="I1849" s="2"/>
    </row>
    <row r="1850" spans="5:9" ht="12.5" customHeight="1" x14ac:dyDescent="0.25">
      <c r="E1850" s="1"/>
      <c r="F1850" s="2"/>
      <c r="H1850" s="1"/>
      <c r="I1850" s="2"/>
    </row>
    <row r="1851" spans="5:9" ht="12.5" customHeight="1" x14ac:dyDescent="0.25">
      <c r="E1851" s="1"/>
      <c r="F1851" s="2"/>
      <c r="H1851" s="1"/>
      <c r="I1851" s="2"/>
    </row>
    <row r="1852" spans="5:9" ht="12.5" customHeight="1" x14ac:dyDescent="0.25">
      <c r="E1852" s="1"/>
      <c r="F1852" s="2"/>
      <c r="H1852" s="1"/>
      <c r="I1852" s="2"/>
    </row>
    <row r="1853" spans="5:9" ht="12.5" customHeight="1" x14ac:dyDescent="0.25">
      <c r="E1853" s="1"/>
      <c r="F1853" s="2"/>
      <c r="H1853" s="1"/>
      <c r="I1853" s="2"/>
    </row>
    <row r="1854" spans="5:9" ht="12.5" customHeight="1" x14ac:dyDescent="0.25">
      <c r="E1854" s="1"/>
      <c r="F1854" s="2"/>
      <c r="H1854" s="1"/>
      <c r="I1854" s="2"/>
    </row>
    <row r="1855" spans="5:9" ht="12.5" customHeight="1" x14ac:dyDescent="0.25">
      <c r="E1855" s="1"/>
      <c r="F1855" s="2"/>
      <c r="H1855" s="1"/>
      <c r="I1855" s="2"/>
    </row>
    <row r="1856" spans="5:9" ht="12.5" customHeight="1" x14ac:dyDescent="0.25">
      <c r="E1856" s="1"/>
      <c r="F1856" s="2"/>
      <c r="H1856" s="1"/>
      <c r="I1856" s="2"/>
    </row>
    <row r="1857" spans="5:9" ht="12.5" customHeight="1" x14ac:dyDescent="0.25">
      <c r="E1857" s="1"/>
      <c r="F1857" s="2"/>
      <c r="H1857" s="1"/>
      <c r="I1857" s="2"/>
    </row>
    <row r="1858" spans="5:9" ht="12.5" customHeight="1" x14ac:dyDescent="0.25">
      <c r="E1858" s="1"/>
      <c r="F1858" s="2"/>
      <c r="H1858" s="1"/>
      <c r="I1858" s="2"/>
    </row>
    <row r="1859" spans="5:9" ht="12.5" customHeight="1" x14ac:dyDescent="0.25">
      <c r="E1859" s="1"/>
      <c r="F1859" s="2"/>
      <c r="H1859" s="1"/>
      <c r="I1859" s="2"/>
    </row>
    <row r="1860" spans="5:9" ht="12.5" customHeight="1" x14ac:dyDescent="0.25">
      <c r="E1860" s="1"/>
      <c r="F1860" s="2"/>
      <c r="H1860" s="1"/>
      <c r="I1860" s="2"/>
    </row>
    <row r="1861" spans="5:9" ht="12.5" customHeight="1" x14ac:dyDescent="0.25">
      <c r="E1861" s="1"/>
      <c r="F1861" s="2"/>
      <c r="H1861" s="1"/>
      <c r="I1861" s="2"/>
    </row>
    <row r="1862" spans="5:9" ht="12.5" customHeight="1" x14ac:dyDescent="0.25">
      <c r="E1862" s="1"/>
      <c r="F1862" s="2"/>
      <c r="H1862" s="1"/>
      <c r="I1862" s="2"/>
    </row>
    <row r="1863" spans="5:9" ht="12.5" customHeight="1" x14ac:dyDescent="0.25">
      <c r="E1863" s="1"/>
      <c r="F1863" s="2"/>
      <c r="H1863" s="1"/>
      <c r="I1863" s="2"/>
    </row>
    <row r="1864" spans="5:9" ht="12.5" customHeight="1" x14ac:dyDescent="0.25">
      <c r="E1864" s="1"/>
      <c r="F1864" s="2"/>
      <c r="H1864" s="1"/>
      <c r="I1864" s="2"/>
    </row>
    <row r="1865" spans="5:9" ht="12.5" customHeight="1" x14ac:dyDescent="0.25">
      <c r="E1865" s="1"/>
      <c r="F1865" s="2"/>
      <c r="H1865" s="1"/>
      <c r="I1865" s="2"/>
    </row>
    <row r="1866" spans="5:9" ht="12.5" customHeight="1" x14ac:dyDescent="0.25">
      <c r="E1866" s="1"/>
      <c r="F1866" s="2"/>
      <c r="H1866" s="1"/>
      <c r="I1866" s="2"/>
    </row>
    <row r="1867" spans="5:9" ht="12.5" customHeight="1" x14ac:dyDescent="0.25">
      <c r="E1867" s="1"/>
      <c r="F1867" s="2"/>
      <c r="H1867" s="1"/>
      <c r="I1867" s="2"/>
    </row>
    <row r="1868" spans="5:9" ht="12.5" customHeight="1" x14ac:dyDescent="0.25">
      <c r="E1868" s="1"/>
      <c r="F1868" s="2"/>
      <c r="H1868" s="1"/>
      <c r="I1868" s="2"/>
    </row>
    <row r="1869" spans="5:9" ht="12.5" customHeight="1" x14ac:dyDescent="0.25">
      <c r="E1869" s="1"/>
      <c r="F1869" s="2"/>
      <c r="H1869" s="1"/>
      <c r="I1869" s="2"/>
    </row>
    <row r="1870" spans="5:9" ht="12.5" customHeight="1" x14ac:dyDescent="0.25">
      <c r="E1870" s="1"/>
      <c r="F1870" s="2"/>
      <c r="H1870" s="1"/>
      <c r="I1870" s="2"/>
    </row>
    <row r="1871" spans="5:9" ht="12.5" customHeight="1" x14ac:dyDescent="0.25">
      <c r="E1871" s="1"/>
      <c r="F1871" s="2"/>
      <c r="H1871" s="1"/>
      <c r="I1871" s="2"/>
    </row>
    <row r="1872" spans="5:9" ht="12.5" customHeight="1" x14ac:dyDescent="0.25">
      <c r="E1872" s="1"/>
      <c r="F1872" s="2"/>
      <c r="H1872" s="1"/>
      <c r="I1872" s="2"/>
    </row>
    <row r="1873" spans="5:9" ht="12.5" customHeight="1" x14ac:dyDescent="0.25">
      <c r="E1873" s="1"/>
      <c r="F1873" s="2"/>
      <c r="H1873" s="1"/>
      <c r="I1873" s="2"/>
    </row>
    <row r="1874" spans="5:9" ht="12.5" customHeight="1" x14ac:dyDescent="0.25">
      <c r="E1874" s="1"/>
      <c r="F1874" s="2"/>
      <c r="H1874" s="1"/>
      <c r="I1874" s="2"/>
    </row>
    <row r="1875" spans="5:9" ht="12.5" customHeight="1" x14ac:dyDescent="0.25">
      <c r="E1875" s="1"/>
      <c r="F1875" s="2"/>
      <c r="H1875" s="1"/>
      <c r="I1875" s="2"/>
    </row>
    <row r="1876" spans="5:9" ht="12.5" customHeight="1" x14ac:dyDescent="0.25">
      <c r="E1876" s="1"/>
      <c r="F1876" s="2"/>
      <c r="H1876" s="1"/>
      <c r="I1876" s="2"/>
    </row>
    <row r="1877" spans="5:9" ht="12.5" customHeight="1" x14ac:dyDescent="0.25">
      <c r="E1877" s="1"/>
      <c r="F1877" s="2"/>
      <c r="H1877" s="1"/>
      <c r="I1877" s="2"/>
    </row>
    <row r="1878" spans="5:9" ht="12.5" customHeight="1" x14ac:dyDescent="0.25">
      <c r="E1878" s="1"/>
      <c r="F1878" s="2"/>
      <c r="H1878" s="1"/>
      <c r="I1878" s="2"/>
    </row>
    <row r="1879" spans="5:9" ht="12.5" customHeight="1" x14ac:dyDescent="0.25">
      <c r="E1879" s="1"/>
      <c r="F1879" s="2"/>
      <c r="H1879" s="1"/>
      <c r="I1879" s="2"/>
    </row>
    <row r="1880" spans="5:9" ht="12.5" customHeight="1" x14ac:dyDescent="0.25">
      <c r="E1880" s="1"/>
      <c r="F1880" s="2"/>
      <c r="H1880" s="1"/>
      <c r="I1880" s="2"/>
    </row>
    <row r="1881" spans="5:9" ht="12.5" customHeight="1" x14ac:dyDescent="0.25">
      <c r="E1881" s="1"/>
      <c r="F1881" s="2"/>
      <c r="H1881" s="1"/>
      <c r="I1881" s="2"/>
    </row>
    <row r="1882" spans="5:9" ht="12.5" customHeight="1" x14ac:dyDescent="0.25">
      <c r="E1882" s="1"/>
      <c r="F1882" s="2"/>
      <c r="H1882" s="1"/>
      <c r="I1882" s="2"/>
    </row>
    <row r="1883" spans="5:9" ht="12.5" customHeight="1" x14ac:dyDescent="0.25">
      <c r="E1883" s="1"/>
      <c r="F1883" s="2"/>
      <c r="H1883" s="1"/>
      <c r="I1883" s="2"/>
    </row>
    <row r="1884" spans="5:9" ht="12.5" customHeight="1" x14ac:dyDescent="0.25">
      <c r="E1884" s="1"/>
      <c r="F1884" s="2"/>
      <c r="H1884" s="1"/>
      <c r="I1884" s="2"/>
    </row>
    <row r="1885" spans="5:9" ht="12.5" customHeight="1" x14ac:dyDescent="0.25">
      <c r="E1885" s="1"/>
      <c r="F1885" s="2"/>
      <c r="H1885" s="1"/>
      <c r="I1885" s="2"/>
    </row>
    <row r="1886" spans="5:9" ht="12.5" customHeight="1" x14ac:dyDescent="0.25">
      <c r="E1886" s="1"/>
      <c r="F1886" s="2"/>
      <c r="H1886" s="1"/>
      <c r="I1886" s="2"/>
    </row>
    <row r="1887" spans="5:9" ht="12.5" customHeight="1" x14ac:dyDescent="0.25">
      <c r="E1887" s="1"/>
      <c r="F1887" s="2"/>
      <c r="H1887" s="1"/>
      <c r="I1887" s="2"/>
    </row>
    <row r="1888" spans="5:9" ht="12.5" customHeight="1" x14ac:dyDescent="0.25">
      <c r="E1888" s="1"/>
      <c r="F1888" s="2"/>
      <c r="H1888" s="1"/>
      <c r="I1888" s="2"/>
    </row>
    <row r="1889" spans="5:9" ht="12.5" customHeight="1" x14ac:dyDescent="0.25">
      <c r="E1889" s="1"/>
      <c r="F1889" s="2"/>
      <c r="H1889" s="1"/>
      <c r="I1889" s="2"/>
    </row>
    <row r="1890" spans="5:9" ht="12.5" customHeight="1" x14ac:dyDescent="0.25">
      <c r="E1890" s="1"/>
      <c r="F1890" s="2"/>
      <c r="H1890" s="1"/>
      <c r="I1890" s="2"/>
    </row>
    <row r="1891" spans="5:9" ht="12.5" customHeight="1" x14ac:dyDescent="0.25">
      <c r="E1891" s="1"/>
      <c r="F1891" s="2"/>
      <c r="H1891" s="1"/>
      <c r="I1891" s="2"/>
    </row>
    <row r="1892" spans="5:9" ht="12.5" customHeight="1" x14ac:dyDescent="0.25">
      <c r="E1892" s="1"/>
      <c r="F1892" s="2"/>
      <c r="H1892" s="1"/>
      <c r="I1892" s="2"/>
    </row>
    <row r="1893" spans="5:9" ht="12.5" customHeight="1" x14ac:dyDescent="0.25">
      <c r="E1893" s="1"/>
      <c r="F1893" s="2"/>
      <c r="H1893" s="1"/>
      <c r="I1893" s="2"/>
    </row>
    <row r="1894" spans="5:9" ht="12.5" customHeight="1" x14ac:dyDescent="0.25">
      <c r="E1894" s="1"/>
      <c r="F1894" s="2"/>
      <c r="H1894" s="1"/>
      <c r="I1894" s="2"/>
    </row>
    <row r="1895" spans="5:9" ht="12.5" customHeight="1" x14ac:dyDescent="0.25">
      <c r="E1895" s="1"/>
      <c r="F1895" s="2"/>
      <c r="H1895" s="1"/>
      <c r="I1895" s="2"/>
    </row>
    <row r="1896" spans="5:9" ht="12.5" customHeight="1" x14ac:dyDescent="0.25">
      <c r="E1896" s="1"/>
      <c r="F1896" s="2"/>
      <c r="H1896" s="1"/>
      <c r="I1896" s="2"/>
    </row>
    <row r="1897" spans="5:9" ht="12.5" customHeight="1" x14ac:dyDescent="0.25">
      <c r="E1897" s="1"/>
      <c r="F1897" s="2"/>
      <c r="H1897" s="1"/>
      <c r="I1897" s="2"/>
    </row>
    <row r="1898" spans="5:9" ht="12.5" customHeight="1" x14ac:dyDescent="0.25">
      <c r="E1898" s="1"/>
      <c r="F1898" s="2"/>
      <c r="H1898" s="1"/>
      <c r="I1898" s="2"/>
    </row>
    <row r="1899" spans="5:9" ht="12.5" customHeight="1" x14ac:dyDescent="0.25">
      <c r="E1899" s="1"/>
      <c r="F1899" s="2"/>
      <c r="H1899" s="1"/>
      <c r="I1899" s="2"/>
    </row>
    <row r="1900" spans="5:9" ht="12.5" customHeight="1" x14ac:dyDescent="0.25">
      <c r="E1900" s="1"/>
      <c r="F1900" s="2"/>
      <c r="H1900" s="1"/>
      <c r="I1900" s="2"/>
    </row>
    <row r="1901" spans="5:9" ht="12.5" customHeight="1" x14ac:dyDescent="0.25">
      <c r="E1901" s="1"/>
      <c r="F1901" s="2"/>
      <c r="H1901" s="1"/>
      <c r="I1901" s="2"/>
    </row>
    <row r="1902" spans="5:9" ht="12.5" customHeight="1" x14ac:dyDescent="0.25">
      <c r="E1902" s="1"/>
      <c r="F1902" s="2"/>
      <c r="H1902" s="1"/>
      <c r="I1902" s="2"/>
    </row>
    <row r="1903" spans="5:9" ht="12.5" customHeight="1" x14ac:dyDescent="0.25">
      <c r="E1903" s="1"/>
      <c r="F1903" s="2"/>
      <c r="H1903" s="1"/>
      <c r="I1903" s="2"/>
    </row>
    <row r="1904" spans="5:9" ht="12.5" customHeight="1" x14ac:dyDescent="0.25">
      <c r="E1904" s="1"/>
      <c r="F1904" s="2"/>
      <c r="H1904" s="1"/>
      <c r="I1904" s="2"/>
    </row>
    <row r="1905" spans="5:9" ht="12.5" customHeight="1" x14ac:dyDescent="0.25">
      <c r="E1905" s="1"/>
      <c r="F1905" s="2"/>
      <c r="H1905" s="1"/>
      <c r="I1905" s="2"/>
    </row>
    <row r="1906" spans="5:9" ht="12.5" customHeight="1" x14ac:dyDescent="0.25">
      <c r="E1906" s="1"/>
      <c r="F1906" s="2"/>
      <c r="H1906" s="1"/>
      <c r="I1906" s="2"/>
    </row>
    <row r="1907" spans="5:9" ht="12.5" customHeight="1" x14ac:dyDescent="0.25">
      <c r="E1907" s="1"/>
      <c r="F1907" s="2"/>
      <c r="H1907" s="1"/>
      <c r="I1907" s="2"/>
    </row>
    <row r="1908" spans="5:9" ht="12.5" customHeight="1" x14ac:dyDescent="0.25">
      <c r="E1908" s="1"/>
      <c r="F1908" s="2"/>
      <c r="H1908" s="1"/>
      <c r="I1908" s="2"/>
    </row>
    <row r="1909" spans="5:9" ht="12.5" customHeight="1" x14ac:dyDescent="0.25">
      <c r="E1909" s="1"/>
      <c r="F1909" s="2"/>
      <c r="H1909" s="1"/>
      <c r="I1909" s="2"/>
    </row>
    <row r="1910" spans="5:9" ht="12.5" customHeight="1" x14ac:dyDescent="0.25">
      <c r="E1910" s="1"/>
      <c r="F1910" s="2"/>
      <c r="H1910" s="1"/>
      <c r="I1910" s="2"/>
    </row>
    <row r="1911" spans="5:9" ht="12.5" customHeight="1" x14ac:dyDescent="0.25">
      <c r="E1911" s="1"/>
      <c r="F1911" s="2"/>
      <c r="H1911" s="1"/>
      <c r="I1911" s="2"/>
    </row>
    <row r="1912" spans="5:9" ht="12.5" customHeight="1" x14ac:dyDescent="0.25">
      <c r="E1912" s="1"/>
      <c r="F1912" s="2"/>
      <c r="H1912" s="1"/>
      <c r="I1912" s="2"/>
    </row>
    <row r="1913" spans="5:9" ht="12.5" customHeight="1" x14ac:dyDescent="0.25">
      <c r="E1913" s="1"/>
      <c r="F1913" s="2"/>
      <c r="H1913" s="1"/>
      <c r="I1913" s="2"/>
    </row>
    <row r="1914" spans="5:9" ht="12.5" customHeight="1" x14ac:dyDescent="0.25">
      <c r="E1914" s="1"/>
      <c r="F1914" s="2"/>
      <c r="H1914" s="1"/>
      <c r="I1914" s="2"/>
    </row>
    <row r="1915" spans="5:9" ht="12.5" customHeight="1" x14ac:dyDescent="0.25">
      <c r="E1915" s="1"/>
      <c r="F1915" s="2"/>
      <c r="H1915" s="1"/>
      <c r="I1915" s="2"/>
    </row>
    <row r="1916" spans="5:9" ht="12.5" customHeight="1" x14ac:dyDescent="0.25">
      <c r="E1916" s="1"/>
      <c r="F1916" s="2"/>
      <c r="H1916" s="1"/>
      <c r="I1916" s="2"/>
    </row>
    <row r="1917" spans="5:9" ht="12.5" customHeight="1" x14ac:dyDescent="0.25">
      <c r="E1917" s="1"/>
      <c r="F1917" s="2"/>
      <c r="H1917" s="1"/>
      <c r="I1917" s="2"/>
    </row>
    <row r="1918" spans="5:9" ht="12.5" customHeight="1" x14ac:dyDescent="0.25">
      <c r="E1918" s="1"/>
      <c r="F1918" s="2"/>
      <c r="H1918" s="1"/>
      <c r="I1918" s="2"/>
    </row>
    <row r="1919" spans="5:9" ht="12.5" customHeight="1" x14ac:dyDescent="0.25">
      <c r="E1919" s="1"/>
      <c r="F1919" s="2"/>
      <c r="H1919" s="1"/>
      <c r="I1919" s="2"/>
    </row>
    <row r="1920" spans="5:9" ht="12.5" customHeight="1" x14ac:dyDescent="0.25">
      <c r="E1920" s="1"/>
      <c r="F1920" s="2"/>
      <c r="H1920" s="1"/>
      <c r="I1920" s="2"/>
    </row>
    <row r="1921" spans="5:9" ht="12.5" customHeight="1" x14ac:dyDescent="0.25">
      <c r="E1921" s="1"/>
      <c r="F1921" s="2"/>
      <c r="H1921" s="1"/>
      <c r="I1921" s="2"/>
    </row>
    <row r="1922" spans="5:9" ht="12.5" customHeight="1" x14ac:dyDescent="0.25">
      <c r="E1922" s="1"/>
      <c r="F1922" s="2"/>
      <c r="H1922" s="1"/>
      <c r="I1922" s="2"/>
    </row>
    <row r="1923" spans="5:9" ht="12.5" customHeight="1" x14ac:dyDescent="0.25">
      <c r="E1923" s="1"/>
      <c r="F1923" s="2"/>
      <c r="H1923" s="1"/>
      <c r="I1923" s="2"/>
    </row>
    <row r="1924" spans="5:9" ht="12.5" customHeight="1" x14ac:dyDescent="0.25">
      <c r="E1924" s="1"/>
      <c r="F1924" s="2"/>
      <c r="H1924" s="1"/>
      <c r="I1924" s="2"/>
    </row>
    <row r="1925" spans="5:9" ht="12.5" customHeight="1" x14ac:dyDescent="0.25">
      <c r="E1925" s="1"/>
      <c r="F1925" s="2"/>
      <c r="H1925" s="1"/>
      <c r="I1925" s="2"/>
    </row>
    <row r="1926" spans="5:9" ht="12.5" customHeight="1" x14ac:dyDescent="0.25">
      <c r="E1926" s="1"/>
      <c r="F1926" s="2"/>
      <c r="H1926" s="1"/>
      <c r="I1926" s="2"/>
    </row>
    <row r="1927" spans="5:9" ht="12.5" customHeight="1" x14ac:dyDescent="0.25">
      <c r="E1927" s="1"/>
      <c r="F1927" s="2"/>
      <c r="H1927" s="1"/>
      <c r="I1927" s="2"/>
    </row>
    <row r="1928" spans="5:9" ht="12.5" customHeight="1" x14ac:dyDescent="0.25">
      <c r="E1928" s="1"/>
      <c r="F1928" s="2"/>
      <c r="H1928" s="1"/>
      <c r="I1928" s="2"/>
    </row>
    <row r="1929" spans="5:9" ht="12.5" customHeight="1" x14ac:dyDescent="0.25">
      <c r="E1929" s="1"/>
      <c r="F1929" s="2"/>
      <c r="H1929" s="1"/>
      <c r="I1929" s="2"/>
    </row>
    <row r="1930" spans="5:9" ht="12.5" customHeight="1" x14ac:dyDescent="0.25">
      <c r="E1930" s="1"/>
      <c r="F1930" s="2"/>
      <c r="H1930" s="1"/>
      <c r="I1930" s="2"/>
    </row>
    <row r="1931" spans="5:9" ht="12.5" customHeight="1" x14ac:dyDescent="0.25">
      <c r="E1931" s="1"/>
      <c r="F1931" s="2"/>
      <c r="H1931" s="1"/>
      <c r="I1931" s="2"/>
    </row>
    <row r="1932" spans="5:9" ht="12.5" customHeight="1" x14ac:dyDescent="0.25">
      <c r="E1932" s="1"/>
      <c r="F1932" s="2"/>
      <c r="H1932" s="1"/>
      <c r="I1932" s="2"/>
    </row>
    <row r="1933" spans="5:9" ht="12.5" customHeight="1" x14ac:dyDescent="0.25">
      <c r="E1933" s="1"/>
      <c r="F1933" s="2"/>
      <c r="H1933" s="1"/>
      <c r="I1933" s="2"/>
    </row>
    <row r="1934" spans="5:9" ht="12.5" customHeight="1" x14ac:dyDescent="0.25">
      <c r="E1934" s="1"/>
      <c r="F1934" s="2"/>
      <c r="H1934" s="1"/>
      <c r="I1934" s="2"/>
    </row>
    <row r="1935" spans="5:9" ht="12.5" customHeight="1" x14ac:dyDescent="0.25">
      <c r="E1935" s="1"/>
      <c r="F1935" s="2"/>
      <c r="H1935" s="1"/>
      <c r="I1935" s="2"/>
    </row>
    <row r="1936" spans="5:9" ht="12.5" customHeight="1" x14ac:dyDescent="0.25">
      <c r="E1936" s="1"/>
      <c r="F1936" s="2"/>
      <c r="H1936" s="1"/>
      <c r="I1936" s="2"/>
    </row>
    <row r="1937" spans="5:9" ht="12.5" customHeight="1" x14ac:dyDescent="0.25">
      <c r="E1937" s="1"/>
      <c r="F1937" s="2"/>
      <c r="H1937" s="1"/>
      <c r="I1937" s="2"/>
    </row>
    <row r="1938" spans="5:9" ht="12.5" customHeight="1" x14ac:dyDescent="0.25">
      <c r="E1938" s="1"/>
      <c r="F1938" s="2"/>
      <c r="H1938" s="1"/>
      <c r="I1938" s="2"/>
    </row>
    <row r="1939" spans="5:9" ht="12.5" customHeight="1" x14ac:dyDescent="0.25">
      <c r="E1939" s="1"/>
      <c r="F1939" s="2"/>
      <c r="H1939" s="1"/>
      <c r="I1939" s="2"/>
    </row>
    <row r="1940" spans="5:9" ht="12.5" customHeight="1" x14ac:dyDescent="0.25">
      <c r="E1940" s="1"/>
      <c r="F1940" s="2"/>
      <c r="H1940" s="1"/>
      <c r="I1940" s="2"/>
    </row>
    <row r="1941" spans="5:9" ht="12.5" customHeight="1" x14ac:dyDescent="0.25">
      <c r="E1941" s="1"/>
      <c r="F1941" s="2"/>
      <c r="H1941" s="1"/>
      <c r="I1941" s="2"/>
    </row>
    <row r="1942" spans="5:9" ht="12.5" customHeight="1" x14ac:dyDescent="0.25">
      <c r="E1942" s="1"/>
      <c r="F1942" s="2"/>
      <c r="H1942" s="1"/>
      <c r="I1942" s="2"/>
    </row>
    <row r="1943" spans="5:9" ht="12.5" customHeight="1" x14ac:dyDescent="0.25">
      <c r="E1943" s="1"/>
      <c r="F1943" s="2"/>
      <c r="H1943" s="1"/>
      <c r="I1943" s="2"/>
    </row>
    <row r="1944" spans="5:9" ht="12.5" customHeight="1" x14ac:dyDescent="0.25">
      <c r="E1944" s="1"/>
      <c r="F1944" s="2"/>
      <c r="H1944" s="1"/>
      <c r="I1944" s="2"/>
    </row>
    <row r="1945" spans="5:9" ht="12.5" customHeight="1" x14ac:dyDescent="0.25">
      <c r="E1945" s="1"/>
      <c r="F1945" s="2"/>
      <c r="H1945" s="1"/>
      <c r="I1945" s="2"/>
    </row>
    <row r="1946" spans="5:9" ht="12.5" customHeight="1" x14ac:dyDescent="0.25">
      <c r="E1946" s="1"/>
      <c r="F1946" s="2"/>
      <c r="H1946" s="1"/>
      <c r="I1946" s="2"/>
    </row>
    <row r="1947" spans="5:9" ht="12.5" customHeight="1" x14ac:dyDescent="0.25">
      <c r="E1947" s="1"/>
      <c r="F1947" s="2"/>
      <c r="H1947" s="1"/>
      <c r="I1947" s="2"/>
    </row>
    <row r="1948" spans="5:9" ht="12.5" customHeight="1" x14ac:dyDescent="0.25">
      <c r="E1948" s="1"/>
      <c r="F1948" s="2"/>
      <c r="H1948" s="1"/>
      <c r="I1948" s="2"/>
    </row>
    <row r="1949" spans="5:9" ht="12.5" customHeight="1" x14ac:dyDescent="0.25">
      <c r="E1949" s="1"/>
      <c r="F1949" s="2"/>
      <c r="H1949" s="1"/>
      <c r="I1949" s="2"/>
    </row>
    <row r="1950" spans="5:9" ht="12.5" customHeight="1" x14ac:dyDescent="0.25">
      <c r="E1950" s="1"/>
      <c r="F1950" s="2"/>
      <c r="H1950" s="1"/>
      <c r="I1950" s="2"/>
    </row>
    <row r="1951" spans="5:9" ht="12.5" customHeight="1" x14ac:dyDescent="0.25">
      <c r="E1951" s="1"/>
      <c r="F1951" s="2"/>
      <c r="H1951" s="1"/>
      <c r="I1951" s="2"/>
    </row>
    <row r="1952" spans="5:9" ht="12.5" customHeight="1" x14ac:dyDescent="0.25">
      <c r="E1952" s="1"/>
      <c r="F1952" s="2"/>
      <c r="H1952" s="1"/>
      <c r="I1952" s="2"/>
    </row>
    <row r="1953" spans="5:9" ht="12.5" customHeight="1" x14ac:dyDescent="0.25">
      <c r="E1953" s="1"/>
      <c r="F1953" s="2"/>
      <c r="H1953" s="1"/>
      <c r="I1953" s="2"/>
    </row>
    <row r="1954" spans="5:9" ht="12.5" customHeight="1" x14ac:dyDescent="0.25">
      <c r="E1954" s="1"/>
      <c r="F1954" s="2"/>
      <c r="H1954" s="1"/>
      <c r="I1954" s="2"/>
    </row>
    <row r="1955" spans="5:9" ht="12.5" customHeight="1" x14ac:dyDescent="0.25">
      <c r="E1955" s="1"/>
      <c r="F1955" s="2"/>
      <c r="H1955" s="1"/>
      <c r="I1955" s="2"/>
    </row>
    <row r="1956" spans="5:9" ht="12.5" customHeight="1" x14ac:dyDescent="0.25">
      <c r="E1956" s="1"/>
      <c r="F1956" s="2"/>
      <c r="H1956" s="1"/>
      <c r="I1956" s="2"/>
    </row>
    <row r="1957" spans="5:9" ht="12.5" customHeight="1" x14ac:dyDescent="0.25">
      <c r="E1957" s="1"/>
      <c r="F1957" s="2"/>
      <c r="H1957" s="1"/>
      <c r="I1957" s="2"/>
    </row>
    <row r="1958" spans="5:9" ht="12.5" customHeight="1" x14ac:dyDescent="0.25">
      <c r="E1958" s="1"/>
      <c r="F1958" s="2"/>
      <c r="H1958" s="1"/>
      <c r="I1958" s="2"/>
    </row>
    <row r="1959" spans="5:9" ht="12.5" customHeight="1" x14ac:dyDescent="0.25">
      <c r="E1959" s="1"/>
      <c r="F1959" s="2"/>
      <c r="H1959" s="1"/>
      <c r="I1959" s="2"/>
    </row>
    <row r="1960" spans="5:9" ht="12.5" customHeight="1" x14ac:dyDescent="0.25">
      <c r="E1960" s="1"/>
      <c r="F1960" s="2"/>
      <c r="H1960" s="1"/>
      <c r="I1960" s="2"/>
    </row>
    <row r="1961" spans="5:9" ht="12.5" customHeight="1" x14ac:dyDescent="0.25">
      <c r="E1961" s="1"/>
      <c r="F1961" s="2"/>
      <c r="H1961" s="1"/>
      <c r="I1961" s="2"/>
    </row>
    <row r="1962" spans="5:9" ht="12.5" customHeight="1" x14ac:dyDescent="0.25">
      <c r="E1962" s="1"/>
      <c r="F1962" s="2"/>
      <c r="H1962" s="1"/>
      <c r="I1962" s="2"/>
    </row>
    <row r="1963" spans="5:9" ht="12.5" customHeight="1" x14ac:dyDescent="0.25">
      <c r="E1963" s="1"/>
      <c r="F1963" s="2"/>
      <c r="H1963" s="1"/>
      <c r="I1963" s="2"/>
    </row>
    <row r="1964" spans="5:9" ht="12.5" customHeight="1" x14ac:dyDescent="0.25">
      <c r="E1964" s="1"/>
      <c r="F1964" s="2"/>
      <c r="H1964" s="1"/>
      <c r="I1964" s="2"/>
    </row>
    <row r="1965" spans="5:9" ht="12.5" customHeight="1" x14ac:dyDescent="0.25">
      <c r="E1965" s="1"/>
      <c r="F1965" s="2"/>
      <c r="H1965" s="1"/>
      <c r="I1965" s="2"/>
    </row>
    <row r="1966" spans="5:9" ht="12.5" customHeight="1" x14ac:dyDescent="0.25">
      <c r="E1966" s="1"/>
      <c r="F1966" s="2"/>
      <c r="H1966" s="1"/>
      <c r="I1966" s="2"/>
    </row>
    <row r="1967" spans="5:9" ht="12.5" customHeight="1" x14ac:dyDescent="0.25">
      <c r="E1967" s="1"/>
      <c r="F1967" s="2"/>
      <c r="H1967" s="1"/>
      <c r="I1967" s="2"/>
    </row>
    <row r="1968" spans="5:9" ht="12.5" customHeight="1" x14ac:dyDescent="0.25">
      <c r="E1968" s="1"/>
      <c r="F1968" s="2"/>
      <c r="H1968" s="1"/>
      <c r="I1968" s="2"/>
    </row>
    <row r="1969" spans="5:9" ht="12.5" customHeight="1" x14ac:dyDescent="0.25">
      <c r="E1969" s="1"/>
      <c r="F1969" s="2"/>
      <c r="H1969" s="1"/>
      <c r="I1969" s="2"/>
    </row>
    <row r="1970" spans="5:9" ht="12.5" customHeight="1" x14ac:dyDescent="0.25">
      <c r="E1970" s="1"/>
      <c r="F1970" s="2"/>
      <c r="H1970" s="1"/>
      <c r="I1970" s="2"/>
    </row>
    <row r="1971" spans="5:9" ht="12.5" customHeight="1" x14ac:dyDescent="0.25">
      <c r="E1971" s="1"/>
      <c r="F1971" s="2"/>
      <c r="H1971" s="1"/>
      <c r="I1971" s="2"/>
    </row>
    <row r="1972" spans="5:9" ht="12.5" customHeight="1" x14ac:dyDescent="0.25">
      <c r="E1972" s="1"/>
      <c r="F1972" s="2"/>
      <c r="H1972" s="1"/>
      <c r="I1972" s="2"/>
    </row>
    <row r="1973" spans="5:9" ht="12.5" customHeight="1" x14ac:dyDescent="0.25">
      <c r="E1973" s="1"/>
      <c r="F1973" s="2"/>
      <c r="H1973" s="1"/>
      <c r="I1973" s="2"/>
    </row>
    <row r="1974" spans="5:9" ht="12.5" customHeight="1" x14ac:dyDescent="0.25">
      <c r="E1974" s="1"/>
      <c r="F1974" s="2"/>
      <c r="H1974" s="1"/>
      <c r="I1974" s="2"/>
    </row>
    <row r="1975" spans="5:9" ht="12.5" customHeight="1" x14ac:dyDescent="0.25">
      <c r="E1975" s="1"/>
      <c r="F1975" s="2"/>
      <c r="H1975" s="1"/>
      <c r="I1975" s="2"/>
    </row>
    <row r="1976" spans="5:9" ht="12.5" customHeight="1" x14ac:dyDescent="0.25">
      <c r="E1976" s="1"/>
      <c r="F1976" s="2"/>
      <c r="H1976" s="1"/>
      <c r="I1976" s="2"/>
    </row>
    <row r="1977" spans="5:9" ht="12.5" customHeight="1" x14ac:dyDescent="0.25">
      <c r="E1977" s="1"/>
      <c r="F1977" s="2"/>
      <c r="H1977" s="1"/>
      <c r="I1977" s="2"/>
    </row>
    <row r="1978" spans="5:9" ht="12.5" customHeight="1" x14ac:dyDescent="0.25">
      <c r="E1978" s="1"/>
      <c r="F1978" s="2"/>
      <c r="H1978" s="1"/>
      <c r="I1978" s="2"/>
    </row>
    <row r="1979" spans="5:9" ht="12.5" customHeight="1" x14ac:dyDescent="0.25">
      <c r="E1979" s="1"/>
      <c r="F1979" s="2"/>
      <c r="H1979" s="1"/>
      <c r="I1979" s="2"/>
    </row>
    <row r="1980" spans="5:9" ht="12.5" customHeight="1" x14ac:dyDescent="0.25">
      <c r="E1980" s="1"/>
      <c r="F1980" s="2"/>
      <c r="H1980" s="1"/>
      <c r="I1980" s="2"/>
    </row>
    <row r="1981" spans="5:9" ht="12.5" customHeight="1" x14ac:dyDescent="0.25">
      <c r="E1981" s="1"/>
      <c r="F1981" s="2"/>
      <c r="H1981" s="1"/>
      <c r="I1981" s="2"/>
    </row>
    <row r="1982" spans="5:9" ht="12.5" customHeight="1" x14ac:dyDescent="0.25">
      <c r="E1982" s="1"/>
      <c r="F1982" s="2"/>
      <c r="H1982" s="1"/>
      <c r="I1982" s="2"/>
    </row>
    <row r="1983" spans="5:9" ht="12.5" customHeight="1" x14ac:dyDescent="0.25">
      <c r="E1983" s="1"/>
      <c r="F1983" s="2"/>
      <c r="H1983" s="1"/>
      <c r="I1983" s="2"/>
    </row>
    <row r="1984" spans="5:9" ht="12.5" customHeight="1" x14ac:dyDescent="0.25">
      <c r="E1984" s="1"/>
      <c r="F1984" s="2"/>
      <c r="H1984" s="1"/>
      <c r="I1984" s="2"/>
    </row>
    <row r="1985" spans="5:9" ht="12.5" customHeight="1" x14ac:dyDescent="0.25">
      <c r="E1985" s="1"/>
      <c r="F1985" s="2"/>
      <c r="H1985" s="1"/>
      <c r="I1985" s="2"/>
    </row>
    <row r="1986" spans="5:9" ht="12.5" customHeight="1" x14ac:dyDescent="0.25">
      <c r="E1986" s="1"/>
      <c r="F1986" s="2"/>
      <c r="H1986" s="1"/>
      <c r="I1986" s="2"/>
    </row>
    <row r="1987" spans="5:9" ht="12.5" customHeight="1" x14ac:dyDescent="0.25">
      <c r="E1987" s="1"/>
      <c r="F1987" s="2"/>
      <c r="H1987" s="1"/>
      <c r="I1987" s="2"/>
    </row>
    <row r="1988" spans="5:9" ht="12.5" customHeight="1" x14ac:dyDescent="0.25">
      <c r="E1988" s="1"/>
      <c r="F1988" s="2"/>
      <c r="H1988" s="1"/>
      <c r="I1988" s="2"/>
    </row>
    <row r="1989" spans="5:9" ht="12.5" customHeight="1" x14ac:dyDescent="0.25">
      <c r="E1989" s="1"/>
      <c r="F1989" s="2"/>
      <c r="H1989" s="1"/>
      <c r="I1989" s="2"/>
    </row>
    <row r="1990" spans="5:9" ht="12.5" customHeight="1" x14ac:dyDescent="0.25">
      <c r="E1990" s="1"/>
      <c r="F1990" s="2"/>
      <c r="H1990" s="1"/>
      <c r="I1990" s="2"/>
    </row>
    <row r="1991" spans="5:9" ht="12.5" customHeight="1" x14ac:dyDescent="0.25">
      <c r="E1991" s="1"/>
      <c r="F1991" s="2"/>
      <c r="H1991" s="1"/>
      <c r="I1991" s="2"/>
    </row>
    <row r="1992" spans="5:9" ht="12.5" customHeight="1" x14ac:dyDescent="0.25">
      <c r="E1992" s="1"/>
      <c r="F1992" s="2"/>
      <c r="H1992" s="1"/>
      <c r="I1992" s="2"/>
    </row>
    <row r="1993" spans="5:9" ht="12.5" customHeight="1" x14ac:dyDescent="0.25">
      <c r="E1993" s="1"/>
      <c r="F1993" s="2"/>
      <c r="H1993" s="1"/>
      <c r="I1993" s="2"/>
    </row>
    <row r="1994" spans="5:9" ht="12.5" customHeight="1" x14ac:dyDescent="0.25">
      <c r="E1994" s="1"/>
      <c r="F1994" s="2"/>
      <c r="H1994" s="1"/>
      <c r="I1994" s="2"/>
    </row>
    <row r="1995" spans="5:9" ht="12.5" customHeight="1" x14ac:dyDescent="0.25">
      <c r="E1995" s="1"/>
      <c r="F1995" s="2"/>
      <c r="H1995" s="1"/>
      <c r="I1995" s="2"/>
    </row>
    <row r="1996" spans="5:9" ht="12.5" customHeight="1" x14ac:dyDescent="0.25">
      <c r="E1996" s="1"/>
      <c r="F1996" s="2"/>
      <c r="H1996" s="1"/>
      <c r="I1996" s="2"/>
    </row>
    <row r="1997" spans="5:9" ht="12.5" customHeight="1" x14ac:dyDescent="0.25">
      <c r="E1997" s="1"/>
      <c r="F1997" s="2"/>
      <c r="H1997" s="1"/>
      <c r="I1997" s="2"/>
    </row>
    <row r="1998" spans="5:9" ht="12.5" customHeight="1" x14ac:dyDescent="0.25">
      <c r="E1998" s="1"/>
      <c r="F1998" s="2"/>
      <c r="H1998" s="1"/>
      <c r="I1998" s="2"/>
    </row>
    <row r="1999" spans="5:9" ht="12.5" customHeight="1" x14ac:dyDescent="0.25">
      <c r="E1999" s="1"/>
      <c r="F1999" s="2"/>
      <c r="H1999" s="1"/>
      <c r="I1999" s="2"/>
    </row>
    <row r="2000" spans="5:9" ht="12.5" customHeight="1" x14ac:dyDescent="0.25">
      <c r="E2000" s="1"/>
      <c r="F2000" s="2"/>
      <c r="H2000" s="1"/>
      <c r="I2000" s="2"/>
    </row>
    <row r="2001" spans="5:9" ht="12.5" customHeight="1" x14ac:dyDescent="0.25">
      <c r="E2001" s="1"/>
      <c r="F2001" s="2"/>
      <c r="H2001" s="1"/>
      <c r="I2001" s="2"/>
    </row>
    <row r="2002" spans="5:9" ht="12.5" customHeight="1" x14ac:dyDescent="0.25">
      <c r="E2002" s="1"/>
      <c r="F2002" s="2"/>
      <c r="H2002" s="1"/>
      <c r="I2002" s="2"/>
    </row>
    <row r="2003" spans="5:9" ht="12.5" customHeight="1" x14ac:dyDescent="0.25">
      <c r="E2003" s="1"/>
      <c r="F2003" s="2"/>
      <c r="H2003" s="1"/>
      <c r="I2003" s="2"/>
    </row>
    <row r="2004" spans="5:9" ht="12.5" customHeight="1" x14ac:dyDescent="0.25">
      <c r="E2004" s="1"/>
      <c r="F2004" s="2"/>
      <c r="H2004" s="1"/>
      <c r="I2004" s="2"/>
    </row>
    <row r="2005" spans="5:9" ht="12.5" customHeight="1" x14ac:dyDescent="0.25">
      <c r="E2005" s="1"/>
      <c r="F2005" s="2"/>
      <c r="H2005" s="1"/>
      <c r="I2005" s="2"/>
    </row>
    <row r="2006" spans="5:9" ht="12.5" customHeight="1" x14ac:dyDescent="0.25">
      <c r="E2006" s="1"/>
      <c r="F2006" s="2"/>
      <c r="H2006" s="1"/>
      <c r="I2006" s="2"/>
    </row>
    <row r="2007" spans="5:9" ht="12.5" customHeight="1" x14ac:dyDescent="0.25">
      <c r="E2007" s="1"/>
      <c r="F2007" s="2"/>
      <c r="H2007" s="1"/>
      <c r="I2007" s="2"/>
    </row>
    <row r="2008" spans="5:9" ht="12.5" customHeight="1" x14ac:dyDescent="0.25">
      <c r="E2008" s="1"/>
      <c r="F2008" s="2"/>
      <c r="H2008" s="1"/>
      <c r="I2008" s="2"/>
    </row>
    <row r="2009" spans="5:9" ht="12.5" customHeight="1" x14ac:dyDescent="0.25">
      <c r="E2009" s="1"/>
      <c r="F2009" s="2"/>
      <c r="H2009" s="1"/>
      <c r="I2009" s="2"/>
    </row>
    <row r="2010" spans="5:9" ht="12.5" customHeight="1" x14ac:dyDescent="0.25">
      <c r="E2010" s="1"/>
      <c r="F2010" s="2"/>
      <c r="H2010" s="1"/>
      <c r="I2010" s="2"/>
    </row>
    <row r="2011" spans="5:9" ht="12.5" customHeight="1" x14ac:dyDescent="0.25">
      <c r="E2011" s="1"/>
      <c r="F2011" s="2"/>
      <c r="H2011" s="1"/>
      <c r="I2011" s="2"/>
    </row>
    <row r="2012" spans="5:9" ht="12.5" customHeight="1" x14ac:dyDescent="0.25">
      <c r="E2012" s="1"/>
      <c r="F2012" s="2"/>
      <c r="H2012" s="1"/>
      <c r="I2012" s="2"/>
    </row>
    <row r="2013" spans="5:9" ht="12.5" customHeight="1" x14ac:dyDescent="0.25">
      <c r="E2013" s="1"/>
      <c r="F2013" s="2"/>
      <c r="H2013" s="1"/>
      <c r="I2013" s="2"/>
    </row>
    <row r="2014" spans="5:9" ht="12.5" customHeight="1" x14ac:dyDescent="0.25">
      <c r="E2014" s="1"/>
      <c r="F2014" s="2"/>
      <c r="H2014" s="1"/>
      <c r="I2014" s="2"/>
    </row>
    <row r="2015" spans="5:9" ht="12.5" customHeight="1" x14ac:dyDescent="0.25">
      <c r="E2015" s="1"/>
      <c r="F2015" s="2"/>
      <c r="H2015" s="1"/>
      <c r="I2015" s="2"/>
    </row>
    <row r="2016" spans="5:9" ht="12.5" customHeight="1" x14ac:dyDescent="0.25">
      <c r="E2016" s="1"/>
      <c r="F2016" s="2"/>
      <c r="H2016" s="1"/>
      <c r="I2016" s="2"/>
    </row>
    <row r="2017" spans="5:9" ht="12.5" customHeight="1" x14ac:dyDescent="0.25">
      <c r="E2017" s="1"/>
      <c r="F2017" s="2"/>
      <c r="H2017" s="1"/>
      <c r="I2017" s="2"/>
    </row>
    <row r="2018" spans="5:9" ht="12.5" customHeight="1" x14ac:dyDescent="0.25">
      <c r="E2018" s="1"/>
      <c r="F2018" s="2"/>
      <c r="H2018" s="1"/>
      <c r="I2018" s="2"/>
    </row>
    <row r="2019" spans="5:9" ht="12.5" customHeight="1" x14ac:dyDescent="0.25">
      <c r="E2019" s="1"/>
      <c r="F2019" s="2"/>
      <c r="H2019" s="1"/>
      <c r="I2019" s="2"/>
    </row>
    <row r="2020" spans="5:9" ht="12.5" customHeight="1" x14ac:dyDescent="0.25">
      <c r="E2020" s="1"/>
      <c r="F2020" s="2"/>
      <c r="H2020" s="1"/>
      <c r="I2020" s="2"/>
    </row>
    <row r="2021" spans="5:9" ht="12.5" customHeight="1" x14ac:dyDescent="0.25">
      <c r="E2021" s="1"/>
      <c r="F2021" s="2"/>
      <c r="H2021" s="1"/>
      <c r="I2021" s="2"/>
    </row>
    <row r="2022" spans="5:9" ht="12.5" customHeight="1" x14ac:dyDescent="0.25">
      <c r="E2022" s="1"/>
      <c r="F2022" s="2"/>
      <c r="H2022" s="1"/>
      <c r="I2022" s="2"/>
    </row>
    <row r="2023" spans="5:9" ht="12.5" customHeight="1" x14ac:dyDescent="0.25">
      <c r="E2023" s="1"/>
      <c r="F2023" s="2"/>
      <c r="H2023" s="1"/>
      <c r="I2023" s="2"/>
    </row>
    <row r="2024" spans="5:9" ht="12.5" customHeight="1" x14ac:dyDescent="0.25">
      <c r="E2024" s="1"/>
      <c r="F2024" s="2"/>
      <c r="H2024" s="1"/>
      <c r="I2024" s="2"/>
    </row>
    <row r="2025" spans="5:9" ht="12.5" customHeight="1" x14ac:dyDescent="0.25">
      <c r="E2025" s="1"/>
      <c r="F2025" s="2"/>
      <c r="H2025" s="1"/>
      <c r="I2025" s="2"/>
    </row>
    <row r="2026" spans="5:9" ht="12.5" customHeight="1" x14ac:dyDescent="0.25">
      <c r="E2026" s="1"/>
      <c r="F2026" s="2"/>
      <c r="H2026" s="1"/>
      <c r="I2026" s="2"/>
    </row>
    <row r="2027" spans="5:9" ht="12.5" customHeight="1" x14ac:dyDescent="0.25">
      <c r="E2027" s="1"/>
      <c r="F2027" s="2"/>
      <c r="H2027" s="1"/>
      <c r="I2027" s="2"/>
    </row>
    <row r="2028" spans="5:9" ht="12.5" customHeight="1" x14ac:dyDescent="0.25">
      <c r="E2028" s="1"/>
      <c r="F2028" s="2"/>
      <c r="H2028" s="1"/>
      <c r="I2028" s="2"/>
    </row>
    <row r="2029" spans="5:9" ht="12.5" customHeight="1" x14ac:dyDescent="0.25">
      <c r="E2029" s="1"/>
      <c r="F2029" s="2"/>
      <c r="H2029" s="1"/>
      <c r="I2029" s="2"/>
    </row>
    <row r="2030" spans="5:9" ht="12.5" customHeight="1" x14ac:dyDescent="0.25">
      <c r="E2030" s="1"/>
      <c r="F2030" s="2"/>
      <c r="H2030" s="1"/>
      <c r="I2030" s="2"/>
    </row>
    <row r="2031" spans="5:9" ht="12.5" customHeight="1" x14ac:dyDescent="0.25">
      <c r="E2031" s="1"/>
      <c r="F2031" s="2"/>
      <c r="H2031" s="1"/>
      <c r="I2031" s="2"/>
    </row>
    <row r="2032" spans="5:9" ht="12.5" customHeight="1" x14ac:dyDescent="0.25">
      <c r="E2032" s="1"/>
      <c r="F2032" s="2"/>
      <c r="H2032" s="1"/>
      <c r="I2032" s="2"/>
    </row>
    <row r="2033" spans="5:9" ht="12.5" customHeight="1" x14ac:dyDescent="0.25">
      <c r="E2033" s="1"/>
      <c r="F2033" s="2"/>
      <c r="H2033" s="1"/>
      <c r="I2033" s="2"/>
    </row>
    <row r="2034" spans="5:9" ht="12.5" customHeight="1" x14ac:dyDescent="0.25">
      <c r="E2034" s="1"/>
      <c r="F2034" s="2"/>
      <c r="H2034" s="1"/>
      <c r="I2034" s="2"/>
    </row>
    <row r="2035" spans="5:9" ht="12.5" customHeight="1" x14ac:dyDescent="0.25">
      <c r="E2035" s="1"/>
      <c r="F2035" s="2"/>
      <c r="H2035" s="1"/>
      <c r="I2035" s="2"/>
    </row>
    <row r="2036" spans="5:9" ht="12.5" customHeight="1" x14ac:dyDescent="0.25">
      <c r="E2036" s="1"/>
      <c r="F2036" s="2"/>
      <c r="H2036" s="1"/>
      <c r="I2036" s="2"/>
    </row>
    <row r="2037" spans="5:9" ht="12.5" customHeight="1" x14ac:dyDescent="0.25">
      <c r="E2037" s="1"/>
      <c r="F2037" s="2"/>
      <c r="H2037" s="1"/>
      <c r="I2037" s="2"/>
    </row>
    <row r="2038" spans="5:9" ht="12.5" customHeight="1" x14ac:dyDescent="0.25">
      <c r="E2038" s="1"/>
      <c r="F2038" s="2"/>
      <c r="H2038" s="1"/>
      <c r="I2038" s="2"/>
    </row>
    <row r="2039" spans="5:9" ht="12.5" customHeight="1" x14ac:dyDescent="0.25">
      <c r="E2039" s="1"/>
      <c r="F2039" s="2"/>
      <c r="H2039" s="1"/>
      <c r="I2039" s="2"/>
    </row>
    <row r="2040" spans="5:9" ht="12.5" customHeight="1" x14ac:dyDescent="0.25">
      <c r="E2040" s="1"/>
      <c r="F2040" s="2"/>
      <c r="H2040" s="1"/>
      <c r="I2040" s="2"/>
    </row>
    <row r="2041" spans="5:9" ht="12.5" customHeight="1" x14ac:dyDescent="0.25">
      <c r="E2041" s="1"/>
      <c r="F2041" s="2"/>
      <c r="H2041" s="1"/>
      <c r="I2041" s="2"/>
    </row>
    <row r="2042" spans="5:9" ht="12.5" customHeight="1" x14ac:dyDescent="0.25">
      <c r="E2042" s="1"/>
      <c r="F2042" s="2"/>
      <c r="H2042" s="1"/>
      <c r="I2042" s="2"/>
    </row>
    <row r="2043" spans="5:9" ht="12.5" customHeight="1" x14ac:dyDescent="0.25">
      <c r="E2043" s="1"/>
      <c r="F2043" s="2"/>
      <c r="H2043" s="1"/>
      <c r="I2043" s="2"/>
    </row>
    <row r="2044" spans="5:9" ht="12.5" customHeight="1" x14ac:dyDescent="0.25">
      <c r="E2044" s="1"/>
      <c r="F2044" s="2"/>
      <c r="H2044" s="1"/>
      <c r="I2044" s="2"/>
    </row>
    <row r="2045" spans="5:9" ht="12.5" customHeight="1" x14ac:dyDescent="0.25">
      <c r="E2045" s="1"/>
      <c r="F2045" s="2"/>
      <c r="H2045" s="1"/>
      <c r="I2045" s="2"/>
    </row>
    <row r="2046" spans="5:9" ht="12.5" customHeight="1" x14ac:dyDescent="0.25">
      <c r="E2046" s="1"/>
      <c r="F2046" s="2"/>
      <c r="H2046" s="1"/>
      <c r="I2046" s="2"/>
    </row>
    <row r="2047" spans="5:9" ht="12.5" customHeight="1" x14ac:dyDescent="0.25">
      <c r="E2047" s="1"/>
      <c r="F2047" s="2"/>
      <c r="H2047" s="1"/>
      <c r="I2047" s="2"/>
    </row>
    <row r="2048" spans="5:9" ht="12.5" customHeight="1" x14ac:dyDescent="0.25">
      <c r="E2048" s="1"/>
      <c r="F2048" s="2"/>
      <c r="H2048" s="1"/>
      <c r="I2048" s="2"/>
    </row>
    <row r="2049" spans="5:9" ht="12.5" customHeight="1" x14ac:dyDescent="0.25">
      <c r="E2049" s="1"/>
      <c r="F2049" s="2"/>
      <c r="H2049" s="1"/>
      <c r="I2049" s="2"/>
    </row>
    <row r="2050" spans="5:9" ht="12.5" customHeight="1" x14ac:dyDescent="0.25">
      <c r="E2050" s="1"/>
      <c r="F2050" s="2"/>
      <c r="H2050" s="1"/>
      <c r="I2050" s="2"/>
    </row>
    <row r="2051" spans="5:9" ht="12.5" customHeight="1" x14ac:dyDescent="0.25">
      <c r="E2051" s="1"/>
      <c r="F2051" s="2"/>
      <c r="H2051" s="1"/>
      <c r="I2051" s="2"/>
    </row>
    <row r="2052" spans="5:9" ht="12.5" customHeight="1" x14ac:dyDescent="0.25">
      <c r="E2052" s="1"/>
      <c r="F2052" s="2"/>
      <c r="H2052" s="1"/>
      <c r="I2052" s="2"/>
    </row>
    <row r="2053" spans="5:9" ht="12.5" customHeight="1" x14ac:dyDescent="0.25">
      <c r="E2053" s="1"/>
      <c r="F2053" s="2"/>
      <c r="H2053" s="1"/>
      <c r="I2053" s="2"/>
    </row>
    <row r="2054" spans="5:9" ht="12.5" customHeight="1" x14ac:dyDescent="0.25">
      <c r="E2054" s="1"/>
      <c r="F2054" s="2"/>
      <c r="H2054" s="1"/>
      <c r="I2054" s="2"/>
    </row>
    <row r="2055" spans="5:9" ht="12.5" customHeight="1" x14ac:dyDescent="0.25">
      <c r="E2055" s="1"/>
      <c r="F2055" s="2"/>
      <c r="H2055" s="1"/>
      <c r="I2055" s="2"/>
    </row>
    <row r="2056" spans="5:9" ht="12.5" customHeight="1" x14ac:dyDescent="0.25">
      <c r="E2056" s="1"/>
      <c r="F2056" s="2"/>
      <c r="H2056" s="1"/>
      <c r="I2056" s="2"/>
    </row>
    <row r="2057" spans="5:9" ht="12.5" customHeight="1" x14ac:dyDescent="0.25">
      <c r="E2057" s="1"/>
      <c r="F2057" s="2"/>
      <c r="H2057" s="1"/>
      <c r="I2057" s="2"/>
    </row>
    <row r="2058" spans="5:9" ht="12.5" customHeight="1" x14ac:dyDescent="0.25">
      <c r="E2058" s="1"/>
      <c r="F2058" s="2"/>
      <c r="H2058" s="1"/>
      <c r="I2058" s="2"/>
    </row>
    <row r="2059" spans="5:9" ht="12.5" customHeight="1" x14ac:dyDescent="0.25">
      <c r="E2059" s="1"/>
      <c r="F2059" s="2"/>
      <c r="H2059" s="1"/>
      <c r="I2059" s="2"/>
    </row>
    <row r="2060" spans="5:9" ht="12.5" customHeight="1" x14ac:dyDescent="0.25">
      <c r="E2060" s="1"/>
      <c r="F2060" s="2"/>
      <c r="H2060" s="1"/>
      <c r="I2060" s="2"/>
    </row>
    <row r="2061" spans="5:9" ht="12.5" customHeight="1" x14ac:dyDescent="0.25">
      <c r="E2061" s="1"/>
      <c r="F2061" s="2"/>
      <c r="H2061" s="1"/>
      <c r="I2061" s="2"/>
    </row>
    <row r="2062" spans="5:9" ht="12.5" customHeight="1" x14ac:dyDescent="0.25">
      <c r="E2062" s="1"/>
      <c r="F2062" s="2"/>
      <c r="H2062" s="1"/>
      <c r="I2062" s="2"/>
    </row>
    <row r="2063" spans="5:9" ht="12.5" customHeight="1" x14ac:dyDescent="0.25">
      <c r="E2063" s="1"/>
      <c r="F2063" s="2"/>
      <c r="H2063" s="1"/>
      <c r="I2063" s="2"/>
    </row>
    <row r="2064" spans="5:9" ht="12.5" customHeight="1" x14ac:dyDescent="0.25">
      <c r="E2064" s="1"/>
      <c r="F2064" s="2"/>
      <c r="H2064" s="1"/>
      <c r="I2064" s="2"/>
    </row>
    <row r="2065" spans="5:9" ht="12.5" customHeight="1" x14ac:dyDescent="0.25">
      <c r="E2065" s="1"/>
      <c r="F2065" s="2"/>
      <c r="H2065" s="1"/>
      <c r="I2065" s="2"/>
    </row>
    <row r="2066" spans="5:9" ht="12.5" customHeight="1" x14ac:dyDescent="0.25">
      <c r="E2066" s="1"/>
      <c r="F2066" s="2"/>
      <c r="H2066" s="1"/>
      <c r="I2066" s="2"/>
    </row>
    <row r="2067" spans="5:9" ht="12.5" customHeight="1" x14ac:dyDescent="0.25">
      <c r="E2067" s="1"/>
      <c r="F2067" s="2"/>
      <c r="H2067" s="1"/>
      <c r="I2067" s="2"/>
    </row>
    <row r="2068" spans="5:9" ht="12.5" customHeight="1" x14ac:dyDescent="0.25">
      <c r="E2068" s="1"/>
      <c r="F2068" s="2"/>
      <c r="H2068" s="1"/>
      <c r="I2068" s="2"/>
    </row>
    <row r="2069" spans="5:9" ht="12.5" customHeight="1" x14ac:dyDescent="0.25">
      <c r="E2069" s="1"/>
      <c r="F2069" s="2"/>
      <c r="H2069" s="1"/>
      <c r="I2069" s="2"/>
    </row>
    <row r="2070" spans="5:9" ht="12.5" customHeight="1" x14ac:dyDescent="0.25">
      <c r="E2070" s="1"/>
      <c r="F2070" s="2"/>
      <c r="H2070" s="1"/>
      <c r="I2070" s="2"/>
    </row>
    <row r="2071" spans="5:9" ht="12.5" customHeight="1" x14ac:dyDescent="0.25">
      <c r="E2071" s="1"/>
      <c r="F2071" s="2"/>
      <c r="H2071" s="1"/>
      <c r="I2071" s="2"/>
    </row>
    <row r="2072" spans="5:9" ht="12.5" customHeight="1" x14ac:dyDescent="0.25">
      <c r="E2072" s="1"/>
      <c r="F2072" s="2"/>
      <c r="H2072" s="1"/>
      <c r="I2072" s="2"/>
    </row>
    <row r="2073" spans="5:9" ht="12.5" customHeight="1" x14ac:dyDescent="0.25">
      <c r="E2073" s="1"/>
      <c r="F2073" s="2"/>
      <c r="H2073" s="1"/>
      <c r="I2073" s="2"/>
    </row>
    <row r="2074" spans="5:9" ht="12.5" customHeight="1" x14ac:dyDescent="0.25">
      <c r="E2074" s="1"/>
      <c r="F2074" s="2"/>
      <c r="H2074" s="1"/>
      <c r="I2074" s="2"/>
    </row>
    <row r="2075" spans="5:9" ht="12.5" customHeight="1" x14ac:dyDescent="0.25">
      <c r="E2075" s="1"/>
      <c r="F2075" s="2"/>
      <c r="H2075" s="1"/>
      <c r="I2075" s="2"/>
    </row>
    <row r="2076" spans="5:9" ht="12.5" customHeight="1" x14ac:dyDescent="0.25">
      <c r="E2076" s="1"/>
      <c r="F2076" s="2"/>
      <c r="H2076" s="1"/>
      <c r="I2076" s="2"/>
    </row>
    <row r="2077" spans="5:9" ht="12.5" customHeight="1" x14ac:dyDescent="0.25">
      <c r="E2077" s="1"/>
      <c r="F2077" s="2"/>
      <c r="H2077" s="1"/>
      <c r="I2077" s="2"/>
    </row>
    <row r="2078" spans="5:9" ht="12.5" customHeight="1" x14ac:dyDescent="0.25">
      <c r="E2078" s="1"/>
      <c r="F2078" s="2"/>
      <c r="H2078" s="1"/>
      <c r="I2078" s="2"/>
    </row>
    <row r="2079" spans="5:9" ht="12.5" customHeight="1" x14ac:dyDescent="0.25">
      <c r="E2079" s="1"/>
      <c r="F2079" s="2"/>
      <c r="H2079" s="1"/>
      <c r="I2079" s="2"/>
    </row>
    <row r="2080" spans="5:9" ht="12.5" customHeight="1" x14ac:dyDescent="0.25">
      <c r="E2080" s="1"/>
      <c r="F2080" s="2"/>
      <c r="H2080" s="1"/>
      <c r="I2080" s="2"/>
    </row>
    <row r="2081" spans="5:9" ht="12.5" customHeight="1" x14ac:dyDescent="0.25">
      <c r="E2081" s="1"/>
      <c r="F2081" s="2"/>
      <c r="H2081" s="1"/>
      <c r="I2081" s="2"/>
    </row>
    <row r="2082" spans="5:9" ht="12.5" customHeight="1" x14ac:dyDescent="0.25">
      <c r="E2082" s="1"/>
      <c r="F2082" s="2"/>
      <c r="H2082" s="1"/>
      <c r="I2082" s="2"/>
    </row>
    <row r="2083" spans="5:9" ht="12.5" customHeight="1" x14ac:dyDescent="0.25">
      <c r="E2083" s="1"/>
      <c r="F2083" s="2"/>
      <c r="H2083" s="1"/>
      <c r="I2083" s="2"/>
    </row>
    <row r="2084" spans="5:9" ht="12.5" customHeight="1" x14ac:dyDescent="0.25">
      <c r="E2084" s="1"/>
      <c r="F2084" s="2"/>
      <c r="H2084" s="1"/>
      <c r="I2084" s="2"/>
    </row>
    <row r="2085" spans="5:9" ht="12.5" customHeight="1" x14ac:dyDescent="0.25">
      <c r="E2085" s="1"/>
      <c r="F2085" s="2"/>
      <c r="H2085" s="1"/>
      <c r="I2085" s="2"/>
    </row>
    <row r="2086" spans="5:9" ht="12.5" customHeight="1" x14ac:dyDescent="0.25">
      <c r="E2086" s="1"/>
      <c r="F2086" s="2"/>
      <c r="H2086" s="1"/>
      <c r="I2086" s="2"/>
    </row>
    <row r="2087" spans="5:9" ht="12.5" customHeight="1" x14ac:dyDescent="0.25">
      <c r="E2087" s="1"/>
      <c r="F2087" s="2"/>
      <c r="H2087" s="1"/>
      <c r="I2087" s="2"/>
    </row>
    <row r="2088" spans="5:9" ht="12.5" customHeight="1" x14ac:dyDescent="0.25">
      <c r="E2088" s="1"/>
      <c r="F2088" s="2"/>
      <c r="H2088" s="1"/>
      <c r="I2088" s="2"/>
    </row>
    <row r="2089" spans="5:9" ht="12.5" customHeight="1" x14ac:dyDescent="0.25">
      <c r="E2089" s="1"/>
      <c r="F2089" s="2"/>
      <c r="H2089" s="1"/>
      <c r="I2089" s="2"/>
    </row>
    <row r="2090" spans="5:9" ht="12.5" customHeight="1" x14ac:dyDescent="0.25">
      <c r="E2090" s="1"/>
      <c r="F2090" s="2"/>
      <c r="H2090" s="1"/>
      <c r="I2090" s="2"/>
    </row>
    <row r="2091" spans="5:9" ht="12.5" customHeight="1" x14ac:dyDescent="0.25">
      <c r="E2091" s="1"/>
      <c r="F2091" s="2"/>
      <c r="H2091" s="1"/>
      <c r="I2091" s="2"/>
    </row>
    <row r="2092" spans="5:9" ht="12.5" customHeight="1" x14ac:dyDescent="0.25">
      <c r="E2092" s="1"/>
      <c r="F2092" s="2"/>
      <c r="H2092" s="1"/>
      <c r="I2092" s="2"/>
    </row>
    <row r="2093" spans="5:9" ht="12.5" customHeight="1" x14ac:dyDescent="0.25">
      <c r="E2093" s="1"/>
      <c r="F2093" s="2"/>
      <c r="H2093" s="1"/>
      <c r="I2093" s="2"/>
    </row>
    <row r="2094" spans="5:9" ht="12.5" customHeight="1" x14ac:dyDescent="0.25">
      <c r="E2094" s="1"/>
      <c r="F2094" s="2"/>
      <c r="H2094" s="1"/>
      <c r="I2094" s="2"/>
    </row>
    <row r="2095" spans="5:9" ht="12.5" customHeight="1" x14ac:dyDescent="0.25">
      <c r="E2095" s="1"/>
      <c r="F2095" s="2"/>
      <c r="H2095" s="1"/>
      <c r="I2095" s="2"/>
    </row>
    <row r="2096" spans="5:9" ht="12.5" customHeight="1" x14ac:dyDescent="0.25">
      <c r="E2096" s="1"/>
      <c r="F2096" s="2"/>
      <c r="H2096" s="1"/>
      <c r="I2096" s="2"/>
    </row>
    <row r="2097" spans="5:9" ht="12.5" customHeight="1" x14ac:dyDescent="0.25">
      <c r="E2097" s="1"/>
      <c r="F2097" s="2"/>
      <c r="H2097" s="1"/>
      <c r="I2097" s="2"/>
    </row>
    <row r="2098" spans="5:9" ht="12.5" customHeight="1" x14ac:dyDescent="0.25">
      <c r="E2098" s="1"/>
      <c r="F2098" s="2"/>
      <c r="H2098" s="1"/>
      <c r="I2098" s="2"/>
    </row>
    <row r="2099" spans="5:9" ht="12.5" customHeight="1" x14ac:dyDescent="0.25">
      <c r="E2099" s="1"/>
      <c r="F2099" s="2"/>
      <c r="H2099" s="1"/>
      <c r="I2099" s="2"/>
    </row>
    <row r="2100" spans="5:9" ht="12.5" customHeight="1" x14ac:dyDescent="0.25">
      <c r="E2100" s="1"/>
      <c r="F2100" s="2"/>
      <c r="H2100" s="1"/>
      <c r="I2100" s="2"/>
    </row>
    <row r="2101" spans="5:9" ht="12.5" customHeight="1" x14ac:dyDescent="0.25">
      <c r="E2101" s="1"/>
      <c r="F2101" s="2"/>
      <c r="H2101" s="1"/>
      <c r="I2101" s="2"/>
    </row>
    <row r="2102" spans="5:9" ht="12.5" customHeight="1" x14ac:dyDescent="0.25">
      <c r="E2102" s="1"/>
      <c r="F2102" s="2"/>
      <c r="H2102" s="1"/>
      <c r="I2102" s="2"/>
    </row>
    <row r="2103" spans="5:9" ht="12.5" customHeight="1" x14ac:dyDescent="0.25">
      <c r="E2103" s="1"/>
      <c r="F2103" s="2"/>
      <c r="H2103" s="1"/>
      <c r="I2103" s="2"/>
    </row>
    <row r="2104" spans="5:9" ht="12.5" customHeight="1" x14ac:dyDescent="0.25">
      <c r="E2104" s="1"/>
      <c r="F2104" s="2"/>
      <c r="H2104" s="1"/>
      <c r="I2104" s="2"/>
    </row>
    <row r="2105" spans="5:9" ht="12.5" customHeight="1" x14ac:dyDescent="0.25">
      <c r="E2105" s="1"/>
      <c r="F2105" s="2"/>
      <c r="H2105" s="1"/>
      <c r="I2105" s="2"/>
    </row>
    <row r="2106" spans="5:9" ht="12.5" customHeight="1" x14ac:dyDescent="0.25">
      <c r="E2106" s="1"/>
      <c r="F2106" s="2"/>
      <c r="H2106" s="1"/>
      <c r="I2106" s="2"/>
    </row>
    <row r="2107" spans="5:9" ht="12.5" customHeight="1" x14ac:dyDescent="0.25">
      <c r="E2107" s="1"/>
      <c r="F2107" s="2"/>
      <c r="H2107" s="1"/>
      <c r="I2107" s="2"/>
    </row>
    <row r="2108" spans="5:9" ht="12.5" customHeight="1" x14ac:dyDescent="0.25">
      <c r="E2108" s="1"/>
      <c r="F2108" s="2"/>
      <c r="H2108" s="1"/>
      <c r="I2108" s="2"/>
    </row>
    <row r="2109" spans="5:9" ht="12.5" customHeight="1" x14ac:dyDescent="0.25">
      <c r="E2109" s="1"/>
      <c r="F2109" s="2"/>
      <c r="H2109" s="1"/>
      <c r="I2109" s="2"/>
    </row>
    <row r="2110" spans="5:9" ht="12.5" customHeight="1" x14ac:dyDescent="0.25">
      <c r="E2110" s="1"/>
      <c r="F2110" s="2"/>
      <c r="H2110" s="1"/>
      <c r="I2110" s="2"/>
    </row>
    <row r="2111" spans="5:9" ht="12.5" customHeight="1" x14ac:dyDescent="0.25">
      <c r="E2111" s="1"/>
      <c r="F2111" s="2"/>
      <c r="H2111" s="1"/>
      <c r="I2111" s="2"/>
    </row>
    <row r="2112" spans="5:9" ht="12.5" customHeight="1" x14ac:dyDescent="0.25">
      <c r="E2112" s="1"/>
      <c r="F2112" s="2"/>
      <c r="H2112" s="1"/>
      <c r="I2112" s="2"/>
    </row>
    <row r="2113" spans="5:9" ht="12.5" customHeight="1" x14ac:dyDescent="0.25">
      <c r="E2113" s="1"/>
      <c r="F2113" s="2"/>
      <c r="H2113" s="1"/>
      <c r="I2113" s="2"/>
    </row>
    <row r="2114" spans="5:9" ht="12.5" customHeight="1" x14ac:dyDescent="0.25">
      <c r="E2114" s="1"/>
      <c r="F2114" s="2"/>
      <c r="H2114" s="1"/>
      <c r="I2114" s="2"/>
    </row>
    <row r="2115" spans="5:9" ht="12.5" customHeight="1" x14ac:dyDescent="0.25">
      <c r="E2115" s="1"/>
      <c r="F2115" s="2"/>
      <c r="H2115" s="1"/>
      <c r="I2115" s="2"/>
    </row>
    <row r="2116" spans="5:9" ht="12.5" customHeight="1" x14ac:dyDescent="0.25">
      <c r="E2116" s="1"/>
      <c r="F2116" s="2"/>
      <c r="H2116" s="1"/>
      <c r="I2116" s="2"/>
    </row>
    <row r="2117" spans="5:9" ht="12.5" customHeight="1" x14ac:dyDescent="0.25">
      <c r="E2117" s="1"/>
      <c r="F2117" s="2"/>
      <c r="H2117" s="1"/>
      <c r="I2117" s="2"/>
    </row>
    <row r="2118" spans="5:9" ht="12.5" customHeight="1" x14ac:dyDescent="0.25">
      <c r="E2118" s="1"/>
      <c r="F2118" s="2"/>
      <c r="H2118" s="1"/>
      <c r="I2118" s="2"/>
    </row>
    <row r="2119" spans="5:9" ht="12.5" customHeight="1" x14ac:dyDescent="0.25">
      <c r="E2119" s="1"/>
      <c r="F2119" s="2"/>
      <c r="H2119" s="1"/>
      <c r="I2119" s="2"/>
    </row>
    <row r="2120" spans="5:9" ht="12.5" customHeight="1" x14ac:dyDescent="0.25">
      <c r="E2120" s="1"/>
      <c r="F2120" s="2"/>
      <c r="H2120" s="1"/>
      <c r="I2120" s="2"/>
    </row>
    <row r="2121" spans="5:9" ht="12.5" customHeight="1" x14ac:dyDescent="0.25">
      <c r="E2121" s="1"/>
      <c r="F2121" s="2"/>
      <c r="H2121" s="1"/>
      <c r="I2121" s="2"/>
    </row>
    <row r="2122" spans="5:9" ht="12.5" customHeight="1" x14ac:dyDescent="0.25">
      <c r="E2122" s="1"/>
      <c r="F2122" s="2"/>
      <c r="H2122" s="1"/>
      <c r="I2122" s="2"/>
    </row>
    <row r="2123" spans="5:9" ht="12.5" customHeight="1" x14ac:dyDescent="0.25">
      <c r="E2123" s="1"/>
      <c r="F2123" s="2"/>
      <c r="H2123" s="1"/>
      <c r="I2123" s="2"/>
    </row>
    <row r="2124" spans="5:9" ht="12.5" customHeight="1" x14ac:dyDescent="0.25">
      <c r="E2124" s="1"/>
      <c r="F2124" s="2"/>
      <c r="H2124" s="1"/>
      <c r="I2124" s="2"/>
    </row>
    <row r="2125" spans="5:9" ht="12.5" customHeight="1" x14ac:dyDescent="0.25">
      <c r="E2125" s="1"/>
      <c r="F2125" s="2"/>
      <c r="H2125" s="1"/>
      <c r="I2125" s="2"/>
    </row>
    <row r="2126" spans="5:9" ht="12.5" customHeight="1" x14ac:dyDescent="0.25">
      <c r="E2126" s="1"/>
      <c r="F2126" s="2"/>
      <c r="H2126" s="1"/>
      <c r="I2126" s="2"/>
    </row>
    <row r="2127" spans="5:9" ht="12.5" customHeight="1" x14ac:dyDescent="0.25">
      <c r="E2127" s="1"/>
      <c r="F2127" s="2"/>
      <c r="H2127" s="1"/>
      <c r="I2127" s="2"/>
    </row>
    <row r="2128" spans="5:9" ht="12.5" customHeight="1" x14ac:dyDescent="0.25">
      <c r="E2128" s="1"/>
      <c r="F2128" s="2"/>
      <c r="H2128" s="1"/>
      <c r="I2128" s="2"/>
    </row>
    <row r="2129" spans="5:9" ht="12.5" customHeight="1" x14ac:dyDescent="0.25">
      <c r="E2129" s="1"/>
      <c r="F2129" s="2"/>
      <c r="H2129" s="1"/>
      <c r="I2129" s="2"/>
    </row>
    <row r="2130" spans="5:9" ht="12.5" customHeight="1" x14ac:dyDescent="0.25">
      <c r="E2130" s="1"/>
      <c r="F2130" s="2"/>
      <c r="H2130" s="1"/>
      <c r="I2130" s="2"/>
    </row>
    <row r="2131" spans="5:9" ht="12.5" customHeight="1" x14ac:dyDescent="0.25">
      <c r="E2131" s="1"/>
      <c r="F2131" s="2"/>
      <c r="H2131" s="1"/>
      <c r="I2131" s="2"/>
    </row>
    <row r="2132" spans="5:9" ht="12.5" customHeight="1" x14ac:dyDescent="0.25">
      <c r="E2132" s="1"/>
      <c r="F2132" s="2"/>
      <c r="H2132" s="1"/>
      <c r="I2132" s="2"/>
    </row>
    <row r="2133" spans="5:9" ht="12.5" customHeight="1" x14ac:dyDescent="0.25">
      <c r="E2133" s="1"/>
      <c r="F2133" s="2"/>
      <c r="H2133" s="1"/>
      <c r="I2133" s="2"/>
    </row>
    <row r="2134" spans="5:9" ht="12.5" customHeight="1" x14ac:dyDescent="0.25">
      <c r="E2134" s="1"/>
      <c r="F2134" s="2"/>
      <c r="H2134" s="1"/>
      <c r="I2134" s="2"/>
    </row>
    <row r="2135" spans="5:9" ht="12.5" customHeight="1" x14ac:dyDescent="0.25">
      <c r="E2135" s="1"/>
      <c r="F2135" s="2"/>
      <c r="H2135" s="1"/>
      <c r="I2135" s="2"/>
    </row>
    <row r="2136" spans="5:9" ht="12.5" customHeight="1" x14ac:dyDescent="0.25">
      <c r="E2136" s="1"/>
      <c r="F2136" s="2"/>
      <c r="H2136" s="1"/>
      <c r="I2136" s="2"/>
    </row>
    <row r="2137" spans="5:9" ht="12.5" customHeight="1" x14ac:dyDescent="0.25">
      <c r="E2137" s="1"/>
      <c r="F2137" s="2"/>
      <c r="H2137" s="1"/>
      <c r="I2137" s="2"/>
    </row>
    <row r="2138" spans="5:9" ht="12.5" customHeight="1" x14ac:dyDescent="0.25">
      <c r="E2138" s="1"/>
      <c r="F2138" s="2"/>
      <c r="H2138" s="1"/>
      <c r="I2138" s="2"/>
    </row>
    <row r="2139" spans="5:9" ht="12.5" customHeight="1" x14ac:dyDescent="0.25">
      <c r="E2139" s="1"/>
      <c r="F2139" s="2"/>
      <c r="H2139" s="1"/>
      <c r="I2139" s="2"/>
    </row>
    <row r="2140" spans="5:9" ht="12.5" customHeight="1" x14ac:dyDescent="0.25">
      <c r="E2140" s="1"/>
      <c r="F2140" s="2"/>
      <c r="H2140" s="1"/>
      <c r="I2140" s="2"/>
    </row>
    <row r="2141" spans="5:9" ht="12.5" customHeight="1" x14ac:dyDescent="0.25">
      <c r="E2141" s="1"/>
      <c r="F2141" s="2"/>
      <c r="H2141" s="1"/>
      <c r="I2141" s="2"/>
    </row>
    <row r="2142" spans="5:9" ht="12.5" customHeight="1" x14ac:dyDescent="0.25">
      <c r="E2142" s="1"/>
      <c r="F2142" s="2"/>
      <c r="H2142" s="1"/>
      <c r="I2142" s="2"/>
    </row>
    <row r="2143" spans="5:9" ht="12.5" customHeight="1" x14ac:dyDescent="0.25">
      <c r="E2143" s="1"/>
      <c r="F2143" s="2"/>
      <c r="H2143" s="1"/>
      <c r="I2143" s="2"/>
    </row>
    <row r="2144" spans="5:9" ht="12.5" customHeight="1" x14ac:dyDescent="0.25">
      <c r="E2144" s="1"/>
      <c r="F2144" s="2"/>
      <c r="H2144" s="1"/>
      <c r="I2144" s="2"/>
    </row>
    <row r="2145" spans="5:9" ht="12.5" customHeight="1" x14ac:dyDescent="0.25">
      <c r="E2145" s="1"/>
      <c r="F2145" s="2"/>
      <c r="H2145" s="1"/>
      <c r="I2145" s="2"/>
    </row>
    <row r="2146" spans="5:9" ht="12.5" customHeight="1" x14ac:dyDescent="0.25">
      <c r="E2146" s="1"/>
      <c r="F2146" s="2"/>
      <c r="H2146" s="1"/>
      <c r="I2146" s="2"/>
    </row>
    <row r="2147" spans="5:9" ht="12.5" customHeight="1" x14ac:dyDescent="0.25">
      <c r="E2147" s="1"/>
      <c r="F2147" s="2"/>
      <c r="H2147" s="1"/>
      <c r="I2147" s="2"/>
    </row>
    <row r="2148" spans="5:9" ht="12.5" customHeight="1" x14ac:dyDescent="0.25">
      <c r="E2148" s="1"/>
      <c r="F2148" s="2"/>
      <c r="H2148" s="1"/>
      <c r="I2148" s="2"/>
    </row>
    <row r="2149" spans="5:9" ht="12.5" customHeight="1" x14ac:dyDescent="0.25">
      <c r="E2149" s="1"/>
      <c r="F2149" s="2"/>
      <c r="H2149" s="1"/>
      <c r="I2149" s="2"/>
    </row>
    <row r="2150" spans="5:9" ht="12.5" customHeight="1" x14ac:dyDescent="0.25">
      <c r="E2150" s="1"/>
      <c r="F2150" s="2"/>
      <c r="H2150" s="1"/>
      <c r="I2150" s="2"/>
    </row>
    <row r="2151" spans="5:9" ht="12.5" customHeight="1" x14ac:dyDescent="0.25">
      <c r="E2151" s="1"/>
      <c r="F2151" s="2"/>
      <c r="H2151" s="1"/>
      <c r="I2151" s="2"/>
    </row>
    <row r="2152" spans="5:9" ht="12.5" customHeight="1" x14ac:dyDescent="0.25">
      <c r="E2152" s="1"/>
      <c r="F2152" s="2"/>
      <c r="H2152" s="1"/>
      <c r="I2152" s="2"/>
    </row>
    <row r="2153" spans="5:9" ht="12.5" customHeight="1" x14ac:dyDescent="0.25">
      <c r="E2153" s="1"/>
      <c r="F2153" s="2"/>
      <c r="H2153" s="1"/>
      <c r="I2153" s="2"/>
    </row>
    <row r="2154" spans="5:9" ht="12.5" customHeight="1" x14ac:dyDescent="0.25">
      <c r="E2154" s="1"/>
      <c r="F2154" s="2"/>
      <c r="H2154" s="1"/>
      <c r="I2154" s="2"/>
    </row>
    <row r="2155" spans="5:9" ht="12.5" customHeight="1" x14ac:dyDescent="0.25">
      <c r="E2155" s="1"/>
      <c r="F2155" s="2"/>
      <c r="H2155" s="1"/>
      <c r="I2155" s="2"/>
    </row>
    <row r="2156" spans="5:9" ht="12.5" customHeight="1" x14ac:dyDescent="0.25">
      <c r="E2156" s="1"/>
      <c r="F2156" s="2"/>
      <c r="H2156" s="1"/>
      <c r="I2156" s="2"/>
    </row>
    <row r="2157" spans="5:9" ht="12.5" customHeight="1" x14ac:dyDescent="0.25">
      <c r="E2157" s="1"/>
      <c r="F2157" s="2"/>
      <c r="H2157" s="1"/>
      <c r="I2157" s="2"/>
    </row>
    <row r="2158" spans="5:9" ht="12.5" customHeight="1" x14ac:dyDescent="0.25">
      <c r="E2158" s="1"/>
      <c r="F2158" s="2"/>
      <c r="H2158" s="1"/>
      <c r="I2158" s="2"/>
    </row>
    <row r="2159" spans="5:9" ht="12.5" customHeight="1" x14ac:dyDescent="0.25">
      <c r="E2159" s="1"/>
      <c r="F2159" s="2"/>
      <c r="H2159" s="1"/>
      <c r="I2159" s="2"/>
    </row>
    <row r="2160" spans="5:9" ht="12.5" customHeight="1" x14ac:dyDescent="0.25">
      <c r="E2160" s="1"/>
      <c r="F2160" s="2"/>
      <c r="H2160" s="1"/>
      <c r="I2160" s="2"/>
    </row>
    <row r="2161" spans="5:9" ht="12.5" customHeight="1" x14ac:dyDescent="0.25">
      <c r="E2161" s="1"/>
      <c r="F2161" s="2"/>
      <c r="H2161" s="1"/>
      <c r="I2161" s="2"/>
    </row>
    <row r="2162" spans="5:9" ht="12.5" customHeight="1" x14ac:dyDescent="0.25">
      <c r="E2162" s="1"/>
      <c r="F2162" s="2"/>
      <c r="H2162" s="1"/>
      <c r="I2162" s="2"/>
    </row>
    <row r="2163" spans="5:9" ht="12.5" customHeight="1" x14ac:dyDescent="0.25">
      <c r="E2163" s="1"/>
      <c r="F2163" s="2"/>
      <c r="H2163" s="1"/>
      <c r="I2163" s="2"/>
    </row>
    <row r="2164" spans="5:9" ht="12.5" customHeight="1" x14ac:dyDescent="0.25">
      <c r="E2164" s="1"/>
      <c r="F2164" s="2"/>
      <c r="H2164" s="1"/>
      <c r="I2164" s="2"/>
    </row>
    <row r="2165" spans="5:9" ht="12.5" customHeight="1" x14ac:dyDescent="0.25">
      <c r="E2165" s="1"/>
      <c r="F2165" s="2"/>
      <c r="H2165" s="1"/>
      <c r="I2165" s="2"/>
    </row>
    <row r="2166" spans="5:9" ht="12.5" customHeight="1" x14ac:dyDescent="0.25">
      <c r="E2166" s="1"/>
      <c r="F2166" s="2"/>
      <c r="H2166" s="1"/>
      <c r="I2166" s="2"/>
    </row>
    <row r="2167" spans="5:9" ht="12.5" customHeight="1" x14ac:dyDescent="0.25">
      <c r="E2167" s="1"/>
      <c r="F2167" s="2"/>
      <c r="H2167" s="1"/>
      <c r="I2167" s="2"/>
    </row>
    <row r="2168" spans="5:9" ht="12.5" customHeight="1" x14ac:dyDescent="0.25">
      <c r="E2168" s="1"/>
      <c r="F2168" s="2"/>
      <c r="H2168" s="1"/>
      <c r="I2168" s="2"/>
    </row>
    <row r="2169" spans="5:9" ht="12.5" customHeight="1" x14ac:dyDescent="0.25">
      <c r="E2169" s="1"/>
      <c r="F2169" s="2"/>
      <c r="H2169" s="1"/>
      <c r="I2169" s="2"/>
    </row>
    <row r="2170" spans="5:9" ht="12.5" customHeight="1" x14ac:dyDescent="0.25">
      <c r="E2170" s="1"/>
      <c r="F2170" s="2"/>
      <c r="H2170" s="1"/>
      <c r="I2170" s="2"/>
    </row>
    <row r="2171" spans="5:9" ht="12.5" customHeight="1" x14ac:dyDescent="0.25">
      <c r="E2171" s="1"/>
      <c r="F2171" s="2"/>
      <c r="H2171" s="1"/>
      <c r="I2171" s="2"/>
    </row>
    <row r="2172" spans="5:9" ht="12.5" customHeight="1" x14ac:dyDescent="0.25">
      <c r="E2172" s="1"/>
      <c r="F2172" s="2"/>
      <c r="H2172" s="1"/>
      <c r="I2172" s="2"/>
    </row>
    <row r="2173" spans="5:9" ht="12.5" customHeight="1" x14ac:dyDescent="0.25">
      <c r="E2173" s="1"/>
      <c r="F2173" s="2"/>
      <c r="H2173" s="1"/>
      <c r="I2173" s="2"/>
    </row>
    <row r="2174" spans="5:9" ht="12.5" customHeight="1" x14ac:dyDescent="0.25">
      <c r="E2174" s="1"/>
      <c r="F2174" s="2"/>
      <c r="H2174" s="1"/>
      <c r="I2174" s="2"/>
    </row>
    <row r="2175" spans="5:9" ht="12.5" customHeight="1" x14ac:dyDescent="0.25">
      <c r="E2175" s="1"/>
      <c r="F2175" s="2"/>
      <c r="H2175" s="1"/>
      <c r="I2175" s="2"/>
    </row>
    <row r="2176" spans="5:9" ht="12.5" customHeight="1" x14ac:dyDescent="0.25">
      <c r="E2176" s="1"/>
      <c r="F2176" s="2"/>
      <c r="H2176" s="1"/>
      <c r="I2176" s="2"/>
    </row>
    <row r="2177" spans="5:9" ht="12.5" customHeight="1" x14ac:dyDescent="0.25">
      <c r="E2177" s="1"/>
      <c r="F2177" s="2"/>
      <c r="H2177" s="1"/>
      <c r="I2177" s="2"/>
    </row>
    <row r="2178" spans="5:9" ht="12.5" customHeight="1" x14ac:dyDescent="0.25">
      <c r="E2178" s="1"/>
      <c r="F2178" s="2"/>
      <c r="H2178" s="1"/>
      <c r="I2178" s="2"/>
    </row>
    <row r="2179" spans="5:9" ht="12.5" customHeight="1" x14ac:dyDescent="0.25">
      <c r="E2179" s="1"/>
      <c r="F2179" s="2"/>
      <c r="H2179" s="1"/>
      <c r="I2179" s="2"/>
    </row>
    <row r="2180" spans="5:9" ht="12.5" customHeight="1" x14ac:dyDescent="0.25">
      <c r="E2180" s="1"/>
      <c r="F2180" s="2"/>
      <c r="H2180" s="1"/>
      <c r="I2180" s="2"/>
    </row>
    <row r="2181" spans="5:9" ht="12.5" customHeight="1" x14ac:dyDescent="0.25">
      <c r="E2181" s="1"/>
      <c r="F2181" s="2"/>
      <c r="H2181" s="1"/>
      <c r="I2181" s="2"/>
    </row>
    <row r="2182" spans="5:9" ht="12.5" customHeight="1" x14ac:dyDescent="0.25">
      <c r="E2182" s="1"/>
      <c r="F2182" s="2"/>
      <c r="H2182" s="1"/>
      <c r="I2182" s="2"/>
    </row>
    <row r="2183" spans="5:9" ht="12.5" customHeight="1" x14ac:dyDescent="0.25">
      <c r="E2183" s="1"/>
      <c r="F2183" s="2"/>
      <c r="H2183" s="1"/>
      <c r="I2183" s="2"/>
    </row>
    <row r="2184" spans="5:9" ht="12.5" customHeight="1" x14ac:dyDescent="0.25">
      <c r="E2184" s="1"/>
      <c r="F2184" s="2"/>
      <c r="H2184" s="1"/>
      <c r="I2184" s="2"/>
    </row>
    <row r="2185" spans="5:9" ht="12.5" customHeight="1" x14ac:dyDescent="0.25">
      <c r="E2185" s="1"/>
      <c r="F2185" s="2"/>
      <c r="H2185" s="1"/>
      <c r="I2185" s="2"/>
    </row>
    <row r="2186" spans="5:9" ht="12.5" customHeight="1" x14ac:dyDescent="0.25">
      <c r="E2186" s="1"/>
      <c r="F2186" s="2"/>
      <c r="H2186" s="1"/>
      <c r="I2186" s="2"/>
    </row>
    <row r="2187" spans="5:9" ht="12.5" customHeight="1" x14ac:dyDescent="0.25">
      <c r="E2187" s="1"/>
      <c r="F2187" s="2"/>
      <c r="H2187" s="1"/>
      <c r="I2187" s="2"/>
    </row>
    <row r="2188" spans="5:9" ht="12.5" customHeight="1" x14ac:dyDescent="0.25">
      <c r="E2188" s="1"/>
      <c r="F2188" s="2"/>
      <c r="H2188" s="1"/>
      <c r="I2188" s="2"/>
    </row>
    <row r="2189" spans="5:9" ht="12.5" customHeight="1" x14ac:dyDescent="0.25">
      <c r="E2189" s="1"/>
      <c r="F2189" s="2"/>
      <c r="H2189" s="1"/>
      <c r="I2189" s="2"/>
    </row>
    <row r="2190" spans="5:9" ht="12.5" customHeight="1" x14ac:dyDescent="0.25">
      <c r="E2190" s="1"/>
      <c r="F2190" s="2"/>
      <c r="H2190" s="1"/>
      <c r="I2190" s="2"/>
    </row>
    <row r="2191" spans="5:9" ht="12.5" customHeight="1" x14ac:dyDescent="0.25">
      <c r="E2191" s="1"/>
      <c r="F2191" s="2"/>
      <c r="H2191" s="1"/>
      <c r="I2191" s="2"/>
    </row>
    <row r="2192" spans="5:9" ht="12.5" customHeight="1" x14ac:dyDescent="0.25">
      <c r="E2192" s="1"/>
      <c r="F2192" s="2"/>
      <c r="H2192" s="1"/>
      <c r="I2192" s="2"/>
    </row>
    <row r="2193" spans="5:9" ht="12.5" customHeight="1" x14ac:dyDescent="0.25">
      <c r="E2193" s="1"/>
      <c r="F2193" s="2"/>
      <c r="H2193" s="1"/>
      <c r="I2193" s="2"/>
    </row>
    <row r="2194" spans="5:9" ht="12.5" customHeight="1" x14ac:dyDescent="0.25">
      <c r="E2194" s="1"/>
      <c r="F2194" s="2"/>
      <c r="H2194" s="1"/>
      <c r="I2194" s="2"/>
    </row>
    <row r="2195" spans="5:9" ht="12.5" customHeight="1" x14ac:dyDescent="0.25">
      <c r="E2195" s="1"/>
      <c r="F2195" s="2"/>
      <c r="H2195" s="1"/>
      <c r="I2195" s="2"/>
    </row>
    <row r="2196" spans="5:9" ht="12.5" customHeight="1" x14ac:dyDescent="0.25">
      <c r="E2196" s="1"/>
      <c r="F2196" s="2"/>
      <c r="H2196" s="1"/>
      <c r="I2196" s="2"/>
    </row>
    <row r="2197" spans="5:9" ht="12.5" customHeight="1" x14ac:dyDescent="0.25">
      <c r="E2197" s="1"/>
      <c r="F2197" s="2"/>
      <c r="H2197" s="1"/>
      <c r="I2197" s="2"/>
    </row>
    <row r="2198" spans="5:9" ht="12.5" customHeight="1" x14ac:dyDescent="0.25">
      <c r="E2198" s="1"/>
      <c r="F2198" s="2"/>
      <c r="H2198" s="1"/>
      <c r="I2198" s="2"/>
    </row>
    <row r="2199" spans="5:9" ht="12.5" customHeight="1" x14ac:dyDescent="0.25">
      <c r="E2199" s="1"/>
      <c r="F2199" s="2"/>
      <c r="H2199" s="1"/>
      <c r="I2199" s="2"/>
    </row>
    <row r="2200" spans="5:9" ht="12.5" customHeight="1" x14ac:dyDescent="0.25">
      <c r="E2200" s="1"/>
      <c r="F2200" s="2"/>
      <c r="H2200" s="1"/>
      <c r="I2200" s="2"/>
    </row>
    <row r="2201" spans="5:9" ht="12.5" customHeight="1" x14ac:dyDescent="0.25">
      <c r="E2201" s="1"/>
      <c r="F2201" s="2"/>
      <c r="H2201" s="1"/>
      <c r="I2201" s="2"/>
    </row>
    <row r="2202" spans="5:9" ht="12.5" customHeight="1" x14ac:dyDescent="0.25">
      <c r="E2202" s="1"/>
      <c r="F2202" s="2"/>
      <c r="H2202" s="1"/>
      <c r="I2202" s="2"/>
    </row>
    <row r="2203" spans="5:9" ht="12.5" customHeight="1" x14ac:dyDescent="0.25">
      <c r="E2203" s="1"/>
      <c r="F2203" s="2"/>
      <c r="H2203" s="1"/>
      <c r="I2203" s="2"/>
    </row>
    <row r="2204" spans="5:9" ht="12.5" customHeight="1" x14ac:dyDescent="0.25">
      <c r="E2204" s="1"/>
      <c r="F2204" s="2"/>
      <c r="H2204" s="1"/>
      <c r="I2204" s="2"/>
    </row>
    <row r="2205" spans="5:9" ht="12.5" customHeight="1" x14ac:dyDescent="0.25">
      <c r="E2205" s="1"/>
      <c r="F2205" s="2"/>
      <c r="H2205" s="1"/>
      <c r="I2205" s="2"/>
    </row>
    <row r="2206" spans="5:9" ht="12.5" customHeight="1" x14ac:dyDescent="0.25">
      <c r="E2206" s="1"/>
      <c r="F2206" s="2"/>
      <c r="H2206" s="1"/>
      <c r="I2206" s="2"/>
    </row>
    <row r="2207" spans="5:9" ht="12.5" customHeight="1" x14ac:dyDescent="0.25">
      <c r="E2207" s="1"/>
      <c r="F2207" s="2"/>
      <c r="H2207" s="1"/>
      <c r="I2207" s="2"/>
    </row>
    <row r="2208" spans="5:9" ht="12.5" customHeight="1" x14ac:dyDescent="0.25">
      <c r="E2208" s="1"/>
      <c r="F2208" s="2"/>
      <c r="H2208" s="1"/>
      <c r="I2208" s="2"/>
    </row>
    <row r="2209" spans="5:9" ht="12.5" customHeight="1" x14ac:dyDescent="0.25">
      <c r="E2209" s="1"/>
      <c r="F2209" s="2"/>
      <c r="H2209" s="1"/>
      <c r="I2209" s="2"/>
    </row>
    <row r="2210" spans="5:9" ht="12.5" customHeight="1" x14ac:dyDescent="0.25">
      <c r="E2210" s="1"/>
      <c r="F2210" s="2"/>
      <c r="H2210" s="1"/>
      <c r="I2210" s="2"/>
    </row>
    <row r="2211" spans="5:9" ht="12.5" customHeight="1" x14ac:dyDescent="0.25">
      <c r="E2211" s="1"/>
      <c r="F2211" s="2"/>
      <c r="H2211" s="1"/>
      <c r="I2211" s="2"/>
    </row>
    <row r="2212" spans="5:9" ht="12.5" customHeight="1" x14ac:dyDescent="0.25">
      <c r="E2212" s="1"/>
      <c r="F2212" s="2"/>
      <c r="H2212" s="1"/>
      <c r="I2212" s="2"/>
    </row>
    <row r="2213" spans="5:9" ht="12.5" customHeight="1" x14ac:dyDescent="0.25">
      <c r="E2213" s="1"/>
      <c r="F2213" s="2"/>
      <c r="H2213" s="1"/>
      <c r="I2213" s="2"/>
    </row>
    <row r="2214" spans="5:9" ht="12.5" customHeight="1" x14ac:dyDescent="0.25">
      <c r="E2214" s="1"/>
      <c r="F2214" s="2"/>
      <c r="H2214" s="1"/>
      <c r="I2214" s="2"/>
    </row>
    <row r="2215" spans="5:9" ht="12.5" customHeight="1" x14ac:dyDescent="0.25">
      <c r="E2215" s="1"/>
      <c r="F2215" s="2"/>
      <c r="H2215" s="1"/>
      <c r="I2215" s="2"/>
    </row>
    <row r="2216" spans="5:9" ht="12.5" customHeight="1" x14ac:dyDescent="0.25">
      <c r="E2216" s="1"/>
      <c r="F2216" s="2"/>
      <c r="H2216" s="1"/>
      <c r="I2216" s="2"/>
    </row>
    <row r="2217" spans="5:9" ht="12.5" customHeight="1" x14ac:dyDescent="0.25">
      <c r="E2217" s="1"/>
      <c r="F2217" s="2"/>
      <c r="H2217" s="1"/>
      <c r="I2217" s="2"/>
    </row>
    <row r="2218" spans="5:9" ht="12.5" customHeight="1" x14ac:dyDescent="0.25">
      <c r="E2218" s="1"/>
      <c r="F2218" s="2"/>
      <c r="H2218" s="1"/>
      <c r="I2218" s="2"/>
    </row>
    <row r="2219" spans="5:9" ht="12.5" customHeight="1" x14ac:dyDescent="0.25">
      <c r="E2219" s="1"/>
      <c r="F2219" s="2"/>
      <c r="H2219" s="1"/>
      <c r="I2219" s="2"/>
    </row>
    <row r="2220" spans="5:9" ht="12.5" customHeight="1" x14ac:dyDescent="0.25">
      <c r="E2220" s="1"/>
      <c r="F2220" s="2"/>
      <c r="H2220" s="1"/>
      <c r="I2220" s="2"/>
    </row>
    <row r="2221" spans="5:9" ht="12.5" customHeight="1" x14ac:dyDescent="0.25">
      <c r="E2221" s="1"/>
      <c r="F2221" s="2"/>
      <c r="H2221" s="1"/>
      <c r="I2221" s="2"/>
    </row>
    <row r="2222" spans="5:9" ht="12.5" customHeight="1" x14ac:dyDescent="0.25">
      <c r="E2222" s="1"/>
      <c r="F2222" s="2"/>
      <c r="H2222" s="1"/>
      <c r="I2222" s="2"/>
    </row>
    <row r="2223" spans="5:9" ht="12.5" customHeight="1" x14ac:dyDescent="0.25">
      <c r="E2223" s="1"/>
      <c r="F2223" s="2"/>
      <c r="H2223" s="1"/>
      <c r="I2223" s="2"/>
    </row>
    <row r="2224" spans="5:9" ht="12.5" customHeight="1" x14ac:dyDescent="0.25">
      <c r="E2224" s="1"/>
      <c r="F2224" s="2"/>
      <c r="H2224" s="1"/>
      <c r="I2224" s="2"/>
    </row>
    <row r="2225" spans="5:9" ht="12.5" customHeight="1" x14ac:dyDescent="0.25">
      <c r="E2225" s="1"/>
      <c r="F2225" s="2"/>
      <c r="H2225" s="1"/>
      <c r="I2225" s="2"/>
    </row>
    <row r="2226" spans="5:9" ht="12.5" customHeight="1" x14ac:dyDescent="0.25">
      <c r="E2226" s="1"/>
      <c r="F2226" s="2"/>
      <c r="H2226" s="1"/>
      <c r="I2226" s="2"/>
    </row>
    <row r="2227" spans="5:9" ht="12.5" customHeight="1" x14ac:dyDescent="0.25">
      <c r="E2227" s="1"/>
      <c r="F2227" s="2"/>
      <c r="H2227" s="1"/>
      <c r="I2227" s="2"/>
    </row>
    <row r="2228" spans="5:9" ht="12.5" customHeight="1" x14ac:dyDescent="0.25">
      <c r="E2228" s="1"/>
      <c r="F2228" s="2"/>
      <c r="H2228" s="1"/>
      <c r="I2228" s="2"/>
    </row>
    <row r="2229" spans="5:9" ht="12.5" customHeight="1" x14ac:dyDescent="0.25">
      <c r="E2229" s="1"/>
      <c r="F2229" s="2"/>
      <c r="H2229" s="1"/>
      <c r="I2229" s="2"/>
    </row>
    <row r="2230" spans="5:9" ht="12.5" customHeight="1" x14ac:dyDescent="0.25">
      <c r="E2230" s="1"/>
      <c r="F2230" s="2"/>
      <c r="H2230" s="1"/>
      <c r="I2230" s="2"/>
    </row>
    <row r="2231" spans="5:9" ht="12.5" customHeight="1" x14ac:dyDescent="0.25">
      <c r="E2231" s="1"/>
      <c r="F2231" s="2"/>
      <c r="H2231" s="1"/>
      <c r="I2231" s="2"/>
    </row>
    <row r="2232" spans="5:9" ht="12.5" customHeight="1" x14ac:dyDescent="0.25">
      <c r="E2232" s="1"/>
      <c r="F2232" s="2"/>
      <c r="H2232" s="1"/>
      <c r="I2232" s="2"/>
    </row>
    <row r="2233" spans="5:9" ht="12.5" customHeight="1" x14ac:dyDescent="0.25">
      <c r="E2233" s="1"/>
      <c r="F2233" s="2"/>
      <c r="H2233" s="1"/>
      <c r="I2233" s="2"/>
    </row>
    <row r="2234" spans="5:9" ht="12.5" customHeight="1" x14ac:dyDescent="0.25">
      <c r="E2234" s="1"/>
      <c r="F2234" s="2"/>
      <c r="H2234" s="1"/>
      <c r="I2234" s="2"/>
    </row>
    <row r="2235" spans="5:9" ht="12.5" customHeight="1" x14ac:dyDescent="0.25">
      <c r="E2235" s="1"/>
      <c r="F2235" s="2"/>
      <c r="H2235" s="1"/>
      <c r="I2235" s="2"/>
    </row>
    <row r="2236" spans="5:9" ht="12.5" customHeight="1" x14ac:dyDescent="0.25">
      <c r="E2236" s="1"/>
      <c r="F2236" s="2"/>
      <c r="H2236" s="1"/>
      <c r="I2236" s="2"/>
    </row>
    <row r="2237" spans="5:9" ht="12.5" customHeight="1" x14ac:dyDescent="0.25">
      <c r="E2237" s="1"/>
      <c r="F2237" s="2"/>
      <c r="H2237" s="1"/>
      <c r="I2237" s="2"/>
    </row>
    <row r="2238" spans="5:9" ht="12.5" customHeight="1" x14ac:dyDescent="0.25">
      <c r="E2238" s="1"/>
      <c r="F2238" s="2"/>
      <c r="H2238" s="1"/>
      <c r="I2238" s="2"/>
    </row>
    <row r="2239" spans="5:9" ht="12.5" customHeight="1" x14ac:dyDescent="0.25">
      <c r="E2239" s="1"/>
      <c r="F2239" s="2"/>
      <c r="H2239" s="1"/>
      <c r="I2239" s="2"/>
    </row>
    <row r="2240" spans="5:9" ht="12.5" customHeight="1" x14ac:dyDescent="0.25">
      <c r="E2240" s="1"/>
      <c r="F2240" s="2"/>
      <c r="H2240" s="1"/>
      <c r="I2240" s="2"/>
    </row>
    <row r="2241" spans="5:9" ht="12.5" customHeight="1" x14ac:dyDescent="0.25">
      <c r="E2241" s="1"/>
      <c r="F2241" s="2"/>
      <c r="H2241" s="1"/>
      <c r="I2241" s="2"/>
    </row>
    <row r="2242" spans="5:9" ht="12.5" customHeight="1" x14ac:dyDescent="0.25">
      <c r="E2242" s="1"/>
      <c r="F2242" s="2"/>
      <c r="H2242" s="1"/>
      <c r="I2242" s="2"/>
    </row>
    <row r="2243" spans="5:9" ht="12.5" customHeight="1" x14ac:dyDescent="0.25">
      <c r="E2243" s="1"/>
      <c r="F2243" s="2"/>
      <c r="H2243" s="1"/>
      <c r="I2243" s="2"/>
    </row>
    <row r="2244" spans="5:9" ht="12.5" customHeight="1" x14ac:dyDescent="0.25">
      <c r="E2244" s="1"/>
      <c r="F2244" s="2"/>
      <c r="H2244" s="1"/>
      <c r="I2244" s="2"/>
    </row>
    <row r="2245" spans="5:9" ht="12.5" customHeight="1" x14ac:dyDescent="0.25">
      <c r="E2245" s="1"/>
      <c r="F2245" s="2"/>
      <c r="H2245" s="1"/>
      <c r="I2245" s="2"/>
    </row>
    <row r="2246" spans="5:9" ht="12.5" customHeight="1" x14ac:dyDescent="0.25">
      <c r="E2246" s="1"/>
      <c r="F2246" s="2"/>
      <c r="H2246" s="1"/>
      <c r="I2246" s="2"/>
    </row>
    <row r="2247" spans="5:9" ht="12.5" customHeight="1" x14ac:dyDescent="0.25">
      <c r="E2247" s="1"/>
      <c r="F2247" s="2"/>
      <c r="H2247" s="1"/>
      <c r="I2247" s="2"/>
    </row>
    <row r="2248" spans="5:9" ht="12.5" customHeight="1" x14ac:dyDescent="0.25">
      <c r="E2248" s="1"/>
      <c r="F2248" s="2"/>
      <c r="H2248" s="1"/>
      <c r="I2248" s="2"/>
    </row>
    <row r="2249" spans="5:9" ht="12.5" customHeight="1" x14ac:dyDescent="0.25">
      <c r="E2249" s="1"/>
      <c r="F2249" s="2"/>
      <c r="H2249" s="1"/>
      <c r="I2249" s="2"/>
    </row>
    <row r="2250" spans="5:9" ht="12.5" customHeight="1" x14ac:dyDescent="0.25">
      <c r="E2250" s="1"/>
      <c r="F2250" s="2"/>
      <c r="H2250" s="1"/>
      <c r="I2250" s="2"/>
    </row>
    <row r="2251" spans="5:9" ht="12.5" customHeight="1" x14ac:dyDescent="0.25">
      <c r="E2251" s="1"/>
      <c r="F2251" s="2"/>
      <c r="H2251" s="1"/>
      <c r="I2251" s="2"/>
    </row>
    <row r="2252" spans="5:9" ht="12.5" customHeight="1" x14ac:dyDescent="0.25">
      <c r="E2252" s="1"/>
      <c r="F2252" s="2"/>
      <c r="H2252" s="1"/>
      <c r="I2252" s="2"/>
    </row>
    <row r="2253" spans="5:9" ht="12.5" customHeight="1" x14ac:dyDescent="0.25">
      <c r="E2253" s="1"/>
      <c r="F2253" s="2"/>
      <c r="H2253" s="1"/>
      <c r="I2253" s="2"/>
    </row>
    <row r="2254" spans="5:9" ht="12.5" customHeight="1" x14ac:dyDescent="0.25">
      <c r="E2254" s="1"/>
      <c r="F2254" s="2"/>
      <c r="H2254" s="1"/>
      <c r="I2254" s="2"/>
    </row>
    <row r="2255" spans="5:9" ht="12.5" customHeight="1" x14ac:dyDescent="0.25">
      <c r="E2255" s="1"/>
      <c r="F2255" s="2"/>
      <c r="H2255" s="1"/>
      <c r="I2255" s="2"/>
    </row>
    <row r="2256" spans="5:9" ht="12.5" customHeight="1" x14ac:dyDescent="0.25">
      <c r="E2256" s="1"/>
      <c r="F2256" s="2"/>
      <c r="H2256" s="1"/>
      <c r="I2256" s="2"/>
    </row>
    <row r="2257" spans="5:9" ht="12.5" customHeight="1" x14ac:dyDescent="0.25">
      <c r="E2257" s="1"/>
      <c r="F2257" s="2"/>
      <c r="H2257" s="1"/>
      <c r="I2257" s="2"/>
    </row>
    <row r="2258" spans="5:9" ht="12.5" customHeight="1" x14ac:dyDescent="0.25">
      <c r="E2258" s="1"/>
      <c r="F2258" s="2"/>
      <c r="H2258" s="1"/>
      <c r="I2258" s="2"/>
    </row>
    <row r="2259" spans="5:9" ht="12.5" customHeight="1" x14ac:dyDescent="0.25">
      <c r="E2259" s="1"/>
      <c r="F2259" s="2"/>
      <c r="H2259" s="1"/>
      <c r="I2259" s="2"/>
    </row>
    <row r="2260" spans="5:9" ht="12.5" customHeight="1" x14ac:dyDescent="0.25">
      <c r="E2260" s="1"/>
      <c r="F2260" s="2"/>
      <c r="H2260" s="1"/>
      <c r="I2260" s="2"/>
    </row>
    <row r="2261" spans="5:9" ht="12.5" customHeight="1" x14ac:dyDescent="0.25">
      <c r="E2261" s="1"/>
      <c r="F2261" s="2"/>
      <c r="H2261" s="1"/>
      <c r="I2261" s="2"/>
    </row>
    <row r="2262" spans="5:9" ht="12.5" customHeight="1" x14ac:dyDescent="0.25">
      <c r="E2262" s="1"/>
      <c r="F2262" s="2"/>
      <c r="H2262" s="1"/>
      <c r="I2262" s="2"/>
    </row>
    <row r="2263" spans="5:9" ht="12.5" customHeight="1" x14ac:dyDescent="0.25">
      <c r="E2263" s="1"/>
      <c r="F2263" s="2"/>
      <c r="H2263" s="1"/>
      <c r="I2263" s="2"/>
    </row>
    <row r="2264" spans="5:9" ht="12.5" customHeight="1" x14ac:dyDescent="0.25">
      <c r="E2264" s="1"/>
      <c r="F2264" s="2"/>
      <c r="H2264" s="1"/>
      <c r="I2264" s="2"/>
    </row>
    <row r="2265" spans="5:9" ht="12.5" customHeight="1" x14ac:dyDescent="0.25">
      <c r="E2265" s="1"/>
      <c r="F2265" s="2"/>
      <c r="H2265" s="1"/>
      <c r="I2265" s="2"/>
    </row>
    <row r="2266" spans="5:9" ht="12.5" customHeight="1" x14ac:dyDescent="0.25">
      <c r="E2266" s="1"/>
      <c r="F2266" s="2"/>
      <c r="H2266" s="1"/>
      <c r="I2266" s="2"/>
    </row>
    <row r="2267" spans="5:9" ht="12.5" customHeight="1" x14ac:dyDescent="0.25">
      <c r="E2267" s="1"/>
      <c r="F2267" s="2"/>
      <c r="H2267" s="1"/>
      <c r="I2267" s="2"/>
    </row>
    <row r="2268" spans="5:9" ht="12.5" customHeight="1" x14ac:dyDescent="0.25">
      <c r="E2268" s="1"/>
      <c r="F2268" s="2"/>
      <c r="H2268" s="1"/>
      <c r="I2268" s="2"/>
    </row>
    <row r="2269" spans="5:9" ht="12.5" customHeight="1" x14ac:dyDescent="0.25">
      <c r="E2269" s="1"/>
      <c r="F2269" s="2"/>
      <c r="H2269" s="1"/>
      <c r="I2269" s="2"/>
    </row>
    <row r="2270" spans="5:9" ht="12.5" customHeight="1" x14ac:dyDescent="0.25">
      <c r="E2270" s="1"/>
      <c r="F2270" s="2"/>
      <c r="H2270" s="1"/>
      <c r="I2270" s="2"/>
    </row>
    <row r="2271" spans="5:9" ht="12.5" customHeight="1" x14ac:dyDescent="0.25">
      <c r="E2271" s="1"/>
      <c r="F2271" s="2"/>
      <c r="H2271" s="1"/>
      <c r="I2271" s="2"/>
    </row>
    <row r="2272" spans="5:9" ht="12.5" customHeight="1" x14ac:dyDescent="0.25">
      <c r="E2272" s="1"/>
      <c r="F2272" s="2"/>
      <c r="H2272" s="1"/>
      <c r="I2272" s="2"/>
    </row>
    <row r="2273" spans="5:9" ht="12.5" customHeight="1" x14ac:dyDescent="0.25">
      <c r="E2273" s="1"/>
      <c r="F2273" s="2"/>
      <c r="H2273" s="1"/>
      <c r="I2273" s="2"/>
    </row>
    <row r="2274" spans="5:9" ht="12.5" customHeight="1" x14ac:dyDescent="0.25">
      <c r="E2274" s="1"/>
      <c r="F2274" s="2"/>
      <c r="H2274" s="1"/>
      <c r="I2274" s="2"/>
    </row>
    <row r="2275" spans="5:9" ht="12.5" customHeight="1" x14ac:dyDescent="0.25">
      <c r="E2275" s="1"/>
      <c r="F2275" s="2"/>
      <c r="H2275" s="1"/>
      <c r="I2275" s="2"/>
    </row>
    <row r="2276" spans="5:9" ht="12.5" customHeight="1" x14ac:dyDescent="0.25">
      <c r="E2276" s="1"/>
      <c r="F2276" s="2"/>
      <c r="H2276" s="1"/>
      <c r="I2276" s="2"/>
    </row>
    <row r="2277" spans="5:9" ht="12.5" customHeight="1" x14ac:dyDescent="0.25">
      <c r="E2277" s="1"/>
      <c r="F2277" s="2"/>
      <c r="H2277" s="1"/>
      <c r="I2277" s="2"/>
    </row>
    <row r="2278" spans="5:9" ht="12.5" customHeight="1" x14ac:dyDescent="0.25">
      <c r="E2278" s="1"/>
      <c r="F2278" s="2"/>
      <c r="H2278" s="1"/>
      <c r="I2278" s="2"/>
    </row>
    <row r="2279" spans="5:9" ht="12.5" customHeight="1" x14ac:dyDescent="0.25">
      <c r="E2279" s="1"/>
      <c r="F2279" s="2"/>
      <c r="H2279" s="1"/>
      <c r="I2279" s="2"/>
    </row>
    <row r="2280" spans="5:9" ht="12.5" customHeight="1" x14ac:dyDescent="0.25">
      <c r="E2280" s="1"/>
      <c r="F2280" s="2"/>
      <c r="H2280" s="1"/>
      <c r="I2280" s="2"/>
    </row>
    <row r="2281" spans="5:9" ht="12.5" customHeight="1" x14ac:dyDescent="0.25">
      <c r="E2281" s="1"/>
      <c r="F2281" s="2"/>
      <c r="H2281" s="1"/>
      <c r="I2281" s="2"/>
    </row>
    <row r="2282" spans="5:9" ht="12.5" customHeight="1" x14ac:dyDescent="0.25">
      <c r="E2282" s="1"/>
      <c r="F2282" s="2"/>
      <c r="H2282" s="1"/>
      <c r="I2282" s="2"/>
    </row>
    <row r="2283" spans="5:9" ht="12.5" customHeight="1" x14ac:dyDescent="0.25">
      <c r="E2283" s="1"/>
      <c r="F2283" s="2"/>
      <c r="H2283" s="1"/>
      <c r="I2283" s="2"/>
    </row>
    <row r="2284" spans="5:9" ht="12.5" customHeight="1" x14ac:dyDescent="0.25">
      <c r="E2284" s="1"/>
      <c r="F2284" s="2"/>
      <c r="H2284" s="1"/>
      <c r="I2284" s="2"/>
    </row>
    <row r="2285" spans="5:9" ht="12.5" customHeight="1" x14ac:dyDescent="0.25">
      <c r="E2285" s="1"/>
      <c r="F2285" s="2"/>
      <c r="H2285" s="1"/>
      <c r="I2285" s="2"/>
    </row>
    <row r="2286" spans="5:9" ht="12.5" customHeight="1" x14ac:dyDescent="0.25">
      <c r="E2286" s="1"/>
      <c r="F2286" s="2"/>
      <c r="H2286" s="1"/>
      <c r="I2286" s="2"/>
    </row>
    <row r="2287" spans="5:9" ht="12.5" customHeight="1" x14ac:dyDescent="0.25">
      <c r="E2287" s="1"/>
      <c r="F2287" s="2"/>
      <c r="H2287" s="1"/>
      <c r="I2287" s="2"/>
    </row>
    <row r="2288" spans="5:9" ht="12.5" customHeight="1" x14ac:dyDescent="0.25">
      <c r="E2288" s="1"/>
      <c r="F2288" s="2"/>
      <c r="H2288" s="1"/>
      <c r="I2288" s="2"/>
    </row>
    <row r="2289" spans="5:9" ht="12.5" customHeight="1" x14ac:dyDescent="0.25">
      <c r="E2289" s="1"/>
      <c r="F2289" s="2"/>
      <c r="H2289" s="1"/>
      <c r="I2289" s="2"/>
    </row>
    <row r="2290" spans="5:9" ht="12.5" customHeight="1" x14ac:dyDescent="0.25">
      <c r="E2290" s="1"/>
      <c r="F2290" s="2"/>
      <c r="H2290" s="1"/>
      <c r="I2290" s="2"/>
    </row>
    <row r="2291" spans="5:9" ht="12.5" customHeight="1" x14ac:dyDescent="0.25">
      <c r="E2291" s="1"/>
      <c r="F2291" s="2"/>
      <c r="H2291" s="1"/>
      <c r="I2291" s="2"/>
    </row>
    <row r="2292" spans="5:9" ht="12.5" customHeight="1" x14ac:dyDescent="0.25">
      <c r="E2292" s="1"/>
      <c r="F2292" s="2"/>
      <c r="H2292" s="1"/>
      <c r="I2292" s="2"/>
    </row>
    <row r="2293" spans="5:9" ht="12.5" customHeight="1" x14ac:dyDescent="0.25">
      <c r="E2293" s="1"/>
      <c r="F2293" s="2"/>
      <c r="H2293" s="1"/>
      <c r="I2293" s="2"/>
    </row>
    <row r="2294" spans="5:9" ht="12.5" customHeight="1" x14ac:dyDescent="0.25">
      <c r="E2294" s="1"/>
      <c r="F2294" s="2"/>
      <c r="H2294" s="1"/>
      <c r="I2294" s="2"/>
    </row>
    <row r="2295" spans="5:9" ht="12.5" customHeight="1" x14ac:dyDescent="0.25">
      <c r="E2295" s="1"/>
      <c r="F2295" s="2"/>
      <c r="H2295" s="1"/>
      <c r="I2295" s="2"/>
    </row>
    <row r="2296" spans="5:9" ht="12.5" customHeight="1" x14ac:dyDescent="0.25">
      <c r="E2296" s="1"/>
      <c r="F2296" s="2"/>
      <c r="H2296" s="1"/>
      <c r="I2296" s="2"/>
    </row>
    <row r="2297" spans="5:9" ht="12.5" customHeight="1" x14ac:dyDescent="0.25">
      <c r="E2297" s="1"/>
      <c r="F2297" s="2"/>
      <c r="H2297" s="1"/>
      <c r="I2297" s="2"/>
    </row>
    <row r="2298" spans="5:9" ht="12.5" customHeight="1" x14ac:dyDescent="0.25">
      <c r="E2298" s="1"/>
      <c r="F2298" s="2"/>
      <c r="H2298" s="1"/>
      <c r="I2298" s="2"/>
    </row>
    <row r="2299" spans="5:9" ht="12.5" customHeight="1" x14ac:dyDescent="0.25">
      <c r="E2299" s="1"/>
      <c r="F2299" s="2"/>
      <c r="H2299" s="1"/>
      <c r="I2299" s="2"/>
    </row>
    <row r="2300" spans="5:9" ht="12.5" customHeight="1" x14ac:dyDescent="0.25">
      <c r="E2300" s="1"/>
      <c r="F2300" s="2"/>
      <c r="H2300" s="1"/>
      <c r="I2300" s="2"/>
    </row>
    <row r="2301" spans="5:9" ht="12.5" customHeight="1" x14ac:dyDescent="0.25">
      <c r="E2301" s="1"/>
      <c r="F2301" s="2"/>
      <c r="H2301" s="1"/>
      <c r="I2301" s="2"/>
    </row>
    <row r="2302" spans="5:9" ht="12.5" customHeight="1" x14ac:dyDescent="0.25">
      <c r="E2302" s="1"/>
      <c r="F2302" s="2"/>
      <c r="H2302" s="1"/>
      <c r="I2302" s="2"/>
    </row>
    <row r="2303" spans="5:9" ht="12.5" customHeight="1" x14ac:dyDescent="0.25">
      <c r="E2303" s="1"/>
      <c r="F2303" s="2"/>
      <c r="H2303" s="1"/>
      <c r="I2303" s="2"/>
    </row>
    <row r="2304" spans="5:9" ht="12.5" customHeight="1" x14ac:dyDescent="0.25">
      <c r="E2304" s="1"/>
      <c r="F2304" s="2"/>
      <c r="H2304" s="1"/>
      <c r="I2304" s="2"/>
    </row>
    <row r="2305" spans="5:9" ht="12.5" customHeight="1" x14ac:dyDescent="0.25">
      <c r="E2305" s="1"/>
      <c r="F2305" s="2"/>
      <c r="H2305" s="1"/>
      <c r="I2305" s="2"/>
    </row>
    <row r="2306" spans="5:9" ht="12.5" customHeight="1" x14ac:dyDescent="0.25">
      <c r="E2306" s="1"/>
      <c r="F2306" s="2"/>
      <c r="H2306" s="1"/>
      <c r="I2306" s="2"/>
    </row>
    <row r="2307" spans="5:9" ht="12.5" customHeight="1" x14ac:dyDescent="0.25">
      <c r="E2307" s="1"/>
      <c r="F2307" s="2"/>
      <c r="H2307" s="1"/>
      <c r="I2307" s="2"/>
    </row>
    <row r="2308" spans="5:9" ht="12.5" customHeight="1" x14ac:dyDescent="0.25">
      <c r="E2308" s="1"/>
      <c r="F2308" s="2"/>
      <c r="H2308" s="1"/>
      <c r="I2308" s="2"/>
    </row>
    <row r="2309" spans="5:9" ht="12.5" customHeight="1" x14ac:dyDescent="0.25">
      <c r="E2309" s="1"/>
      <c r="F2309" s="2"/>
      <c r="H2309" s="1"/>
      <c r="I2309" s="2"/>
    </row>
    <row r="2310" spans="5:9" ht="12.5" customHeight="1" x14ac:dyDescent="0.25">
      <c r="E2310" s="1"/>
      <c r="F2310" s="2"/>
      <c r="H2310" s="1"/>
      <c r="I2310" s="2"/>
    </row>
    <row r="2311" spans="5:9" ht="12.5" customHeight="1" x14ac:dyDescent="0.25">
      <c r="E2311" s="1"/>
      <c r="F2311" s="2"/>
      <c r="H2311" s="1"/>
      <c r="I2311" s="2"/>
    </row>
    <row r="2312" spans="5:9" ht="12.5" customHeight="1" x14ac:dyDescent="0.25">
      <c r="E2312" s="1"/>
      <c r="F2312" s="2"/>
      <c r="H2312" s="1"/>
      <c r="I2312" s="2"/>
    </row>
    <row r="2313" spans="5:9" ht="12.5" customHeight="1" x14ac:dyDescent="0.25">
      <c r="E2313" s="1"/>
      <c r="F2313" s="2"/>
      <c r="H2313" s="1"/>
      <c r="I2313" s="2"/>
    </row>
    <row r="2314" spans="5:9" ht="12.5" customHeight="1" x14ac:dyDescent="0.25">
      <c r="E2314" s="1"/>
      <c r="F2314" s="2"/>
      <c r="H2314" s="1"/>
      <c r="I2314" s="2"/>
    </row>
    <row r="2315" spans="5:9" ht="12.5" customHeight="1" x14ac:dyDescent="0.25">
      <c r="E2315" s="1"/>
      <c r="F2315" s="2"/>
      <c r="H2315" s="1"/>
      <c r="I2315" s="2"/>
    </row>
    <row r="2316" spans="5:9" ht="12.5" customHeight="1" x14ac:dyDescent="0.25">
      <c r="E2316" s="1"/>
      <c r="F2316" s="2"/>
      <c r="H2316" s="1"/>
      <c r="I2316" s="2"/>
    </row>
    <row r="2317" spans="5:9" ht="12.5" customHeight="1" x14ac:dyDescent="0.25">
      <c r="E2317" s="1"/>
      <c r="F2317" s="2"/>
      <c r="H2317" s="1"/>
      <c r="I2317" s="2"/>
    </row>
    <row r="2318" spans="5:9" ht="12.5" customHeight="1" x14ac:dyDescent="0.25">
      <c r="E2318" s="1"/>
      <c r="F2318" s="2"/>
      <c r="H2318" s="1"/>
      <c r="I2318" s="2"/>
    </row>
    <row r="2319" spans="5:9" ht="12.5" customHeight="1" x14ac:dyDescent="0.25">
      <c r="E2319" s="1"/>
      <c r="F2319" s="2"/>
      <c r="H2319" s="1"/>
      <c r="I2319" s="2"/>
    </row>
    <row r="2320" spans="5:9" ht="12.5" customHeight="1" x14ac:dyDescent="0.25">
      <c r="E2320" s="1"/>
      <c r="F2320" s="2"/>
      <c r="H2320" s="1"/>
      <c r="I2320" s="2"/>
    </row>
    <row r="2321" spans="5:9" ht="12.5" customHeight="1" x14ac:dyDescent="0.25">
      <c r="E2321" s="1"/>
      <c r="F2321" s="2"/>
      <c r="H2321" s="1"/>
      <c r="I2321" s="2"/>
    </row>
    <row r="2322" spans="5:9" ht="12.5" customHeight="1" x14ac:dyDescent="0.25">
      <c r="E2322" s="1"/>
      <c r="F2322" s="2"/>
      <c r="H2322" s="1"/>
      <c r="I2322" s="2"/>
    </row>
    <row r="2323" spans="5:9" ht="12.5" customHeight="1" x14ac:dyDescent="0.25">
      <c r="E2323" s="1"/>
      <c r="F2323" s="2"/>
      <c r="H2323" s="1"/>
      <c r="I2323" s="2"/>
    </row>
    <row r="2324" spans="5:9" ht="12.5" customHeight="1" x14ac:dyDescent="0.25">
      <c r="E2324" s="1"/>
      <c r="F2324" s="2"/>
      <c r="H2324" s="1"/>
      <c r="I2324" s="2"/>
    </row>
    <row r="2325" spans="5:9" ht="12.5" customHeight="1" x14ac:dyDescent="0.25">
      <c r="E2325" s="1"/>
      <c r="F2325" s="2"/>
      <c r="H2325" s="1"/>
      <c r="I2325" s="2"/>
    </row>
    <row r="2326" spans="5:9" ht="12.5" customHeight="1" x14ac:dyDescent="0.25">
      <c r="E2326" s="1"/>
      <c r="F2326" s="2"/>
      <c r="H2326" s="1"/>
      <c r="I2326" s="2"/>
    </row>
    <row r="2327" spans="5:9" ht="12.5" customHeight="1" x14ac:dyDescent="0.25">
      <c r="E2327" s="1"/>
      <c r="F2327" s="2"/>
      <c r="H2327" s="1"/>
      <c r="I2327" s="2"/>
    </row>
    <row r="2328" spans="5:9" ht="12.5" customHeight="1" x14ac:dyDescent="0.25">
      <c r="E2328" s="1"/>
      <c r="F2328" s="2"/>
      <c r="H2328" s="1"/>
      <c r="I2328" s="2"/>
    </row>
    <row r="2329" spans="5:9" ht="12.5" customHeight="1" x14ac:dyDescent="0.25">
      <c r="E2329" s="1"/>
      <c r="F2329" s="2"/>
      <c r="H2329" s="1"/>
      <c r="I2329" s="2"/>
    </row>
    <row r="2330" spans="5:9" ht="12.5" customHeight="1" x14ac:dyDescent="0.25">
      <c r="E2330" s="1"/>
      <c r="F2330" s="2"/>
      <c r="H2330" s="1"/>
      <c r="I2330" s="2"/>
    </row>
    <row r="2331" spans="5:9" ht="12.5" customHeight="1" x14ac:dyDescent="0.25">
      <c r="E2331" s="1"/>
      <c r="F2331" s="2"/>
      <c r="H2331" s="1"/>
      <c r="I2331" s="2"/>
    </row>
    <row r="2332" spans="5:9" ht="12.5" customHeight="1" x14ac:dyDescent="0.25">
      <c r="E2332" s="1"/>
      <c r="F2332" s="2"/>
      <c r="H2332" s="1"/>
      <c r="I2332" s="2"/>
    </row>
    <row r="2333" spans="5:9" ht="12.5" customHeight="1" x14ac:dyDescent="0.25">
      <c r="E2333" s="1"/>
      <c r="F2333" s="2"/>
      <c r="H2333" s="1"/>
      <c r="I2333" s="2"/>
    </row>
    <row r="2334" spans="5:9" ht="12.5" customHeight="1" x14ac:dyDescent="0.25">
      <c r="E2334" s="1"/>
      <c r="F2334" s="2"/>
      <c r="H2334" s="1"/>
      <c r="I2334" s="2"/>
    </row>
    <row r="2335" spans="5:9" ht="12.5" customHeight="1" x14ac:dyDescent="0.25">
      <c r="E2335" s="1"/>
      <c r="F2335" s="2"/>
      <c r="H2335" s="1"/>
      <c r="I2335" s="2"/>
    </row>
    <row r="2336" spans="5:9" ht="12.5" customHeight="1" x14ac:dyDescent="0.25">
      <c r="E2336" s="1"/>
      <c r="F2336" s="2"/>
      <c r="H2336" s="1"/>
      <c r="I2336" s="2"/>
    </row>
    <row r="2337" spans="5:9" ht="12.5" customHeight="1" x14ac:dyDescent="0.25">
      <c r="E2337" s="1"/>
      <c r="F2337" s="2"/>
      <c r="H2337" s="1"/>
      <c r="I2337" s="2"/>
    </row>
    <row r="2338" spans="5:9" ht="12.5" customHeight="1" x14ac:dyDescent="0.25">
      <c r="E2338" s="1"/>
      <c r="F2338" s="2"/>
      <c r="H2338" s="1"/>
      <c r="I2338" s="2"/>
    </row>
    <row r="2339" spans="5:9" ht="12.5" customHeight="1" x14ac:dyDescent="0.25">
      <c r="E2339" s="1"/>
      <c r="F2339" s="2"/>
      <c r="H2339" s="1"/>
      <c r="I2339" s="2"/>
    </row>
    <row r="2340" spans="5:9" ht="12.5" customHeight="1" x14ac:dyDescent="0.25">
      <c r="E2340" s="1"/>
      <c r="F2340" s="2"/>
      <c r="H2340" s="1"/>
      <c r="I2340" s="2"/>
    </row>
    <row r="2341" spans="5:9" ht="12.5" customHeight="1" x14ac:dyDescent="0.25">
      <c r="E2341" s="1"/>
      <c r="F2341" s="2"/>
      <c r="H2341" s="1"/>
      <c r="I2341" s="2"/>
    </row>
    <row r="2342" spans="5:9" ht="12.5" customHeight="1" x14ac:dyDescent="0.25">
      <c r="E2342" s="1"/>
      <c r="F2342" s="2"/>
      <c r="H2342" s="1"/>
      <c r="I2342" s="2"/>
    </row>
    <row r="2343" spans="5:9" ht="12.5" customHeight="1" x14ac:dyDescent="0.25">
      <c r="E2343" s="1"/>
      <c r="F2343" s="2"/>
      <c r="H2343" s="1"/>
      <c r="I2343" s="2"/>
    </row>
    <row r="2344" spans="5:9" ht="12.5" customHeight="1" x14ac:dyDescent="0.25">
      <c r="E2344" s="1"/>
      <c r="F2344" s="2"/>
      <c r="H2344" s="1"/>
      <c r="I2344" s="2"/>
    </row>
    <row r="2345" spans="5:9" ht="12.5" customHeight="1" x14ac:dyDescent="0.25">
      <c r="E2345" s="1"/>
      <c r="F2345" s="2"/>
      <c r="H2345" s="1"/>
      <c r="I2345" s="2"/>
    </row>
    <row r="2346" spans="5:9" ht="12.5" customHeight="1" x14ac:dyDescent="0.25">
      <c r="E2346" s="1"/>
      <c r="F2346" s="2"/>
      <c r="H2346" s="1"/>
      <c r="I2346" s="2"/>
    </row>
    <row r="2347" spans="5:9" ht="12.5" customHeight="1" x14ac:dyDescent="0.25">
      <c r="E2347" s="1"/>
      <c r="F2347" s="2"/>
      <c r="H2347" s="1"/>
      <c r="I2347" s="2"/>
    </row>
    <row r="2348" spans="5:9" ht="12.5" customHeight="1" x14ac:dyDescent="0.25">
      <c r="E2348" s="1"/>
      <c r="F2348" s="2"/>
      <c r="H2348" s="1"/>
      <c r="I2348" s="2"/>
    </row>
    <row r="2349" spans="5:9" ht="12.5" customHeight="1" x14ac:dyDescent="0.25">
      <c r="E2349" s="1"/>
      <c r="F2349" s="2"/>
      <c r="H2349" s="1"/>
      <c r="I2349" s="2"/>
    </row>
    <row r="2350" spans="5:9" ht="12.5" customHeight="1" x14ac:dyDescent="0.25">
      <c r="E2350" s="1"/>
      <c r="F2350" s="2"/>
      <c r="H2350" s="1"/>
      <c r="I2350" s="2"/>
    </row>
    <row r="2351" spans="5:9" ht="12.5" customHeight="1" x14ac:dyDescent="0.25">
      <c r="E2351" s="1"/>
      <c r="F2351" s="2"/>
      <c r="H2351" s="1"/>
      <c r="I2351" s="2"/>
    </row>
    <row r="2352" spans="5:9" ht="12.5" customHeight="1" x14ac:dyDescent="0.25">
      <c r="E2352" s="1"/>
      <c r="F2352" s="2"/>
      <c r="H2352" s="1"/>
      <c r="I2352" s="2"/>
    </row>
    <row r="2353" spans="5:9" ht="12.5" customHeight="1" x14ac:dyDescent="0.25">
      <c r="E2353" s="1"/>
      <c r="F2353" s="2"/>
      <c r="H2353" s="1"/>
      <c r="I2353" s="2"/>
    </row>
    <row r="2354" spans="5:9" ht="12.5" customHeight="1" x14ac:dyDescent="0.25">
      <c r="E2354" s="1"/>
      <c r="F2354" s="2"/>
      <c r="H2354" s="1"/>
      <c r="I2354" s="2"/>
    </row>
    <row r="2355" spans="5:9" ht="12.5" customHeight="1" x14ac:dyDescent="0.25">
      <c r="E2355" s="1"/>
      <c r="F2355" s="2"/>
      <c r="H2355" s="1"/>
      <c r="I2355" s="2"/>
    </row>
    <row r="2356" spans="5:9" ht="12.5" customHeight="1" x14ac:dyDescent="0.25">
      <c r="E2356" s="1"/>
      <c r="F2356" s="2"/>
      <c r="H2356" s="1"/>
      <c r="I2356" s="2"/>
    </row>
    <row r="2357" spans="5:9" ht="12.5" customHeight="1" x14ac:dyDescent="0.25">
      <c r="E2357" s="1"/>
      <c r="F2357" s="2"/>
      <c r="H2357" s="1"/>
      <c r="I2357" s="2"/>
    </row>
    <row r="2358" spans="5:9" ht="12.5" customHeight="1" x14ac:dyDescent="0.25">
      <c r="E2358" s="1"/>
      <c r="F2358" s="2"/>
      <c r="H2358" s="1"/>
      <c r="I2358" s="2"/>
    </row>
    <row r="2359" spans="5:9" ht="12.5" customHeight="1" x14ac:dyDescent="0.25">
      <c r="E2359" s="1"/>
      <c r="F2359" s="2"/>
      <c r="H2359" s="1"/>
      <c r="I2359" s="2"/>
    </row>
    <row r="2360" spans="5:9" ht="12.5" customHeight="1" x14ac:dyDescent="0.25">
      <c r="E2360" s="1"/>
      <c r="F2360" s="2"/>
      <c r="H2360" s="1"/>
      <c r="I2360" s="2"/>
    </row>
    <row r="2361" spans="5:9" ht="12.5" customHeight="1" x14ac:dyDescent="0.25">
      <c r="E2361" s="1"/>
      <c r="F2361" s="2"/>
      <c r="H2361" s="1"/>
      <c r="I2361" s="2"/>
    </row>
    <row r="2362" spans="5:9" ht="12.5" customHeight="1" x14ac:dyDescent="0.25">
      <c r="E2362" s="1"/>
      <c r="F2362" s="2"/>
      <c r="H2362" s="1"/>
      <c r="I2362" s="2"/>
    </row>
    <row r="2363" spans="5:9" ht="12.5" customHeight="1" x14ac:dyDescent="0.25">
      <c r="E2363" s="1"/>
      <c r="F2363" s="2"/>
      <c r="H2363" s="1"/>
      <c r="I2363" s="2"/>
    </row>
    <row r="2364" spans="5:9" ht="12.5" customHeight="1" x14ac:dyDescent="0.25">
      <c r="E2364" s="1"/>
      <c r="F2364" s="2"/>
      <c r="H2364" s="1"/>
      <c r="I2364" s="2"/>
    </row>
    <row r="2365" spans="5:9" ht="12.5" customHeight="1" x14ac:dyDescent="0.25">
      <c r="E2365" s="1"/>
      <c r="F2365" s="2"/>
      <c r="H2365" s="1"/>
      <c r="I2365" s="2"/>
    </row>
    <row r="2366" spans="5:9" ht="12.5" customHeight="1" x14ac:dyDescent="0.25">
      <c r="E2366" s="1"/>
      <c r="F2366" s="2"/>
      <c r="H2366" s="1"/>
      <c r="I2366" s="2"/>
    </row>
    <row r="2367" spans="5:9" ht="12.5" customHeight="1" x14ac:dyDescent="0.25">
      <c r="E2367" s="1"/>
      <c r="F2367" s="2"/>
      <c r="H2367" s="1"/>
      <c r="I2367" s="2"/>
    </row>
    <row r="2368" spans="5:9" ht="12.5" customHeight="1" x14ac:dyDescent="0.25">
      <c r="E2368" s="1"/>
      <c r="F2368" s="2"/>
      <c r="H2368" s="1"/>
      <c r="I2368" s="2"/>
    </row>
    <row r="2369" spans="5:9" ht="12.5" customHeight="1" x14ac:dyDescent="0.25">
      <c r="E2369" s="1"/>
      <c r="F2369" s="2"/>
      <c r="H2369" s="1"/>
      <c r="I2369" s="2"/>
    </row>
    <row r="2370" spans="5:9" ht="12.5" customHeight="1" x14ac:dyDescent="0.25">
      <c r="E2370" s="1"/>
      <c r="F2370" s="2"/>
      <c r="H2370" s="1"/>
      <c r="I2370" s="2"/>
    </row>
    <row r="2371" spans="5:9" ht="12.5" customHeight="1" x14ac:dyDescent="0.25">
      <c r="E2371" s="1"/>
      <c r="F2371" s="2"/>
      <c r="H2371" s="1"/>
      <c r="I2371" s="2"/>
    </row>
    <row r="2372" spans="5:9" ht="12.5" customHeight="1" x14ac:dyDescent="0.25">
      <c r="E2372" s="1"/>
      <c r="F2372" s="2"/>
      <c r="H2372" s="1"/>
      <c r="I2372" s="2"/>
    </row>
    <row r="2373" spans="5:9" ht="12.5" customHeight="1" x14ac:dyDescent="0.25">
      <c r="E2373" s="1"/>
      <c r="F2373" s="2"/>
      <c r="H2373" s="1"/>
      <c r="I2373" s="2"/>
    </row>
    <row r="2374" spans="5:9" ht="12.5" customHeight="1" x14ac:dyDescent="0.25">
      <c r="E2374" s="1"/>
      <c r="F2374" s="2"/>
      <c r="H2374" s="1"/>
      <c r="I2374" s="2"/>
    </row>
    <row r="2375" spans="5:9" ht="12.5" customHeight="1" x14ac:dyDescent="0.25">
      <c r="E2375" s="1"/>
      <c r="F2375" s="2"/>
      <c r="H2375" s="1"/>
      <c r="I2375" s="2"/>
    </row>
    <row r="2376" spans="5:9" ht="12.5" customHeight="1" x14ac:dyDescent="0.25">
      <c r="E2376" s="1"/>
      <c r="F2376" s="2"/>
      <c r="H2376" s="1"/>
      <c r="I2376" s="2"/>
    </row>
    <row r="2377" spans="5:9" ht="12.5" customHeight="1" x14ac:dyDescent="0.25">
      <c r="E2377" s="1"/>
      <c r="F2377" s="2"/>
      <c r="H2377" s="1"/>
      <c r="I2377" s="2"/>
    </row>
    <row r="2378" spans="5:9" ht="12.5" customHeight="1" x14ac:dyDescent="0.25">
      <c r="E2378" s="1"/>
      <c r="F2378" s="2"/>
      <c r="H2378" s="1"/>
      <c r="I2378" s="2"/>
    </row>
    <row r="2379" spans="5:9" ht="12.5" customHeight="1" x14ac:dyDescent="0.25">
      <c r="E2379" s="1"/>
      <c r="F2379" s="2"/>
      <c r="H2379" s="1"/>
      <c r="I2379" s="2"/>
    </row>
    <row r="2380" spans="5:9" ht="12.5" customHeight="1" x14ac:dyDescent="0.25">
      <c r="E2380" s="1"/>
      <c r="F2380" s="2"/>
      <c r="H2380" s="1"/>
      <c r="I2380" s="2"/>
    </row>
    <row r="2381" spans="5:9" ht="12.5" customHeight="1" x14ac:dyDescent="0.25">
      <c r="E2381" s="1"/>
      <c r="F2381" s="2"/>
      <c r="H2381" s="1"/>
      <c r="I2381" s="2"/>
    </row>
    <row r="2382" spans="5:9" ht="12.5" customHeight="1" x14ac:dyDescent="0.25">
      <c r="E2382" s="1"/>
      <c r="F2382" s="2"/>
      <c r="H2382" s="1"/>
      <c r="I2382" s="2"/>
    </row>
    <row r="2383" spans="5:9" ht="12.5" customHeight="1" x14ac:dyDescent="0.25">
      <c r="E2383" s="1"/>
      <c r="F2383" s="2"/>
      <c r="H2383" s="1"/>
      <c r="I2383" s="2"/>
    </row>
    <row r="2384" spans="5:9" ht="12.5" customHeight="1" x14ac:dyDescent="0.25">
      <c r="E2384" s="1"/>
      <c r="F2384" s="2"/>
      <c r="H2384" s="1"/>
      <c r="I2384" s="2"/>
    </row>
    <row r="2385" spans="5:9" ht="12.5" customHeight="1" x14ac:dyDescent="0.25">
      <c r="E2385" s="1"/>
      <c r="F2385" s="2"/>
      <c r="H2385" s="1"/>
      <c r="I2385" s="2"/>
    </row>
    <row r="2386" spans="5:9" ht="12.5" customHeight="1" x14ac:dyDescent="0.25">
      <c r="E2386" s="1"/>
      <c r="F2386" s="2"/>
      <c r="H2386" s="1"/>
      <c r="I2386" s="2"/>
    </row>
    <row r="2387" spans="5:9" ht="12.5" customHeight="1" x14ac:dyDescent="0.25">
      <c r="E2387" s="1"/>
      <c r="F2387" s="2"/>
      <c r="H2387" s="1"/>
      <c r="I2387" s="2"/>
    </row>
    <row r="2388" spans="5:9" ht="12.5" customHeight="1" x14ac:dyDescent="0.25">
      <c r="E2388" s="1"/>
      <c r="F2388" s="2"/>
      <c r="H2388" s="1"/>
      <c r="I2388" s="2"/>
    </row>
    <row r="2389" spans="5:9" ht="12.5" customHeight="1" x14ac:dyDescent="0.25">
      <c r="E2389" s="1"/>
      <c r="F2389" s="2"/>
      <c r="H2389" s="1"/>
      <c r="I2389" s="2"/>
    </row>
    <row r="2390" spans="5:9" ht="12.5" customHeight="1" x14ac:dyDescent="0.25">
      <c r="E2390" s="1"/>
      <c r="F2390" s="2"/>
      <c r="H2390" s="1"/>
      <c r="I2390" s="2"/>
    </row>
    <row r="2391" spans="5:9" ht="12.5" customHeight="1" x14ac:dyDescent="0.25">
      <c r="E2391" s="1"/>
      <c r="F2391" s="2"/>
      <c r="H2391" s="1"/>
      <c r="I2391" s="2"/>
    </row>
    <row r="2392" spans="5:9" ht="12.5" customHeight="1" x14ac:dyDescent="0.25">
      <c r="E2392" s="1"/>
      <c r="F2392" s="2"/>
      <c r="H2392" s="1"/>
      <c r="I2392" s="2"/>
    </row>
    <row r="2393" spans="5:9" ht="12.5" customHeight="1" x14ac:dyDescent="0.25">
      <c r="E2393" s="1"/>
      <c r="F2393" s="2"/>
      <c r="H2393" s="1"/>
      <c r="I2393" s="2"/>
    </row>
    <row r="2394" spans="5:9" ht="12.5" customHeight="1" x14ac:dyDescent="0.25">
      <c r="E2394" s="1"/>
      <c r="F2394" s="2"/>
      <c r="H2394" s="1"/>
      <c r="I2394" s="2"/>
    </row>
    <row r="2395" spans="5:9" ht="12.5" customHeight="1" x14ac:dyDescent="0.25">
      <c r="E2395" s="1"/>
      <c r="F2395" s="2"/>
      <c r="H2395" s="1"/>
      <c r="I2395" s="2"/>
    </row>
    <row r="2396" spans="5:9" ht="12.5" customHeight="1" x14ac:dyDescent="0.25">
      <c r="E2396" s="1"/>
      <c r="F2396" s="2"/>
      <c r="H2396" s="1"/>
      <c r="I2396" s="2"/>
    </row>
    <row r="2397" spans="5:9" ht="12.5" customHeight="1" x14ac:dyDescent="0.25">
      <c r="E2397" s="1"/>
      <c r="F2397" s="2"/>
      <c r="H2397" s="1"/>
      <c r="I2397" s="2"/>
    </row>
    <row r="2398" spans="5:9" ht="12.5" customHeight="1" x14ac:dyDescent="0.25">
      <c r="E2398" s="1"/>
      <c r="F2398" s="2"/>
      <c r="H2398" s="1"/>
      <c r="I2398" s="2"/>
    </row>
    <row r="2399" spans="5:9" ht="12.5" customHeight="1" x14ac:dyDescent="0.25">
      <c r="E2399" s="1"/>
      <c r="F2399" s="2"/>
      <c r="H2399" s="1"/>
      <c r="I2399" s="2"/>
    </row>
    <row r="2400" spans="5:9" ht="12.5" customHeight="1" x14ac:dyDescent="0.25">
      <c r="E2400" s="1"/>
      <c r="F2400" s="2"/>
      <c r="H2400" s="1"/>
      <c r="I2400" s="2"/>
    </row>
    <row r="2401" spans="5:9" ht="12.5" customHeight="1" x14ac:dyDescent="0.25">
      <c r="E2401" s="1"/>
      <c r="F2401" s="2"/>
      <c r="H2401" s="1"/>
      <c r="I2401" s="2"/>
    </row>
    <row r="2402" spans="5:9" ht="12.5" customHeight="1" x14ac:dyDescent="0.25">
      <c r="E2402" s="1"/>
      <c r="F2402" s="2"/>
      <c r="H2402" s="1"/>
      <c r="I2402" s="2"/>
    </row>
    <row r="2403" spans="5:9" ht="12.5" customHeight="1" x14ac:dyDescent="0.25">
      <c r="E2403" s="1"/>
      <c r="F2403" s="2"/>
      <c r="H2403" s="1"/>
      <c r="I2403" s="2"/>
    </row>
    <row r="2404" spans="5:9" ht="12.5" customHeight="1" x14ac:dyDescent="0.25">
      <c r="E2404" s="1"/>
      <c r="F2404" s="2"/>
      <c r="H2404" s="1"/>
      <c r="I2404" s="2"/>
    </row>
    <row r="2405" spans="5:9" ht="12.5" customHeight="1" x14ac:dyDescent="0.25">
      <c r="E2405" s="1"/>
      <c r="F2405" s="2"/>
      <c r="H2405" s="1"/>
      <c r="I2405" s="2"/>
    </row>
    <row r="2406" spans="5:9" ht="12.5" customHeight="1" x14ac:dyDescent="0.25">
      <c r="E2406" s="1"/>
      <c r="F2406" s="2"/>
      <c r="H2406" s="1"/>
      <c r="I2406" s="2"/>
    </row>
    <row r="2407" spans="5:9" ht="12.5" customHeight="1" x14ac:dyDescent="0.25">
      <c r="E2407" s="1"/>
      <c r="F2407" s="2"/>
      <c r="H2407" s="1"/>
      <c r="I2407" s="2"/>
    </row>
    <row r="2408" spans="5:9" ht="12.5" customHeight="1" x14ac:dyDescent="0.25">
      <c r="E2408" s="1"/>
      <c r="F2408" s="2"/>
      <c r="H2408" s="1"/>
      <c r="I2408" s="2"/>
    </row>
    <row r="2409" spans="5:9" ht="12.5" customHeight="1" x14ac:dyDescent="0.25">
      <c r="E2409" s="1"/>
      <c r="F2409" s="2"/>
      <c r="H2409" s="1"/>
      <c r="I2409" s="2"/>
    </row>
    <row r="2410" spans="5:9" ht="12.5" customHeight="1" x14ac:dyDescent="0.25">
      <c r="E2410" s="1"/>
      <c r="F2410" s="2"/>
      <c r="H2410" s="1"/>
      <c r="I2410" s="2"/>
    </row>
    <row r="2411" spans="5:9" ht="12.5" customHeight="1" x14ac:dyDescent="0.25">
      <c r="E2411" s="1"/>
      <c r="F2411" s="2"/>
      <c r="H2411" s="1"/>
      <c r="I2411" s="2"/>
    </row>
    <row r="2412" spans="5:9" ht="12.5" customHeight="1" x14ac:dyDescent="0.25">
      <c r="E2412" s="1"/>
      <c r="F2412" s="2"/>
      <c r="H2412" s="1"/>
      <c r="I2412" s="2"/>
    </row>
    <row r="2413" spans="5:9" ht="12.5" customHeight="1" x14ac:dyDescent="0.25">
      <c r="E2413" s="1"/>
      <c r="F2413" s="2"/>
      <c r="H2413" s="1"/>
      <c r="I2413" s="2"/>
    </row>
    <row r="2414" spans="5:9" ht="12.5" customHeight="1" x14ac:dyDescent="0.25">
      <c r="E2414" s="1"/>
      <c r="F2414" s="2"/>
      <c r="H2414" s="1"/>
      <c r="I2414" s="2"/>
    </row>
    <row r="2415" spans="5:9" ht="12.5" customHeight="1" x14ac:dyDescent="0.25">
      <c r="E2415" s="1"/>
      <c r="F2415" s="2"/>
      <c r="H2415" s="1"/>
      <c r="I2415" s="2"/>
    </row>
    <row r="2416" spans="5:9" ht="12.5" customHeight="1" x14ac:dyDescent="0.25">
      <c r="E2416" s="1"/>
      <c r="F2416" s="2"/>
      <c r="H2416" s="1"/>
      <c r="I2416" s="2"/>
    </row>
    <row r="2417" spans="5:9" ht="12.5" customHeight="1" x14ac:dyDescent="0.25">
      <c r="E2417" s="1"/>
      <c r="F2417" s="2"/>
      <c r="H2417" s="1"/>
      <c r="I2417" s="2"/>
    </row>
    <row r="2418" spans="5:9" ht="12.5" customHeight="1" x14ac:dyDescent="0.25">
      <c r="E2418" s="1"/>
      <c r="F2418" s="2"/>
      <c r="H2418" s="1"/>
      <c r="I2418" s="2"/>
    </row>
    <row r="2419" spans="5:9" ht="12.5" customHeight="1" x14ac:dyDescent="0.25">
      <c r="E2419" s="1"/>
      <c r="F2419" s="2"/>
      <c r="H2419" s="1"/>
      <c r="I2419" s="2"/>
    </row>
    <row r="2420" spans="5:9" ht="12.5" customHeight="1" x14ac:dyDescent="0.25">
      <c r="E2420" s="1"/>
      <c r="F2420" s="2"/>
      <c r="H2420" s="1"/>
      <c r="I2420" s="2"/>
    </row>
    <row r="2421" spans="5:9" ht="12.5" customHeight="1" x14ac:dyDescent="0.25">
      <c r="E2421" s="1"/>
      <c r="F2421" s="2"/>
      <c r="H2421" s="1"/>
      <c r="I2421" s="2"/>
    </row>
    <row r="2422" spans="5:9" ht="12.5" customHeight="1" x14ac:dyDescent="0.25">
      <c r="E2422" s="1"/>
      <c r="F2422" s="2"/>
      <c r="H2422" s="1"/>
      <c r="I2422" s="2"/>
    </row>
    <row r="2423" spans="5:9" ht="12.5" customHeight="1" x14ac:dyDescent="0.25">
      <c r="E2423" s="1"/>
      <c r="F2423" s="2"/>
      <c r="H2423" s="1"/>
      <c r="I2423" s="2"/>
    </row>
    <row r="2424" spans="5:9" ht="12.5" customHeight="1" x14ac:dyDescent="0.25">
      <c r="E2424" s="1"/>
      <c r="F2424" s="2"/>
      <c r="H2424" s="1"/>
      <c r="I2424" s="2"/>
    </row>
    <row r="2425" spans="5:9" ht="12.5" customHeight="1" x14ac:dyDescent="0.25">
      <c r="E2425" s="1"/>
      <c r="F2425" s="2"/>
      <c r="H2425" s="1"/>
      <c r="I2425" s="2"/>
    </row>
    <row r="2426" spans="5:9" ht="12.5" customHeight="1" x14ac:dyDescent="0.25">
      <c r="E2426" s="1"/>
      <c r="F2426" s="2"/>
      <c r="H2426" s="1"/>
      <c r="I2426" s="2"/>
    </row>
    <row r="2427" spans="5:9" ht="12.5" customHeight="1" x14ac:dyDescent="0.25">
      <c r="E2427" s="1"/>
      <c r="F2427" s="2"/>
      <c r="H2427" s="1"/>
      <c r="I2427" s="2"/>
    </row>
    <row r="2428" spans="5:9" ht="12.5" customHeight="1" x14ac:dyDescent="0.25">
      <c r="E2428" s="1"/>
      <c r="F2428" s="2"/>
      <c r="H2428" s="1"/>
      <c r="I2428" s="2"/>
    </row>
    <row r="2429" spans="5:9" ht="12.5" customHeight="1" x14ac:dyDescent="0.25">
      <c r="E2429" s="1"/>
      <c r="F2429" s="2"/>
      <c r="H2429" s="1"/>
      <c r="I2429" s="2"/>
    </row>
    <row r="2430" spans="5:9" ht="12.5" customHeight="1" x14ac:dyDescent="0.25">
      <c r="E2430" s="1"/>
      <c r="F2430" s="2"/>
      <c r="H2430" s="1"/>
      <c r="I2430" s="2"/>
    </row>
    <row r="2431" spans="5:9" ht="12.5" customHeight="1" x14ac:dyDescent="0.25">
      <c r="E2431" s="1"/>
      <c r="F2431" s="2"/>
      <c r="H2431" s="1"/>
      <c r="I2431" s="2"/>
    </row>
    <row r="2432" spans="5:9" ht="12.5" customHeight="1" x14ac:dyDescent="0.25">
      <c r="E2432" s="1"/>
      <c r="F2432" s="2"/>
      <c r="H2432" s="1"/>
      <c r="I2432" s="2"/>
    </row>
    <row r="2433" spans="5:9" ht="12.5" customHeight="1" x14ac:dyDescent="0.25">
      <c r="E2433" s="1"/>
      <c r="F2433" s="2"/>
      <c r="H2433" s="1"/>
      <c r="I2433" s="2"/>
    </row>
    <row r="2434" spans="5:9" ht="12.5" customHeight="1" x14ac:dyDescent="0.25">
      <c r="E2434" s="1"/>
      <c r="F2434" s="2"/>
      <c r="H2434" s="1"/>
      <c r="I2434" s="2"/>
    </row>
    <row r="2435" spans="5:9" ht="12.5" customHeight="1" x14ac:dyDescent="0.25">
      <c r="E2435" s="1"/>
      <c r="F2435" s="2"/>
      <c r="H2435" s="1"/>
      <c r="I2435" s="2"/>
    </row>
    <row r="2436" spans="5:9" ht="12.5" customHeight="1" x14ac:dyDescent="0.25">
      <c r="E2436" s="1"/>
      <c r="F2436" s="2"/>
      <c r="H2436" s="1"/>
      <c r="I2436" s="2"/>
    </row>
    <row r="2437" spans="5:9" ht="12.5" customHeight="1" x14ac:dyDescent="0.25">
      <c r="E2437" s="1"/>
      <c r="F2437" s="2"/>
      <c r="H2437" s="1"/>
      <c r="I2437" s="2"/>
    </row>
    <row r="2438" spans="5:9" ht="12.5" customHeight="1" x14ac:dyDescent="0.25">
      <c r="E2438" s="1"/>
      <c r="F2438" s="2"/>
      <c r="H2438" s="1"/>
      <c r="I2438" s="2"/>
    </row>
    <row r="2439" spans="5:9" ht="12.5" customHeight="1" x14ac:dyDescent="0.25">
      <c r="E2439" s="1"/>
      <c r="F2439" s="2"/>
      <c r="H2439" s="1"/>
      <c r="I2439" s="2"/>
    </row>
    <row r="2440" spans="5:9" ht="12.5" customHeight="1" x14ac:dyDescent="0.25">
      <c r="E2440" s="1"/>
      <c r="F2440" s="2"/>
      <c r="H2440" s="1"/>
      <c r="I2440" s="2"/>
    </row>
    <row r="2441" spans="5:9" ht="12.5" customHeight="1" x14ac:dyDescent="0.25">
      <c r="E2441" s="1"/>
      <c r="F2441" s="2"/>
      <c r="H2441" s="1"/>
      <c r="I2441" s="2"/>
    </row>
    <row r="2442" spans="5:9" ht="12.5" customHeight="1" x14ac:dyDescent="0.25">
      <c r="E2442" s="1"/>
      <c r="F2442" s="2"/>
      <c r="H2442" s="1"/>
      <c r="I2442" s="2"/>
    </row>
    <row r="2443" spans="5:9" ht="12.5" customHeight="1" x14ac:dyDescent="0.25">
      <c r="E2443" s="1"/>
      <c r="F2443" s="2"/>
      <c r="H2443" s="1"/>
      <c r="I2443" s="2"/>
    </row>
    <row r="2444" spans="5:9" ht="12.5" customHeight="1" x14ac:dyDescent="0.25">
      <c r="E2444" s="1"/>
      <c r="F2444" s="2"/>
      <c r="H2444" s="1"/>
      <c r="I2444" s="2"/>
    </row>
    <row r="2445" spans="5:9" ht="12.5" customHeight="1" x14ac:dyDescent="0.25">
      <c r="E2445" s="1"/>
      <c r="F2445" s="2"/>
      <c r="H2445" s="1"/>
      <c r="I2445" s="2"/>
    </row>
    <row r="2446" spans="5:9" ht="12.5" customHeight="1" x14ac:dyDescent="0.25">
      <c r="E2446" s="1"/>
      <c r="F2446" s="2"/>
      <c r="H2446" s="1"/>
      <c r="I2446" s="2"/>
    </row>
    <row r="2447" spans="5:9" ht="12.5" customHeight="1" x14ac:dyDescent="0.25">
      <c r="E2447" s="1"/>
      <c r="F2447" s="2"/>
      <c r="H2447" s="1"/>
      <c r="I2447" s="2"/>
    </row>
    <row r="2448" spans="5:9" ht="12.5" customHeight="1" x14ac:dyDescent="0.25">
      <c r="E2448" s="1"/>
      <c r="F2448" s="2"/>
      <c r="H2448" s="1"/>
      <c r="I2448" s="2"/>
    </row>
    <row r="2449" spans="5:9" ht="12.5" customHeight="1" x14ac:dyDescent="0.25">
      <c r="E2449" s="1"/>
      <c r="F2449" s="2"/>
      <c r="H2449" s="1"/>
      <c r="I2449" s="2"/>
    </row>
    <row r="2450" spans="5:9" ht="12.5" customHeight="1" x14ac:dyDescent="0.25">
      <c r="E2450" s="1"/>
      <c r="F2450" s="2"/>
      <c r="H2450" s="1"/>
      <c r="I2450" s="2"/>
    </row>
    <row r="2451" spans="5:9" ht="12.5" customHeight="1" x14ac:dyDescent="0.25">
      <c r="E2451" s="1"/>
      <c r="F2451" s="2"/>
      <c r="H2451" s="1"/>
      <c r="I2451" s="2"/>
    </row>
    <row r="2452" spans="5:9" ht="12.5" customHeight="1" x14ac:dyDescent="0.25">
      <c r="E2452" s="1"/>
      <c r="F2452" s="2"/>
      <c r="H2452" s="1"/>
      <c r="I2452" s="2"/>
    </row>
    <row r="2453" spans="5:9" ht="12.5" customHeight="1" x14ac:dyDescent="0.25">
      <c r="E2453" s="1"/>
      <c r="F2453" s="2"/>
      <c r="H2453" s="1"/>
      <c r="I2453" s="2"/>
    </row>
    <row r="2454" spans="5:9" ht="12.5" customHeight="1" x14ac:dyDescent="0.25">
      <c r="E2454" s="1"/>
      <c r="F2454" s="2"/>
      <c r="H2454" s="1"/>
      <c r="I2454" s="2"/>
    </row>
    <row r="2455" spans="5:9" ht="12.5" customHeight="1" x14ac:dyDescent="0.25">
      <c r="E2455" s="1"/>
      <c r="F2455" s="2"/>
      <c r="H2455" s="1"/>
      <c r="I2455" s="2"/>
    </row>
    <row r="2456" spans="5:9" ht="12.5" customHeight="1" x14ac:dyDescent="0.25">
      <c r="E2456" s="1"/>
      <c r="F2456" s="2"/>
      <c r="H2456" s="1"/>
      <c r="I2456" s="2"/>
    </row>
    <row r="2457" spans="5:9" ht="12.5" customHeight="1" x14ac:dyDescent="0.25">
      <c r="E2457" s="1"/>
      <c r="F2457" s="2"/>
      <c r="H2457" s="1"/>
      <c r="I2457" s="2"/>
    </row>
    <row r="2458" spans="5:9" ht="12.5" customHeight="1" x14ac:dyDescent="0.25">
      <c r="E2458" s="1"/>
      <c r="F2458" s="2"/>
      <c r="H2458" s="1"/>
      <c r="I2458" s="2"/>
    </row>
    <row r="2459" spans="5:9" ht="12.5" customHeight="1" x14ac:dyDescent="0.25">
      <c r="E2459" s="1"/>
      <c r="F2459" s="2"/>
      <c r="H2459" s="1"/>
      <c r="I2459" s="2"/>
    </row>
    <row r="2460" spans="5:9" ht="12.5" customHeight="1" x14ac:dyDescent="0.25">
      <c r="E2460" s="1"/>
      <c r="F2460" s="2"/>
      <c r="H2460" s="1"/>
      <c r="I2460" s="2"/>
    </row>
    <row r="2461" spans="5:9" ht="12.5" customHeight="1" x14ac:dyDescent="0.25">
      <c r="E2461" s="1"/>
      <c r="F2461" s="2"/>
      <c r="H2461" s="1"/>
      <c r="I2461" s="2"/>
    </row>
    <row r="2462" spans="5:9" ht="12.5" customHeight="1" x14ac:dyDescent="0.25">
      <c r="E2462" s="1"/>
      <c r="F2462" s="2"/>
      <c r="H2462" s="1"/>
      <c r="I2462" s="2"/>
    </row>
    <row r="2463" spans="5:9" ht="12.5" customHeight="1" x14ac:dyDescent="0.25">
      <c r="E2463" s="1"/>
      <c r="F2463" s="2"/>
      <c r="H2463" s="1"/>
      <c r="I2463" s="2"/>
    </row>
    <row r="2464" spans="5:9" ht="12.5" customHeight="1" x14ac:dyDescent="0.25">
      <c r="E2464" s="1"/>
      <c r="F2464" s="2"/>
      <c r="H2464" s="1"/>
      <c r="I2464" s="2"/>
    </row>
    <row r="2465" spans="5:9" ht="12.5" customHeight="1" x14ac:dyDescent="0.25">
      <c r="E2465" s="1"/>
      <c r="F2465" s="2"/>
      <c r="H2465" s="1"/>
      <c r="I2465" s="2"/>
    </row>
    <row r="2466" spans="5:9" ht="12.5" customHeight="1" x14ac:dyDescent="0.25">
      <c r="E2466" s="1"/>
      <c r="F2466" s="2"/>
      <c r="H2466" s="1"/>
      <c r="I2466" s="2"/>
    </row>
    <row r="2467" spans="5:9" ht="12.5" customHeight="1" x14ac:dyDescent="0.25">
      <c r="E2467" s="1"/>
      <c r="F2467" s="2"/>
      <c r="H2467" s="1"/>
      <c r="I2467" s="2"/>
    </row>
    <row r="2468" spans="5:9" ht="12.5" customHeight="1" x14ac:dyDescent="0.25">
      <c r="E2468" s="1"/>
      <c r="F2468" s="2"/>
      <c r="H2468" s="1"/>
      <c r="I2468" s="2"/>
    </row>
    <row r="2469" spans="5:9" ht="12.5" customHeight="1" x14ac:dyDescent="0.25">
      <c r="E2469" s="1"/>
      <c r="F2469" s="2"/>
      <c r="H2469" s="1"/>
      <c r="I2469" s="2"/>
    </row>
    <row r="2470" spans="5:9" ht="12.5" customHeight="1" x14ac:dyDescent="0.25">
      <c r="E2470" s="1"/>
      <c r="F2470" s="2"/>
      <c r="H2470" s="1"/>
      <c r="I2470" s="2"/>
    </row>
    <row r="2471" spans="5:9" ht="12.5" customHeight="1" x14ac:dyDescent="0.25">
      <c r="E2471" s="1"/>
      <c r="F2471" s="2"/>
      <c r="H2471" s="1"/>
      <c r="I2471" s="2"/>
    </row>
    <row r="2472" spans="5:9" ht="12.5" customHeight="1" x14ac:dyDescent="0.25">
      <c r="E2472" s="1"/>
      <c r="F2472" s="2"/>
      <c r="H2472" s="1"/>
      <c r="I2472" s="2"/>
    </row>
    <row r="2473" spans="5:9" ht="12.5" customHeight="1" x14ac:dyDescent="0.25">
      <c r="E2473" s="1"/>
      <c r="F2473" s="2"/>
      <c r="H2473" s="1"/>
      <c r="I2473" s="2"/>
    </row>
    <row r="2474" spans="5:9" ht="12.5" customHeight="1" x14ac:dyDescent="0.25">
      <c r="E2474" s="1"/>
      <c r="F2474" s="2"/>
      <c r="H2474" s="1"/>
      <c r="I2474" s="2"/>
    </row>
    <row r="2475" spans="5:9" ht="12.5" customHeight="1" x14ac:dyDescent="0.25">
      <c r="E2475" s="1"/>
      <c r="F2475" s="2"/>
      <c r="H2475" s="1"/>
      <c r="I2475" s="2"/>
    </row>
    <row r="2476" spans="5:9" ht="12.5" customHeight="1" x14ac:dyDescent="0.25">
      <c r="E2476" s="1"/>
      <c r="F2476" s="2"/>
      <c r="H2476" s="1"/>
      <c r="I2476" s="2"/>
    </row>
    <row r="2477" spans="5:9" ht="12.5" customHeight="1" x14ac:dyDescent="0.25">
      <c r="E2477" s="1"/>
      <c r="F2477" s="2"/>
      <c r="H2477" s="1"/>
      <c r="I2477" s="2"/>
    </row>
    <row r="2478" spans="5:9" ht="12.5" customHeight="1" x14ac:dyDescent="0.25">
      <c r="E2478" s="1"/>
      <c r="F2478" s="2"/>
      <c r="H2478" s="1"/>
      <c r="I2478" s="2"/>
    </row>
    <row r="2479" spans="5:9" ht="12.5" customHeight="1" x14ac:dyDescent="0.25">
      <c r="E2479" s="1"/>
      <c r="F2479" s="2"/>
      <c r="H2479" s="1"/>
      <c r="I2479" s="2"/>
    </row>
    <row r="2480" spans="5:9" ht="12.5" customHeight="1" x14ac:dyDescent="0.25">
      <c r="E2480" s="1"/>
      <c r="F2480" s="2"/>
      <c r="H2480" s="1"/>
      <c r="I2480" s="2"/>
    </row>
    <row r="2481" spans="5:9" ht="12.5" customHeight="1" x14ac:dyDescent="0.25">
      <c r="E2481" s="1"/>
      <c r="F2481" s="2"/>
      <c r="H2481" s="1"/>
      <c r="I2481" s="2"/>
    </row>
    <row r="2482" spans="5:9" ht="12.5" customHeight="1" x14ac:dyDescent="0.25">
      <c r="E2482" s="1"/>
      <c r="F2482" s="2"/>
      <c r="H2482" s="1"/>
      <c r="I2482" s="2"/>
    </row>
    <row r="2483" spans="5:9" ht="12.5" customHeight="1" x14ac:dyDescent="0.25">
      <c r="E2483" s="1"/>
      <c r="F2483" s="2"/>
      <c r="H2483" s="1"/>
      <c r="I2483" s="2"/>
    </row>
    <row r="2484" spans="5:9" ht="12.5" customHeight="1" x14ac:dyDescent="0.25">
      <c r="E2484" s="1"/>
      <c r="F2484" s="2"/>
      <c r="H2484" s="1"/>
      <c r="I2484" s="2"/>
    </row>
    <row r="2485" spans="5:9" ht="12.5" customHeight="1" x14ac:dyDescent="0.25">
      <c r="E2485" s="1"/>
      <c r="F2485" s="2"/>
      <c r="H2485" s="1"/>
      <c r="I2485" s="2"/>
    </row>
    <row r="2486" spans="5:9" ht="12.5" customHeight="1" x14ac:dyDescent="0.25">
      <c r="E2486" s="1"/>
      <c r="F2486" s="2"/>
      <c r="H2486" s="1"/>
      <c r="I2486" s="2"/>
    </row>
    <row r="2487" spans="5:9" ht="12.5" customHeight="1" x14ac:dyDescent="0.25">
      <c r="E2487" s="1"/>
      <c r="F2487" s="2"/>
      <c r="H2487" s="1"/>
      <c r="I2487" s="2"/>
    </row>
    <row r="2488" spans="5:9" ht="12.5" customHeight="1" x14ac:dyDescent="0.25">
      <c r="E2488" s="1"/>
      <c r="F2488" s="2"/>
      <c r="H2488" s="1"/>
      <c r="I2488" s="2"/>
    </row>
    <row r="2489" spans="5:9" ht="12.5" customHeight="1" x14ac:dyDescent="0.25">
      <c r="E2489" s="1"/>
      <c r="F2489" s="2"/>
      <c r="H2489" s="1"/>
      <c r="I2489" s="2"/>
    </row>
    <row r="2490" spans="5:9" ht="12.5" customHeight="1" x14ac:dyDescent="0.25">
      <c r="E2490" s="1"/>
      <c r="F2490" s="2"/>
      <c r="H2490" s="1"/>
      <c r="I2490" s="2"/>
    </row>
    <row r="2491" spans="5:9" ht="12.5" customHeight="1" x14ac:dyDescent="0.25">
      <c r="E2491" s="1"/>
      <c r="F2491" s="2"/>
      <c r="H2491" s="1"/>
      <c r="I2491" s="2"/>
    </row>
    <row r="2492" spans="5:9" ht="12.5" customHeight="1" x14ac:dyDescent="0.25">
      <c r="E2492" s="1"/>
      <c r="F2492" s="2"/>
      <c r="H2492" s="1"/>
      <c r="I2492" s="2"/>
    </row>
    <row r="2493" spans="5:9" ht="12.5" customHeight="1" x14ac:dyDescent="0.25">
      <c r="E2493" s="1"/>
      <c r="F2493" s="2"/>
      <c r="H2493" s="1"/>
      <c r="I2493" s="2"/>
    </row>
    <row r="2494" spans="5:9" ht="12.5" customHeight="1" x14ac:dyDescent="0.25">
      <c r="E2494" s="1"/>
      <c r="F2494" s="2"/>
      <c r="H2494" s="1"/>
      <c r="I2494" s="2"/>
    </row>
    <row r="2495" spans="5:9" ht="12.5" customHeight="1" x14ac:dyDescent="0.25">
      <c r="E2495" s="1"/>
      <c r="F2495" s="2"/>
      <c r="H2495" s="1"/>
      <c r="I2495" s="2"/>
    </row>
    <row r="2496" spans="5:9" ht="12.5" customHeight="1" x14ac:dyDescent="0.25">
      <c r="E2496" s="1"/>
      <c r="F2496" s="2"/>
      <c r="H2496" s="1"/>
      <c r="I2496" s="2"/>
    </row>
    <row r="2497" spans="5:9" ht="12.5" customHeight="1" x14ac:dyDescent="0.25">
      <c r="E2497" s="1"/>
      <c r="F2497" s="2"/>
      <c r="H2497" s="1"/>
      <c r="I2497" s="2"/>
    </row>
    <row r="2498" spans="5:9" ht="12.5" customHeight="1" x14ac:dyDescent="0.25">
      <c r="E2498" s="1"/>
      <c r="F2498" s="2"/>
      <c r="H2498" s="1"/>
      <c r="I2498" s="2"/>
    </row>
    <row r="2499" spans="5:9" ht="12.5" customHeight="1" x14ac:dyDescent="0.25">
      <c r="E2499" s="1"/>
      <c r="F2499" s="2"/>
      <c r="H2499" s="1"/>
      <c r="I2499" s="2"/>
    </row>
    <row r="2500" spans="5:9" ht="12.5" customHeight="1" x14ac:dyDescent="0.25">
      <c r="E2500" s="1"/>
      <c r="F2500" s="2"/>
      <c r="H2500" s="1"/>
      <c r="I2500" s="2"/>
    </row>
    <row r="2501" spans="5:9" ht="12.5" customHeight="1" x14ac:dyDescent="0.25">
      <c r="E2501" s="1"/>
      <c r="F2501" s="2"/>
      <c r="H2501" s="1"/>
      <c r="I2501" s="2"/>
    </row>
    <row r="2502" spans="5:9" ht="12.5" customHeight="1" x14ac:dyDescent="0.25">
      <c r="E2502" s="1"/>
      <c r="F2502" s="2"/>
      <c r="H2502" s="1"/>
      <c r="I2502" s="2"/>
    </row>
    <row r="2503" spans="5:9" ht="12.5" customHeight="1" x14ac:dyDescent="0.25">
      <c r="E2503" s="1"/>
      <c r="F2503" s="2"/>
      <c r="H2503" s="1"/>
      <c r="I2503" s="2"/>
    </row>
    <row r="2504" spans="5:9" ht="12.5" customHeight="1" x14ac:dyDescent="0.25">
      <c r="E2504" s="1"/>
      <c r="F2504" s="2"/>
      <c r="H2504" s="1"/>
      <c r="I2504" s="2"/>
    </row>
    <row r="2505" spans="5:9" ht="12.5" customHeight="1" x14ac:dyDescent="0.25">
      <c r="E2505" s="1"/>
      <c r="F2505" s="2"/>
      <c r="H2505" s="1"/>
      <c r="I2505" s="2"/>
    </row>
    <row r="2506" spans="5:9" ht="12.5" customHeight="1" x14ac:dyDescent="0.25">
      <c r="E2506" s="1"/>
      <c r="F2506" s="2"/>
      <c r="H2506" s="1"/>
      <c r="I2506" s="2"/>
    </row>
    <row r="2507" spans="5:9" ht="12.5" customHeight="1" x14ac:dyDescent="0.25">
      <c r="E2507" s="1"/>
      <c r="F2507" s="2"/>
      <c r="H2507" s="1"/>
      <c r="I2507" s="2"/>
    </row>
    <row r="2508" spans="5:9" ht="12.5" customHeight="1" x14ac:dyDescent="0.25">
      <c r="E2508" s="1"/>
      <c r="F2508" s="2"/>
      <c r="H2508" s="1"/>
      <c r="I2508" s="2"/>
    </row>
    <row r="2509" spans="5:9" ht="12.5" customHeight="1" x14ac:dyDescent="0.25">
      <c r="E2509" s="1"/>
      <c r="F2509" s="2"/>
      <c r="H2509" s="1"/>
      <c r="I2509" s="2"/>
    </row>
    <row r="2510" spans="5:9" ht="12.5" customHeight="1" x14ac:dyDescent="0.25">
      <c r="E2510" s="1"/>
      <c r="F2510" s="2"/>
      <c r="H2510" s="1"/>
      <c r="I2510" s="2"/>
    </row>
    <row r="2511" spans="5:9" ht="12.5" customHeight="1" x14ac:dyDescent="0.25">
      <c r="E2511" s="1"/>
      <c r="F2511" s="2"/>
      <c r="H2511" s="1"/>
      <c r="I2511" s="2"/>
    </row>
    <row r="2512" spans="5:9" ht="12.5" customHeight="1" x14ac:dyDescent="0.25">
      <c r="E2512" s="1"/>
      <c r="F2512" s="2"/>
      <c r="H2512" s="1"/>
      <c r="I2512" s="2"/>
    </row>
    <row r="2513" spans="5:9" ht="12.5" customHeight="1" x14ac:dyDescent="0.25">
      <c r="E2513" s="1"/>
      <c r="F2513" s="2"/>
      <c r="H2513" s="1"/>
      <c r="I2513" s="2"/>
    </row>
    <row r="2514" spans="5:9" ht="12.5" customHeight="1" x14ac:dyDescent="0.25">
      <c r="E2514" s="1"/>
      <c r="F2514" s="2"/>
      <c r="H2514" s="1"/>
      <c r="I2514" s="2"/>
    </row>
    <row r="2515" spans="5:9" ht="12.5" customHeight="1" x14ac:dyDescent="0.25">
      <c r="E2515" s="1"/>
      <c r="F2515" s="2"/>
      <c r="H2515" s="1"/>
      <c r="I2515" s="2"/>
    </row>
    <row r="2516" spans="5:9" ht="12.5" customHeight="1" x14ac:dyDescent="0.25">
      <c r="E2516" s="1"/>
      <c r="F2516" s="2"/>
      <c r="H2516" s="1"/>
      <c r="I2516" s="2"/>
    </row>
    <row r="2517" spans="5:9" ht="12.5" customHeight="1" x14ac:dyDescent="0.25">
      <c r="E2517" s="1"/>
      <c r="F2517" s="2"/>
      <c r="H2517" s="1"/>
      <c r="I2517" s="2"/>
    </row>
    <row r="2518" spans="5:9" ht="12.5" customHeight="1" x14ac:dyDescent="0.25">
      <c r="E2518" s="1"/>
      <c r="F2518" s="2"/>
      <c r="H2518" s="1"/>
      <c r="I2518" s="2"/>
    </row>
    <row r="2519" spans="5:9" ht="12.5" customHeight="1" x14ac:dyDescent="0.25">
      <c r="E2519" s="1"/>
      <c r="F2519" s="2"/>
      <c r="H2519" s="1"/>
      <c r="I2519" s="2"/>
    </row>
    <row r="2520" spans="5:9" ht="12.5" customHeight="1" x14ac:dyDescent="0.25">
      <c r="E2520" s="1"/>
      <c r="F2520" s="2"/>
      <c r="H2520" s="1"/>
      <c r="I2520" s="2"/>
    </row>
    <row r="2521" spans="5:9" ht="12.5" customHeight="1" x14ac:dyDescent="0.25">
      <c r="E2521" s="1"/>
      <c r="F2521" s="2"/>
      <c r="H2521" s="1"/>
      <c r="I2521" s="2"/>
    </row>
    <row r="2522" spans="5:9" ht="12.5" customHeight="1" x14ac:dyDescent="0.25">
      <c r="E2522" s="1"/>
      <c r="F2522" s="2"/>
      <c r="H2522" s="1"/>
      <c r="I2522" s="2"/>
    </row>
    <row r="2523" spans="5:9" ht="12.5" customHeight="1" x14ac:dyDescent="0.25">
      <c r="E2523" s="1"/>
      <c r="F2523" s="2"/>
      <c r="H2523" s="1"/>
      <c r="I2523" s="2"/>
    </row>
    <row r="2524" spans="5:9" ht="12.5" customHeight="1" x14ac:dyDescent="0.25">
      <c r="E2524" s="1"/>
      <c r="F2524" s="2"/>
      <c r="H2524" s="1"/>
      <c r="I2524" s="2"/>
    </row>
    <row r="2525" spans="5:9" ht="12.5" customHeight="1" x14ac:dyDescent="0.25">
      <c r="E2525" s="1"/>
      <c r="F2525" s="2"/>
      <c r="H2525" s="1"/>
      <c r="I2525" s="2"/>
    </row>
    <row r="2526" spans="5:9" ht="12.5" customHeight="1" x14ac:dyDescent="0.25">
      <c r="E2526" s="1"/>
      <c r="F2526" s="2"/>
      <c r="H2526" s="1"/>
      <c r="I2526" s="2"/>
    </row>
    <row r="2527" spans="5:9" ht="12.5" customHeight="1" x14ac:dyDescent="0.25">
      <c r="E2527" s="1"/>
      <c r="F2527" s="2"/>
      <c r="H2527" s="1"/>
      <c r="I2527" s="2"/>
    </row>
    <row r="2528" spans="5:9" ht="12.5" customHeight="1" x14ac:dyDescent="0.25">
      <c r="E2528" s="1"/>
      <c r="F2528" s="2"/>
      <c r="H2528" s="1"/>
      <c r="I2528" s="2"/>
    </row>
    <row r="2529" spans="5:9" ht="12.5" customHeight="1" x14ac:dyDescent="0.25">
      <c r="E2529" s="1"/>
      <c r="F2529" s="2"/>
      <c r="H2529" s="1"/>
      <c r="I2529" s="2"/>
    </row>
    <row r="2530" spans="5:9" ht="12.5" customHeight="1" x14ac:dyDescent="0.25">
      <c r="E2530" s="1"/>
      <c r="F2530" s="2"/>
      <c r="H2530" s="1"/>
      <c r="I2530" s="2"/>
    </row>
    <row r="2531" spans="5:9" ht="12.5" customHeight="1" x14ac:dyDescent="0.25">
      <c r="E2531" s="1"/>
      <c r="F2531" s="2"/>
      <c r="H2531" s="1"/>
      <c r="I2531" s="2"/>
    </row>
    <row r="2532" spans="5:9" ht="12.5" customHeight="1" x14ac:dyDescent="0.25">
      <c r="E2532" s="1"/>
      <c r="F2532" s="2"/>
      <c r="H2532" s="1"/>
      <c r="I2532" s="2"/>
    </row>
    <row r="2533" spans="5:9" ht="12.5" customHeight="1" x14ac:dyDescent="0.25">
      <c r="E2533" s="1"/>
      <c r="F2533" s="2"/>
      <c r="H2533" s="1"/>
      <c r="I2533" s="2"/>
    </row>
    <row r="2534" spans="5:9" ht="12.5" customHeight="1" x14ac:dyDescent="0.25">
      <c r="E2534" s="1"/>
      <c r="F2534" s="2"/>
      <c r="H2534" s="1"/>
      <c r="I2534" s="2"/>
    </row>
    <row r="2535" spans="5:9" ht="12.5" customHeight="1" x14ac:dyDescent="0.25">
      <c r="E2535" s="1"/>
      <c r="F2535" s="2"/>
      <c r="H2535" s="1"/>
      <c r="I2535" s="2"/>
    </row>
    <row r="2536" spans="5:9" ht="12.5" customHeight="1" x14ac:dyDescent="0.25">
      <c r="E2536" s="1"/>
      <c r="F2536" s="2"/>
      <c r="H2536" s="1"/>
      <c r="I2536" s="2"/>
    </row>
    <row r="2537" spans="5:9" ht="12.5" customHeight="1" x14ac:dyDescent="0.25">
      <c r="E2537" s="1"/>
      <c r="F2537" s="2"/>
      <c r="H2537" s="1"/>
      <c r="I2537" s="2"/>
    </row>
    <row r="2538" spans="5:9" ht="12.5" customHeight="1" x14ac:dyDescent="0.25">
      <c r="E2538" s="1"/>
      <c r="F2538" s="2"/>
      <c r="H2538" s="1"/>
      <c r="I2538" s="2"/>
    </row>
    <row r="2539" spans="5:9" ht="12.5" customHeight="1" x14ac:dyDescent="0.25">
      <c r="E2539" s="1"/>
      <c r="F2539" s="2"/>
      <c r="H2539" s="1"/>
      <c r="I2539" s="2"/>
    </row>
    <row r="2540" spans="5:9" ht="12.5" customHeight="1" x14ac:dyDescent="0.25">
      <c r="E2540" s="1"/>
      <c r="F2540" s="2"/>
      <c r="H2540" s="1"/>
      <c r="I2540" s="2"/>
    </row>
    <row r="2541" spans="5:9" ht="12.5" customHeight="1" x14ac:dyDescent="0.25">
      <c r="E2541" s="1"/>
      <c r="F2541" s="2"/>
      <c r="H2541" s="1"/>
      <c r="I2541" s="2"/>
    </row>
    <row r="2542" spans="5:9" ht="12.5" customHeight="1" x14ac:dyDescent="0.25">
      <c r="E2542" s="1"/>
      <c r="F2542" s="2"/>
      <c r="H2542" s="1"/>
      <c r="I2542" s="2"/>
    </row>
    <row r="2543" spans="5:9" ht="12.5" customHeight="1" x14ac:dyDescent="0.25">
      <c r="E2543" s="1"/>
      <c r="F2543" s="2"/>
      <c r="H2543" s="1"/>
      <c r="I2543" s="2"/>
    </row>
    <row r="2544" spans="5:9" ht="12.5" customHeight="1" x14ac:dyDescent="0.25">
      <c r="E2544" s="1"/>
      <c r="F2544" s="2"/>
      <c r="H2544" s="1"/>
      <c r="I2544" s="2"/>
    </row>
    <row r="2545" spans="5:9" ht="12.5" customHeight="1" x14ac:dyDescent="0.25">
      <c r="E2545" s="1"/>
      <c r="F2545" s="2"/>
      <c r="H2545" s="1"/>
      <c r="I2545" s="2"/>
    </row>
    <row r="2546" spans="5:9" ht="12.5" customHeight="1" x14ac:dyDescent="0.25">
      <c r="E2546" s="1"/>
      <c r="F2546" s="2"/>
      <c r="H2546" s="1"/>
      <c r="I2546" s="2"/>
    </row>
    <row r="2547" spans="5:9" ht="12.5" customHeight="1" x14ac:dyDescent="0.25">
      <c r="E2547" s="1"/>
      <c r="F2547" s="2"/>
      <c r="H2547" s="1"/>
      <c r="I2547" s="2"/>
    </row>
    <row r="2548" spans="5:9" ht="12.5" customHeight="1" x14ac:dyDescent="0.25">
      <c r="E2548" s="1"/>
      <c r="F2548" s="2"/>
      <c r="H2548" s="1"/>
      <c r="I2548" s="2"/>
    </row>
    <row r="2549" spans="5:9" ht="12.5" customHeight="1" x14ac:dyDescent="0.25">
      <c r="E2549" s="1"/>
      <c r="F2549" s="2"/>
      <c r="H2549" s="1"/>
      <c r="I2549" s="2"/>
    </row>
    <row r="2550" spans="5:9" ht="12.5" customHeight="1" x14ac:dyDescent="0.25">
      <c r="E2550" s="1"/>
      <c r="F2550" s="2"/>
      <c r="H2550" s="1"/>
      <c r="I2550" s="2"/>
    </row>
    <row r="2551" spans="5:9" ht="12.5" customHeight="1" x14ac:dyDescent="0.25">
      <c r="E2551" s="1"/>
      <c r="F2551" s="2"/>
      <c r="H2551" s="1"/>
      <c r="I2551" s="2"/>
    </row>
    <row r="2552" spans="5:9" ht="12.5" customHeight="1" x14ac:dyDescent="0.25">
      <c r="E2552" s="1"/>
      <c r="F2552" s="2"/>
      <c r="H2552" s="1"/>
      <c r="I2552" s="2"/>
    </row>
    <row r="2553" spans="5:9" ht="12.5" customHeight="1" x14ac:dyDescent="0.25">
      <c r="E2553" s="1"/>
      <c r="F2553" s="2"/>
      <c r="H2553" s="1"/>
      <c r="I2553" s="2"/>
    </row>
    <row r="2554" spans="5:9" ht="12.5" customHeight="1" x14ac:dyDescent="0.25">
      <c r="E2554" s="1"/>
      <c r="F2554" s="2"/>
      <c r="H2554" s="1"/>
      <c r="I2554" s="2"/>
    </row>
    <row r="2555" spans="5:9" ht="12.5" customHeight="1" x14ac:dyDescent="0.25">
      <c r="E2555" s="1"/>
      <c r="F2555" s="2"/>
      <c r="H2555" s="1"/>
      <c r="I2555" s="2"/>
    </row>
    <row r="2556" spans="5:9" ht="12.5" customHeight="1" x14ac:dyDescent="0.25">
      <c r="E2556" s="1"/>
      <c r="F2556" s="2"/>
      <c r="H2556" s="1"/>
      <c r="I2556" s="2"/>
    </row>
    <row r="2557" spans="5:9" ht="12.5" customHeight="1" x14ac:dyDescent="0.25">
      <c r="E2557" s="1"/>
      <c r="F2557" s="2"/>
      <c r="H2557" s="1"/>
      <c r="I2557" s="2"/>
    </row>
    <row r="2558" spans="5:9" ht="12.5" customHeight="1" x14ac:dyDescent="0.25">
      <c r="E2558" s="1"/>
      <c r="F2558" s="2"/>
      <c r="H2558" s="1"/>
      <c r="I2558" s="2"/>
    </row>
    <row r="2559" spans="5:9" ht="12.5" customHeight="1" x14ac:dyDescent="0.25">
      <c r="E2559" s="1"/>
      <c r="F2559" s="2"/>
      <c r="H2559" s="1"/>
      <c r="I2559" s="2"/>
    </row>
    <row r="2560" spans="5:9" ht="12.5" customHeight="1" x14ac:dyDescent="0.25">
      <c r="E2560" s="1"/>
      <c r="F2560" s="2"/>
      <c r="H2560" s="1"/>
      <c r="I2560" s="2"/>
    </row>
    <row r="2561" spans="5:9" ht="12.5" customHeight="1" x14ac:dyDescent="0.25">
      <c r="E2561" s="1"/>
      <c r="F2561" s="2"/>
      <c r="H2561" s="1"/>
      <c r="I2561" s="2"/>
    </row>
    <row r="2562" spans="5:9" ht="12.5" customHeight="1" x14ac:dyDescent="0.25">
      <c r="E2562" s="1"/>
      <c r="F2562" s="2"/>
      <c r="H2562" s="1"/>
      <c r="I2562" s="2"/>
    </row>
    <row r="2563" spans="5:9" ht="12.5" customHeight="1" x14ac:dyDescent="0.25">
      <c r="E2563" s="1"/>
      <c r="F2563" s="2"/>
      <c r="H2563" s="1"/>
      <c r="I2563" s="2"/>
    </row>
    <row r="2564" spans="5:9" ht="12.5" customHeight="1" x14ac:dyDescent="0.25">
      <c r="E2564" s="1"/>
      <c r="F2564" s="2"/>
      <c r="H2564" s="1"/>
      <c r="I2564" s="2"/>
    </row>
    <row r="2565" spans="5:9" ht="12.5" customHeight="1" x14ac:dyDescent="0.25">
      <c r="E2565" s="1"/>
      <c r="F2565" s="2"/>
      <c r="H2565" s="1"/>
      <c r="I2565" s="2"/>
    </row>
    <row r="2566" spans="5:9" ht="12.5" customHeight="1" x14ac:dyDescent="0.25">
      <c r="E2566" s="1"/>
      <c r="F2566" s="2"/>
      <c r="H2566" s="1"/>
      <c r="I2566" s="2"/>
    </row>
    <row r="2567" spans="5:9" ht="12.5" customHeight="1" x14ac:dyDescent="0.25">
      <c r="E2567" s="1"/>
      <c r="F2567" s="2"/>
      <c r="H2567" s="1"/>
      <c r="I2567" s="2"/>
    </row>
    <row r="2568" spans="5:9" ht="12.5" customHeight="1" x14ac:dyDescent="0.25">
      <c r="E2568" s="1"/>
      <c r="F2568" s="2"/>
      <c r="H2568" s="1"/>
      <c r="I2568" s="2"/>
    </row>
    <row r="2569" spans="5:9" ht="12.5" customHeight="1" x14ac:dyDescent="0.25">
      <c r="E2569" s="1"/>
      <c r="F2569" s="2"/>
      <c r="H2569" s="1"/>
      <c r="I2569" s="2"/>
    </row>
    <row r="2570" spans="5:9" ht="12.5" customHeight="1" x14ac:dyDescent="0.25">
      <c r="E2570" s="1"/>
      <c r="F2570" s="2"/>
      <c r="H2570" s="1"/>
      <c r="I2570" s="2"/>
    </row>
    <row r="2571" spans="5:9" ht="12.5" customHeight="1" x14ac:dyDescent="0.25">
      <c r="E2571" s="1"/>
      <c r="F2571" s="2"/>
      <c r="H2571" s="1"/>
      <c r="I2571" s="2"/>
    </row>
    <row r="2572" spans="5:9" ht="12.5" customHeight="1" x14ac:dyDescent="0.25">
      <c r="E2572" s="1"/>
      <c r="F2572" s="2"/>
      <c r="H2572" s="1"/>
      <c r="I2572" s="2"/>
    </row>
    <row r="2573" spans="5:9" ht="12.5" customHeight="1" x14ac:dyDescent="0.25">
      <c r="E2573" s="1"/>
      <c r="F2573" s="2"/>
      <c r="H2573" s="1"/>
      <c r="I2573" s="2"/>
    </row>
    <row r="2574" spans="5:9" ht="12.5" customHeight="1" x14ac:dyDescent="0.25">
      <c r="E2574" s="1"/>
      <c r="F2574" s="2"/>
      <c r="H2574" s="1"/>
      <c r="I2574" s="2"/>
    </row>
    <row r="2575" spans="5:9" ht="12.5" customHeight="1" x14ac:dyDescent="0.25">
      <c r="E2575" s="1"/>
      <c r="F2575" s="2"/>
      <c r="H2575" s="1"/>
      <c r="I2575" s="2"/>
    </row>
    <row r="2576" spans="5:9" ht="12.5" customHeight="1" x14ac:dyDescent="0.25">
      <c r="E2576" s="1"/>
      <c r="F2576" s="2"/>
      <c r="H2576" s="1"/>
      <c r="I2576" s="2"/>
    </row>
    <row r="2577" spans="5:9" ht="12.5" customHeight="1" x14ac:dyDescent="0.25">
      <c r="E2577" s="1"/>
      <c r="F2577" s="2"/>
      <c r="H2577" s="1"/>
      <c r="I2577" s="2"/>
    </row>
    <row r="2578" spans="5:9" ht="12.5" customHeight="1" x14ac:dyDescent="0.25">
      <c r="E2578" s="1"/>
      <c r="F2578" s="2"/>
      <c r="H2578" s="1"/>
      <c r="I2578" s="2"/>
    </row>
    <row r="2579" spans="5:9" ht="12.5" customHeight="1" x14ac:dyDescent="0.25">
      <c r="E2579" s="1"/>
      <c r="F2579" s="2"/>
      <c r="H2579" s="1"/>
      <c r="I2579" s="2"/>
    </row>
    <row r="2580" spans="5:9" ht="12.5" customHeight="1" x14ac:dyDescent="0.25">
      <c r="E2580" s="1"/>
      <c r="F2580" s="2"/>
      <c r="H2580" s="1"/>
      <c r="I2580" s="2"/>
    </row>
    <row r="2581" spans="5:9" ht="12.5" customHeight="1" x14ac:dyDescent="0.25">
      <c r="E2581" s="1"/>
      <c r="F2581" s="2"/>
      <c r="H2581" s="1"/>
      <c r="I2581" s="2"/>
    </row>
    <row r="2582" spans="5:9" ht="12.5" customHeight="1" x14ac:dyDescent="0.25">
      <c r="E2582" s="1"/>
      <c r="F2582" s="2"/>
      <c r="H2582" s="1"/>
      <c r="I2582" s="2"/>
    </row>
    <row r="2583" spans="5:9" ht="12.5" customHeight="1" x14ac:dyDescent="0.25">
      <c r="E2583" s="1"/>
      <c r="F2583" s="2"/>
      <c r="H2583" s="1"/>
      <c r="I2583" s="2"/>
    </row>
    <row r="2584" spans="5:9" ht="12.5" customHeight="1" x14ac:dyDescent="0.25">
      <c r="E2584" s="1"/>
      <c r="F2584" s="2"/>
      <c r="H2584" s="1"/>
      <c r="I2584" s="2"/>
    </row>
    <row r="2585" spans="5:9" ht="12.5" customHeight="1" x14ac:dyDescent="0.25">
      <c r="E2585" s="1"/>
      <c r="F2585" s="2"/>
      <c r="H2585" s="1"/>
      <c r="I2585" s="2"/>
    </row>
    <row r="2586" spans="5:9" ht="12.5" customHeight="1" x14ac:dyDescent="0.25">
      <c r="E2586" s="1"/>
      <c r="F2586" s="2"/>
      <c r="H2586" s="1"/>
      <c r="I2586" s="2"/>
    </row>
    <row r="2587" spans="5:9" ht="12.5" customHeight="1" x14ac:dyDescent="0.25">
      <c r="E2587" s="1"/>
      <c r="F2587" s="2"/>
      <c r="H2587" s="1"/>
      <c r="I2587" s="2"/>
    </row>
    <row r="2588" spans="5:9" ht="12.5" customHeight="1" x14ac:dyDescent="0.25">
      <c r="E2588" s="1"/>
      <c r="F2588" s="2"/>
      <c r="H2588" s="1"/>
      <c r="I2588" s="2"/>
    </row>
    <row r="2589" spans="5:9" ht="12.5" customHeight="1" x14ac:dyDescent="0.25">
      <c r="E2589" s="1"/>
      <c r="F2589" s="2"/>
      <c r="H2589" s="1"/>
      <c r="I2589" s="2"/>
    </row>
    <row r="2590" spans="5:9" ht="12.5" customHeight="1" x14ac:dyDescent="0.25">
      <c r="E2590" s="1"/>
      <c r="F2590" s="2"/>
      <c r="H2590" s="1"/>
      <c r="I2590" s="2"/>
    </row>
    <row r="2591" spans="5:9" ht="12.5" customHeight="1" x14ac:dyDescent="0.25">
      <c r="E2591" s="1"/>
      <c r="F2591" s="2"/>
      <c r="H2591" s="1"/>
      <c r="I2591" s="2"/>
    </row>
    <row r="2592" spans="5:9" ht="12.5" customHeight="1" x14ac:dyDescent="0.25">
      <c r="E2592" s="1"/>
      <c r="F2592" s="2"/>
      <c r="H2592" s="1"/>
      <c r="I2592" s="2"/>
    </row>
    <row r="2593" spans="5:9" ht="12.5" customHeight="1" x14ac:dyDescent="0.25">
      <c r="E2593" s="1"/>
      <c r="F2593" s="2"/>
      <c r="H2593" s="1"/>
      <c r="I2593" s="2"/>
    </row>
    <row r="2594" spans="5:9" ht="12.5" customHeight="1" x14ac:dyDescent="0.25">
      <c r="E2594" s="1"/>
      <c r="F2594" s="2"/>
      <c r="H2594" s="1"/>
      <c r="I2594" s="2"/>
    </row>
    <row r="2595" spans="5:9" ht="12.5" customHeight="1" x14ac:dyDescent="0.25">
      <c r="E2595" s="1"/>
      <c r="F2595" s="2"/>
      <c r="H2595" s="1"/>
      <c r="I2595" s="2"/>
    </row>
    <row r="2596" spans="5:9" ht="12.5" customHeight="1" x14ac:dyDescent="0.25">
      <c r="E2596" s="1"/>
      <c r="F2596" s="2"/>
      <c r="H2596" s="1"/>
      <c r="I2596" s="2"/>
    </row>
    <row r="2597" spans="5:9" ht="12.5" customHeight="1" x14ac:dyDescent="0.25">
      <c r="E2597" s="1"/>
      <c r="F2597" s="2"/>
      <c r="H2597" s="1"/>
      <c r="I2597" s="2"/>
    </row>
    <row r="2598" spans="5:9" ht="12.5" customHeight="1" x14ac:dyDescent="0.25">
      <c r="E2598" s="1"/>
      <c r="F2598" s="2"/>
      <c r="H2598" s="1"/>
      <c r="I2598" s="2"/>
    </row>
    <row r="2599" spans="5:9" ht="12.5" customHeight="1" x14ac:dyDescent="0.25">
      <c r="E2599" s="1"/>
      <c r="F2599" s="2"/>
      <c r="H2599" s="1"/>
      <c r="I2599" s="2"/>
    </row>
    <row r="2600" spans="5:9" ht="12.5" customHeight="1" x14ac:dyDescent="0.25">
      <c r="E2600" s="1"/>
      <c r="F2600" s="2"/>
      <c r="H2600" s="1"/>
      <c r="I2600" s="2"/>
    </row>
    <row r="2601" spans="5:9" ht="12.5" customHeight="1" x14ac:dyDescent="0.25">
      <c r="E2601" s="1"/>
      <c r="F2601" s="2"/>
      <c r="H2601" s="1"/>
      <c r="I2601" s="2"/>
    </row>
    <row r="2602" spans="5:9" ht="12.5" customHeight="1" x14ac:dyDescent="0.25">
      <c r="E2602" s="1"/>
      <c r="F2602" s="2"/>
      <c r="H2602" s="1"/>
      <c r="I2602" s="2"/>
    </row>
    <row r="2603" spans="5:9" ht="12.5" customHeight="1" x14ac:dyDescent="0.25">
      <c r="E2603" s="1"/>
      <c r="F2603" s="2"/>
      <c r="H2603" s="1"/>
      <c r="I2603" s="2"/>
    </row>
    <row r="2604" spans="5:9" ht="12.5" customHeight="1" x14ac:dyDescent="0.25">
      <c r="E2604" s="1"/>
      <c r="F2604" s="2"/>
      <c r="H2604" s="1"/>
      <c r="I2604" s="2"/>
    </row>
    <row r="2605" spans="5:9" ht="12.5" customHeight="1" x14ac:dyDescent="0.25">
      <c r="E2605" s="1"/>
      <c r="F2605" s="2"/>
      <c r="H2605" s="1"/>
      <c r="I2605" s="2"/>
    </row>
    <row r="2606" spans="5:9" ht="12.5" customHeight="1" x14ac:dyDescent="0.25">
      <c r="E2606" s="1"/>
      <c r="F2606" s="2"/>
      <c r="H2606" s="1"/>
      <c r="I2606" s="2"/>
    </row>
    <row r="2607" spans="5:9" ht="12.5" customHeight="1" x14ac:dyDescent="0.25">
      <c r="E2607" s="1"/>
      <c r="F2607" s="2"/>
      <c r="H2607" s="1"/>
      <c r="I2607" s="2"/>
    </row>
    <row r="2608" spans="5:9" ht="12.5" customHeight="1" x14ac:dyDescent="0.25">
      <c r="E2608" s="1"/>
      <c r="F2608" s="2"/>
      <c r="H2608" s="1"/>
      <c r="I2608" s="2"/>
    </row>
    <row r="2609" spans="5:9" ht="12.5" customHeight="1" x14ac:dyDescent="0.25">
      <c r="E2609" s="1"/>
      <c r="F2609" s="2"/>
      <c r="H2609" s="1"/>
      <c r="I2609" s="2"/>
    </row>
    <row r="2610" spans="5:9" ht="12.5" customHeight="1" x14ac:dyDescent="0.25">
      <c r="E2610" s="1"/>
      <c r="F2610" s="2"/>
      <c r="H2610" s="1"/>
      <c r="I2610" s="2"/>
    </row>
    <row r="2611" spans="5:9" ht="12.5" customHeight="1" x14ac:dyDescent="0.25">
      <c r="E2611" s="1"/>
      <c r="F2611" s="2"/>
      <c r="H2611" s="1"/>
      <c r="I2611" s="2"/>
    </row>
    <row r="2612" spans="5:9" ht="12.5" customHeight="1" x14ac:dyDescent="0.25">
      <c r="E2612" s="1"/>
      <c r="F2612" s="2"/>
      <c r="H2612" s="1"/>
      <c r="I2612" s="2"/>
    </row>
    <row r="2613" spans="5:9" ht="12.5" customHeight="1" x14ac:dyDescent="0.25">
      <c r="E2613" s="1"/>
      <c r="F2613" s="2"/>
      <c r="H2613" s="1"/>
      <c r="I2613" s="2"/>
    </row>
    <row r="2614" spans="5:9" ht="12.5" customHeight="1" x14ac:dyDescent="0.25">
      <c r="E2614" s="1"/>
      <c r="F2614" s="2"/>
      <c r="H2614" s="1"/>
      <c r="I2614" s="2"/>
    </row>
    <row r="2615" spans="5:9" ht="12.5" customHeight="1" x14ac:dyDescent="0.25">
      <c r="E2615" s="1"/>
      <c r="F2615" s="2"/>
      <c r="H2615" s="1"/>
      <c r="I2615" s="2"/>
    </row>
    <row r="2616" spans="5:9" ht="12.5" customHeight="1" x14ac:dyDescent="0.25">
      <c r="E2616" s="1"/>
      <c r="F2616" s="2"/>
      <c r="H2616" s="1"/>
      <c r="I2616" s="2"/>
    </row>
    <row r="2617" spans="5:9" ht="12.5" customHeight="1" x14ac:dyDescent="0.25">
      <c r="E2617" s="1"/>
      <c r="F2617" s="2"/>
      <c r="H2617" s="1"/>
      <c r="I2617" s="2"/>
    </row>
    <row r="2618" spans="5:9" ht="12.5" customHeight="1" x14ac:dyDescent="0.25">
      <c r="E2618" s="1"/>
      <c r="F2618" s="2"/>
      <c r="H2618" s="1"/>
      <c r="I2618" s="2"/>
    </row>
    <row r="2619" spans="5:9" ht="12.5" customHeight="1" x14ac:dyDescent="0.25">
      <c r="E2619" s="1"/>
      <c r="F2619" s="2"/>
      <c r="H2619" s="1"/>
      <c r="I2619" s="2"/>
    </row>
    <row r="2620" spans="5:9" ht="12.5" customHeight="1" x14ac:dyDescent="0.25">
      <c r="E2620" s="1"/>
      <c r="F2620" s="2"/>
      <c r="H2620" s="1"/>
      <c r="I2620" s="2"/>
    </row>
    <row r="2621" spans="5:9" ht="12.5" customHeight="1" x14ac:dyDescent="0.25">
      <c r="E2621" s="1"/>
      <c r="F2621" s="2"/>
      <c r="H2621" s="1"/>
      <c r="I2621" s="2"/>
    </row>
    <row r="2622" spans="5:9" ht="12.5" customHeight="1" x14ac:dyDescent="0.25">
      <c r="E2622" s="1"/>
      <c r="F2622" s="2"/>
      <c r="H2622" s="1"/>
      <c r="I2622" s="2"/>
    </row>
    <row r="2623" spans="5:9" ht="12.5" customHeight="1" x14ac:dyDescent="0.25">
      <c r="E2623" s="1"/>
      <c r="F2623" s="2"/>
      <c r="H2623" s="1"/>
      <c r="I2623" s="2"/>
    </row>
    <row r="2624" spans="5:9" ht="12.5" customHeight="1" x14ac:dyDescent="0.25">
      <c r="E2624" s="1"/>
      <c r="F2624" s="2"/>
      <c r="H2624" s="1"/>
      <c r="I2624" s="2"/>
    </row>
    <row r="2625" spans="5:9" ht="12.5" customHeight="1" x14ac:dyDescent="0.25">
      <c r="E2625" s="1"/>
      <c r="F2625" s="2"/>
      <c r="H2625" s="1"/>
      <c r="I2625" s="2"/>
    </row>
    <row r="2626" spans="5:9" ht="12.5" customHeight="1" x14ac:dyDescent="0.25">
      <c r="E2626" s="1"/>
      <c r="F2626" s="2"/>
      <c r="H2626" s="1"/>
      <c r="I2626" s="2"/>
    </row>
    <row r="2627" spans="5:9" ht="12.5" customHeight="1" x14ac:dyDescent="0.25">
      <c r="E2627" s="1"/>
      <c r="F2627" s="2"/>
      <c r="H2627" s="1"/>
      <c r="I2627" s="2"/>
    </row>
    <row r="2628" spans="5:9" ht="12.5" customHeight="1" x14ac:dyDescent="0.25">
      <c r="E2628" s="1"/>
      <c r="F2628" s="2"/>
      <c r="H2628" s="1"/>
      <c r="I2628" s="2"/>
    </row>
    <row r="2629" spans="5:9" ht="12.5" customHeight="1" x14ac:dyDescent="0.25">
      <c r="E2629" s="1"/>
      <c r="F2629" s="2"/>
      <c r="H2629" s="1"/>
      <c r="I2629" s="2"/>
    </row>
    <row r="2630" spans="5:9" ht="12.5" customHeight="1" x14ac:dyDescent="0.25">
      <c r="E2630" s="1"/>
      <c r="F2630" s="2"/>
      <c r="H2630" s="1"/>
      <c r="I2630" s="2"/>
    </row>
    <row r="2631" spans="5:9" ht="12.5" customHeight="1" x14ac:dyDescent="0.25">
      <c r="E2631" s="1"/>
      <c r="F2631" s="2"/>
      <c r="H2631" s="1"/>
      <c r="I2631" s="2"/>
    </row>
    <row r="2632" spans="5:9" ht="12.5" customHeight="1" x14ac:dyDescent="0.25">
      <c r="E2632" s="1"/>
      <c r="F2632" s="2"/>
      <c r="H2632" s="1"/>
      <c r="I2632" s="2"/>
    </row>
    <row r="2633" spans="5:9" ht="12.5" customHeight="1" x14ac:dyDescent="0.25">
      <c r="E2633" s="1"/>
      <c r="F2633" s="2"/>
      <c r="H2633" s="1"/>
      <c r="I2633" s="2"/>
    </row>
    <row r="2634" spans="5:9" ht="12.5" customHeight="1" x14ac:dyDescent="0.25">
      <c r="E2634" s="1"/>
      <c r="F2634" s="2"/>
      <c r="H2634" s="1"/>
      <c r="I2634" s="2"/>
    </row>
    <row r="2635" spans="5:9" ht="12.5" customHeight="1" x14ac:dyDescent="0.25">
      <c r="E2635" s="1"/>
      <c r="F2635" s="2"/>
      <c r="H2635" s="1"/>
      <c r="I2635" s="2"/>
    </row>
    <row r="2636" spans="5:9" ht="12.5" customHeight="1" x14ac:dyDescent="0.25">
      <c r="E2636" s="1"/>
      <c r="F2636" s="2"/>
      <c r="H2636" s="1"/>
      <c r="I2636" s="2"/>
    </row>
    <row r="2637" spans="5:9" ht="12.5" customHeight="1" x14ac:dyDescent="0.25">
      <c r="E2637" s="1"/>
      <c r="F2637" s="2"/>
      <c r="H2637" s="1"/>
      <c r="I2637" s="2"/>
    </row>
    <row r="2638" spans="5:9" ht="12.5" customHeight="1" x14ac:dyDescent="0.25">
      <c r="E2638" s="1"/>
      <c r="F2638" s="2"/>
      <c r="H2638" s="1"/>
      <c r="I2638" s="2"/>
    </row>
    <row r="2639" spans="5:9" ht="12.5" customHeight="1" x14ac:dyDescent="0.25">
      <c r="E2639" s="1"/>
      <c r="F2639" s="2"/>
      <c r="H2639" s="1"/>
      <c r="I2639" s="2"/>
    </row>
    <row r="2640" spans="5:9" ht="12.5" customHeight="1" x14ac:dyDescent="0.25">
      <c r="E2640" s="1"/>
      <c r="F2640" s="2"/>
      <c r="H2640" s="1"/>
      <c r="I2640" s="2"/>
    </row>
    <row r="2641" spans="5:9" ht="12.5" customHeight="1" x14ac:dyDescent="0.25">
      <c r="E2641" s="1"/>
      <c r="F2641" s="2"/>
      <c r="H2641" s="1"/>
      <c r="I2641" s="2"/>
    </row>
    <row r="2642" spans="5:9" ht="12.5" customHeight="1" x14ac:dyDescent="0.25">
      <c r="E2642" s="1"/>
      <c r="F2642" s="2"/>
      <c r="H2642" s="1"/>
      <c r="I2642" s="2"/>
    </row>
    <row r="2643" spans="5:9" ht="12.5" customHeight="1" x14ac:dyDescent="0.25">
      <c r="E2643" s="1"/>
      <c r="F2643" s="2"/>
      <c r="H2643" s="1"/>
      <c r="I2643" s="2"/>
    </row>
    <row r="2644" spans="5:9" ht="12.5" customHeight="1" x14ac:dyDescent="0.25">
      <c r="E2644" s="1"/>
      <c r="F2644" s="2"/>
      <c r="H2644" s="1"/>
      <c r="I2644" s="2"/>
    </row>
    <row r="2645" spans="5:9" ht="12.5" customHeight="1" x14ac:dyDescent="0.25">
      <c r="E2645" s="1"/>
      <c r="F2645" s="2"/>
      <c r="H2645" s="1"/>
      <c r="I2645" s="2"/>
    </row>
    <row r="2646" spans="5:9" ht="12.5" customHeight="1" x14ac:dyDescent="0.25">
      <c r="E2646" s="1"/>
      <c r="F2646" s="2"/>
      <c r="H2646" s="1"/>
      <c r="I2646" s="2"/>
    </row>
    <row r="2647" spans="5:9" ht="12.5" customHeight="1" x14ac:dyDescent="0.25">
      <c r="E2647" s="1"/>
      <c r="F2647" s="2"/>
      <c r="H2647" s="1"/>
      <c r="I2647" s="2"/>
    </row>
    <row r="2648" spans="5:9" ht="12.5" customHeight="1" x14ac:dyDescent="0.25">
      <c r="E2648" s="1"/>
      <c r="F2648" s="2"/>
      <c r="H2648" s="1"/>
      <c r="I2648" s="2"/>
    </row>
    <row r="2649" spans="5:9" ht="12.5" customHeight="1" x14ac:dyDescent="0.25">
      <c r="E2649" s="1"/>
      <c r="F2649" s="2"/>
      <c r="H2649" s="1"/>
      <c r="I2649" s="2"/>
    </row>
    <row r="2650" spans="5:9" ht="12.5" customHeight="1" x14ac:dyDescent="0.25">
      <c r="E2650" s="1"/>
      <c r="F2650" s="2"/>
      <c r="H2650" s="1"/>
      <c r="I2650" s="2"/>
    </row>
    <row r="2651" spans="5:9" ht="12.5" customHeight="1" x14ac:dyDescent="0.25">
      <c r="E2651" s="1"/>
      <c r="F2651" s="2"/>
      <c r="H2651" s="1"/>
      <c r="I2651" s="2"/>
    </row>
    <row r="2652" spans="5:9" ht="12.5" customHeight="1" x14ac:dyDescent="0.25">
      <c r="E2652" s="1"/>
      <c r="F2652" s="2"/>
      <c r="H2652" s="1"/>
      <c r="I2652" s="2"/>
    </row>
    <row r="2653" spans="5:9" ht="12.5" customHeight="1" x14ac:dyDescent="0.25">
      <c r="E2653" s="1"/>
      <c r="F2653" s="2"/>
      <c r="H2653" s="1"/>
      <c r="I2653" s="2"/>
    </row>
    <row r="2654" spans="5:9" ht="12.5" customHeight="1" x14ac:dyDescent="0.25">
      <c r="E2654" s="1"/>
      <c r="F2654" s="2"/>
      <c r="H2654" s="1"/>
      <c r="I2654" s="2"/>
    </row>
    <row r="2655" spans="5:9" ht="12.5" customHeight="1" x14ac:dyDescent="0.25">
      <c r="E2655" s="1"/>
      <c r="F2655" s="2"/>
      <c r="H2655" s="1"/>
      <c r="I2655" s="2"/>
    </row>
    <row r="2656" spans="5:9" ht="12.5" customHeight="1" x14ac:dyDescent="0.25">
      <c r="E2656" s="1"/>
      <c r="F2656" s="2"/>
      <c r="H2656" s="1"/>
      <c r="I2656" s="2"/>
    </row>
    <row r="2657" spans="5:9" ht="12.5" customHeight="1" x14ac:dyDescent="0.25">
      <c r="E2657" s="1"/>
      <c r="F2657" s="2"/>
      <c r="H2657" s="1"/>
      <c r="I2657" s="2"/>
    </row>
    <row r="2658" spans="5:9" ht="12.5" customHeight="1" x14ac:dyDescent="0.25">
      <c r="E2658" s="1"/>
      <c r="F2658" s="2"/>
      <c r="H2658" s="1"/>
      <c r="I2658" s="2"/>
    </row>
    <row r="2659" spans="5:9" ht="12.5" customHeight="1" x14ac:dyDescent="0.25">
      <c r="E2659" s="1"/>
      <c r="F2659" s="2"/>
      <c r="H2659" s="1"/>
      <c r="I2659" s="2"/>
    </row>
    <row r="2660" spans="5:9" ht="12.5" customHeight="1" x14ac:dyDescent="0.25">
      <c r="E2660" s="1"/>
      <c r="F2660" s="2"/>
      <c r="H2660" s="1"/>
      <c r="I2660" s="2"/>
    </row>
    <row r="2661" spans="5:9" ht="12.5" customHeight="1" x14ac:dyDescent="0.25">
      <c r="E2661" s="1"/>
      <c r="F2661" s="2"/>
      <c r="H2661" s="1"/>
      <c r="I2661" s="2"/>
    </row>
    <row r="2662" spans="5:9" ht="12.5" customHeight="1" x14ac:dyDescent="0.25">
      <c r="E2662" s="1"/>
      <c r="F2662" s="2"/>
      <c r="H2662" s="1"/>
      <c r="I2662" s="2"/>
    </row>
    <row r="2663" spans="5:9" ht="12.5" customHeight="1" x14ac:dyDescent="0.25">
      <c r="E2663" s="1"/>
      <c r="F2663" s="2"/>
      <c r="H2663" s="1"/>
      <c r="I2663" s="2"/>
    </row>
    <row r="2664" spans="5:9" ht="12.5" customHeight="1" x14ac:dyDescent="0.25">
      <c r="E2664" s="1"/>
      <c r="F2664" s="2"/>
      <c r="H2664" s="1"/>
      <c r="I2664" s="2"/>
    </row>
    <row r="2665" spans="5:9" ht="12.5" customHeight="1" x14ac:dyDescent="0.25">
      <c r="E2665" s="1"/>
      <c r="F2665" s="2"/>
      <c r="H2665" s="1"/>
      <c r="I2665" s="2"/>
    </row>
    <row r="2666" spans="5:9" ht="12.5" customHeight="1" x14ac:dyDescent="0.25">
      <c r="E2666" s="1"/>
      <c r="F2666" s="2"/>
      <c r="H2666" s="1"/>
      <c r="I2666" s="2"/>
    </row>
    <row r="2667" spans="5:9" ht="12.5" customHeight="1" x14ac:dyDescent="0.25">
      <c r="E2667" s="1"/>
      <c r="F2667" s="2"/>
      <c r="H2667" s="1"/>
      <c r="I2667" s="2"/>
    </row>
    <row r="2668" spans="5:9" ht="12.5" customHeight="1" x14ac:dyDescent="0.25">
      <c r="E2668" s="1"/>
      <c r="F2668" s="2"/>
      <c r="H2668" s="1"/>
      <c r="I2668" s="2"/>
    </row>
    <row r="2669" spans="5:9" ht="12.5" customHeight="1" x14ac:dyDescent="0.25">
      <c r="E2669" s="1"/>
      <c r="F2669" s="2"/>
      <c r="H2669" s="1"/>
      <c r="I2669" s="2"/>
    </row>
    <row r="2670" spans="5:9" ht="12.5" customHeight="1" x14ac:dyDescent="0.25">
      <c r="E2670" s="1"/>
      <c r="F2670" s="2"/>
      <c r="H2670" s="1"/>
      <c r="I2670" s="2"/>
    </row>
    <row r="2671" spans="5:9" ht="12.5" customHeight="1" x14ac:dyDescent="0.25">
      <c r="E2671" s="1"/>
      <c r="F2671" s="2"/>
      <c r="H2671" s="1"/>
      <c r="I2671" s="2"/>
    </row>
    <row r="2672" spans="5:9" ht="12.5" customHeight="1" x14ac:dyDescent="0.25">
      <c r="E2672" s="1"/>
      <c r="F2672" s="2"/>
      <c r="H2672" s="1"/>
      <c r="I2672" s="2"/>
    </row>
    <row r="2673" spans="5:9" ht="12.5" customHeight="1" x14ac:dyDescent="0.25">
      <c r="E2673" s="1"/>
      <c r="F2673" s="2"/>
      <c r="H2673" s="1"/>
      <c r="I2673" s="2"/>
    </row>
    <row r="2674" spans="5:9" ht="12.5" customHeight="1" x14ac:dyDescent="0.25">
      <c r="E2674" s="1"/>
      <c r="F2674" s="2"/>
      <c r="H2674" s="1"/>
      <c r="I2674" s="2"/>
    </row>
    <row r="2675" spans="5:9" ht="12.5" customHeight="1" x14ac:dyDescent="0.25">
      <c r="E2675" s="1"/>
      <c r="F2675" s="2"/>
      <c r="H2675" s="1"/>
      <c r="I2675" s="2"/>
    </row>
    <row r="2676" spans="5:9" ht="12.5" customHeight="1" x14ac:dyDescent="0.25">
      <c r="E2676" s="1"/>
      <c r="F2676" s="2"/>
      <c r="H2676" s="1"/>
      <c r="I2676" s="2"/>
    </row>
    <row r="2677" spans="5:9" ht="12.5" customHeight="1" x14ac:dyDescent="0.25">
      <c r="E2677" s="1"/>
      <c r="F2677" s="2"/>
      <c r="H2677" s="1"/>
      <c r="I2677" s="2"/>
    </row>
    <row r="2678" spans="5:9" ht="12.5" customHeight="1" x14ac:dyDescent="0.25">
      <c r="E2678" s="1"/>
      <c r="F2678" s="2"/>
      <c r="H2678" s="1"/>
      <c r="I2678" s="2"/>
    </row>
    <row r="2679" spans="5:9" ht="12.5" customHeight="1" x14ac:dyDescent="0.25">
      <c r="E2679" s="1"/>
      <c r="F2679" s="2"/>
      <c r="H2679" s="1"/>
      <c r="I2679" s="2"/>
    </row>
    <row r="2680" spans="5:9" ht="12.5" customHeight="1" x14ac:dyDescent="0.25">
      <c r="E2680" s="1"/>
      <c r="F2680" s="2"/>
      <c r="H2680" s="1"/>
      <c r="I2680" s="2"/>
    </row>
    <row r="2681" spans="5:9" ht="12.5" customHeight="1" x14ac:dyDescent="0.25">
      <c r="E2681" s="1"/>
      <c r="F2681" s="2"/>
      <c r="H2681" s="1"/>
      <c r="I2681" s="2"/>
    </row>
    <row r="2682" spans="5:9" ht="12.5" customHeight="1" x14ac:dyDescent="0.25">
      <c r="E2682" s="1"/>
      <c r="F2682" s="2"/>
      <c r="H2682" s="1"/>
      <c r="I2682" s="2"/>
    </row>
    <row r="2683" spans="5:9" ht="12.5" customHeight="1" x14ac:dyDescent="0.25">
      <c r="E2683" s="1"/>
      <c r="F2683" s="2"/>
      <c r="H2683" s="1"/>
      <c r="I2683" s="2"/>
    </row>
    <row r="2684" spans="5:9" ht="12.5" customHeight="1" x14ac:dyDescent="0.25">
      <c r="E2684" s="1"/>
      <c r="F2684" s="2"/>
      <c r="H2684" s="1"/>
      <c r="I2684" s="2"/>
    </row>
    <row r="2685" spans="5:9" ht="12.5" customHeight="1" x14ac:dyDescent="0.25">
      <c r="E2685" s="1"/>
      <c r="F2685" s="2"/>
      <c r="H2685" s="1"/>
      <c r="I2685" s="2"/>
    </row>
    <row r="2686" spans="5:9" ht="12.5" customHeight="1" x14ac:dyDescent="0.25">
      <c r="E2686" s="1"/>
      <c r="F2686" s="2"/>
      <c r="H2686" s="1"/>
      <c r="I2686" s="2"/>
    </row>
    <row r="2687" spans="5:9" ht="12.5" customHeight="1" x14ac:dyDescent="0.25">
      <c r="E2687" s="1"/>
      <c r="F2687" s="2"/>
      <c r="H2687" s="1"/>
      <c r="I2687" s="2"/>
    </row>
    <row r="2688" spans="5:9" ht="12.5" customHeight="1" x14ac:dyDescent="0.25">
      <c r="E2688" s="1"/>
      <c r="F2688" s="2"/>
      <c r="H2688" s="1"/>
      <c r="I2688" s="2"/>
    </row>
    <row r="2689" spans="5:9" ht="12.5" customHeight="1" x14ac:dyDescent="0.25">
      <c r="E2689" s="1"/>
      <c r="F2689" s="2"/>
      <c r="H2689" s="1"/>
      <c r="I2689" s="2"/>
    </row>
    <row r="2690" spans="5:9" ht="12.5" customHeight="1" x14ac:dyDescent="0.25">
      <c r="E2690" s="1"/>
      <c r="F2690" s="2"/>
      <c r="H2690" s="1"/>
      <c r="I2690" s="2"/>
    </row>
    <row r="2691" spans="5:9" ht="12.5" customHeight="1" x14ac:dyDescent="0.25">
      <c r="E2691" s="1"/>
      <c r="F2691" s="2"/>
      <c r="H2691" s="1"/>
      <c r="I2691" s="2"/>
    </row>
    <row r="2692" spans="5:9" ht="12.5" customHeight="1" x14ac:dyDescent="0.25">
      <c r="E2692" s="1"/>
      <c r="F2692" s="2"/>
      <c r="H2692" s="1"/>
      <c r="I2692" s="2"/>
    </row>
    <row r="2693" spans="5:9" ht="12.5" customHeight="1" x14ac:dyDescent="0.25">
      <c r="E2693" s="1"/>
      <c r="F2693" s="2"/>
      <c r="H2693" s="1"/>
      <c r="I2693" s="2"/>
    </row>
    <row r="2694" spans="5:9" ht="12.5" customHeight="1" x14ac:dyDescent="0.25">
      <c r="E2694" s="1"/>
      <c r="F2694" s="2"/>
      <c r="H2694" s="1"/>
      <c r="I2694" s="2"/>
    </row>
    <row r="2695" spans="5:9" ht="12.5" customHeight="1" x14ac:dyDescent="0.25">
      <c r="E2695" s="1"/>
      <c r="F2695" s="2"/>
      <c r="H2695" s="1"/>
      <c r="I2695" s="2"/>
    </row>
    <row r="2696" spans="5:9" ht="12.5" customHeight="1" x14ac:dyDescent="0.25">
      <c r="E2696" s="1"/>
      <c r="F2696" s="2"/>
      <c r="H2696" s="1"/>
      <c r="I2696" s="2"/>
    </row>
    <row r="2697" spans="5:9" ht="12.5" customHeight="1" x14ac:dyDescent="0.25">
      <c r="E2697" s="1"/>
      <c r="F2697" s="2"/>
      <c r="H2697" s="1"/>
      <c r="I2697" s="2"/>
    </row>
    <row r="2698" spans="5:9" ht="12.5" customHeight="1" x14ac:dyDescent="0.25">
      <c r="E2698" s="1"/>
      <c r="F2698" s="2"/>
      <c r="H2698" s="1"/>
      <c r="I2698" s="2"/>
    </row>
    <row r="2699" spans="5:9" ht="12.5" customHeight="1" x14ac:dyDescent="0.25">
      <c r="E2699" s="1"/>
      <c r="F2699" s="2"/>
      <c r="H2699" s="1"/>
      <c r="I2699" s="2"/>
    </row>
    <row r="2700" spans="5:9" ht="12.5" customHeight="1" x14ac:dyDescent="0.25">
      <c r="E2700" s="1"/>
      <c r="F2700" s="2"/>
      <c r="H2700" s="1"/>
      <c r="I2700" s="2"/>
    </row>
    <row r="2701" spans="5:9" ht="12.5" customHeight="1" x14ac:dyDescent="0.25">
      <c r="E2701" s="1"/>
      <c r="F2701" s="2"/>
      <c r="H2701" s="1"/>
      <c r="I2701" s="2"/>
    </row>
    <row r="2702" spans="5:9" ht="12.5" customHeight="1" x14ac:dyDescent="0.25">
      <c r="E2702" s="1"/>
      <c r="F2702" s="2"/>
      <c r="H2702" s="1"/>
      <c r="I2702" s="2"/>
    </row>
    <row r="2703" spans="5:9" ht="12.5" customHeight="1" x14ac:dyDescent="0.25">
      <c r="E2703" s="1"/>
      <c r="F2703" s="2"/>
      <c r="H2703" s="1"/>
      <c r="I2703" s="2"/>
    </row>
    <row r="2704" spans="5:9" ht="12.5" customHeight="1" x14ac:dyDescent="0.25">
      <c r="E2704" s="1"/>
      <c r="F2704" s="2"/>
      <c r="H2704" s="1"/>
      <c r="I2704" s="2"/>
    </row>
    <row r="2705" spans="5:9" ht="12.5" customHeight="1" x14ac:dyDescent="0.25">
      <c r="E2705" s="1"/>
      <c r="F2705" s="2"/>
      <c r="H2705" s="1"/>
      <c r="I2705" s="2"/>
    </row>
    <row r="2706" spans="5:9" ht="12.5" customHeight="1" x14ac:dyDescent="0.25">
      <c r="E2706" s="1"/>
      <c r="F2706" s="2"/>
      <c r="H2706" s="1"/>
      <c r="I2706" s="2"/>
    </row>
    <row r="2707" spans="5:9" ht="12.5" customHeight="1" x14ac:dyDescent="0.25">
      <c r="E2707" s="1"/>
      <c r="F2707" s="2"/>
      <c r="H2707" s="1"/>
      <c r="I2707" s="2"/>
    </row>
    <row r="2708" spans="5:9" ht="12.5" customHeight="1" x14ac:dyDescent="0.25">
      <c r="E2708" s="1"/>
      <c r="F2708" s="2"/>
      <c r="H2708" s="1"/>
      <c r="I2708" s="2"/>
    </row>
    <row r="2709" spans="5:9" ht="12.5" customHeight="1" x14ac:dyDescent="0.25">
      <c r="E2709" s="1"/>
      <c r="F2709" s="2"/>
      <c r="H2709" s="1"/>
      <c r="I2709" s="2"/>
    </row>
    <row r="2710" spans="5:9" ht="12.5" customHeight="1" x14ac:dyDescent="0.25">
      <c r="E2710" s="1"/>
      <c r="F2710" s="2"/>
      <c r="H2710" s="1"/>
      <c r="I2710" s="2"/>
    </row>
    <row r="2711" spans="5:9" ht="12.5" customHeight="1" x14ac:dyDescent="0.25">
      <c r="E2711" s="1"/>
      <c r="F2711" s="2"/>
      <c r="H2711" s="1"/>
      <c r="I2711" s="2"/>
    </row>
    <row r="2712" spans="5:9" ht="12.5" customHeight="1" x14ac:dyDescent="0.25">
      <c r="E2712" s="1"/>
      <c r="F2712" s="2"/>
      <c r="H2712" s="1"/>
      <c r="I2712" s="2"/>
    </row>
    <row r="2713" spans="5:9" ht="12.5" customHeight="1" x14ac:dyDescent="0.25">
      <c r="E2713" s="1"/>
      <c r="F2713" s="2"/>
      <c r="H2713" s="1"/>
      <c r="I2713" s="2"/>
    </row>
    <row r="2714" spans="5:9" ht="12.5" customHeight="1" x14ac:dyDescent="0.25">
      <c r="E2714" s="1"/>
      <c r="F2714" s="2"/>
      <c r="H2714" s="1"/>
      <c r="I2714" s="2"/>
    </row>
    <row r="2715" spans="5:9" ht="12.5" customHeight="1" x14ac:dyDescent="0.25">
      <c r="E2715" s="1"/>
      <c r="F2715" s="2"/>
      <c r="H2715" s="1"/>
      <c r="I2715" s="2"/>
    </row>
    <row r="2716" spans="5:9" ht="12.5" customHeight="1" x14ac:dyDescent="0.25">
      <c r="E2716" s="1"/>
      <c r="F2716" s="2"/>
      <c r="H2716" s="1"/>
      <c r="I2716" s="2"/>
    </row>
    <row r="2717" spans="5:9" ht="12.5" customHeight="1" x14ac:dyDescent="0.25">
      <c r="E2717" s="1"/>
      <c r="F2717" s="2"/>
      <c r="H2717" s="1"/>
      <c r="I2717" s="2"/>
    </row>
    <row r="2718" spans="5:9" ht="12.5" customHeight="1" x14ac:dyDescent="0.25">
      <c r="E2718" s="1"/>
      <c r="F2718" s="2"/>
      <c r="H2718" s="1"/>
      <c r="I2718" s="2"/>
    </row>
    <row r="2719" spans="5:9" ht="12.5" customHeight="1" x14ac:dyDescent="0.25">
      <c r="E2719" s="1"/>
      <c r="F2719" s="2"/>
      <c r="H2719" s="1"/>
      <c r="I2719" s="2"/>
    </row>
    <row r="2720" spans="5:9" ht="12.5" customHeight="1" x14ac:dyDescent="0.25">
      <c r="E2720" s="1"/>
      <c r="F2720" s="2"/>
      <c r="H2720" s="1"/>
      <c r="I2720" s="2"/>
    </row>
    <row r="2721" spans="5:9" ht="12.5" customHeight="1" x14ac:dyDescent="0.25">
      <c r="E2721" s="1"/>
      <c r="F2721" s="2"/>
      <c r="H2721" s="1"/>
      <c r="I2721" s="2"/>
    </row>
    <row r="2722" spans="5:9" ht="12.5" customHeight="1" x14ac:dyDescent="0.25">
      <c r="E2722" s="1"/>
      <c r="F2722" s="2"/>
      <c r="H2722" s="1"/>
      <c r="I2722" s="2"/>
    </row>
    <row r="2723" spans="5:9" ht="12.5" customHeight="1" x14ac:dyDescent="0.25">
      <c r="E2723" s="1"/>
      <c r="F2723" s="2"/>
      <c r="H2723" s="1"/>
      <c r="I2723" s="2"/>
    </row>
    <row r="2724" spans="5:9" ht="12.5" customHeight="1" x14ac:dyDescent="0.25">
      <c r="E2724" s="1"/>
      <c r="F2724" s="2"/>
      <c r="H2724" s="1"/>
      <c r="I2724" s="2"/>
    </row>
    <row r="2725" spans="5:9" ht="12.5" customHeight="1" x14ac:dyDescent="0.25">
      <c r="E2725" s="1"/>
      <c r="F2725" s="2"/>
      <c r="H2725" s="1"/>
      <c r="I2725" s="2"/>
    </row>
    <row r="2726" spans="5:9" ht="12.5" customHeight="1" x14ac:dyDescent="0.25">
      <c r="E2726" s="1"/>
      <c r="F2726" s="2"/>
      <c r="H2726" s="1"/>
      <c r="I2726" s="2"/>
    </row>
    <row r="2727" spans="5:9" ht="12.5" customHeight="1" x14ac:dyDescent="0.25">
      <c r="E2727" s="1"/>
      <c r="F2727" s="2"/>
      <c r="H2727" s="1"/>
      <c r="I2727" s="2"/>
    </row>
    <row r="2728" spans="5:9" ht="12.5" customHeight="1" x14ac:dyDescent="0.25">
      <c r="E2728" s="1"/>
      <c r="F2728" s="2"/>
      <c r="H2728" s="1"/>
      <c r="I2728" s="2"/>
    </row>
    <row r="2729" spans="5:9" ht="12.5" customHeight="1" x14ac:dyDescent="0.25">
      <c r="E2729" s="1"/>
      <c r="F2729" s="2"/>
      <c r="H2729" s="1"/>
      <c r="I2729" s="2"/>
    </row>
    <row r="2730" spans="5:9" ht="12.5" customHeight="1" x14ac:dyDescent="0.25">
      <c r="E2730" s="1"/>
      <c r="F2730" s="2"/>
      <c r="H2730" s="1"/>
      <c r="I2730" s="2"/>
    </row>
    <row r="2731" spans="5:9" ht="12.5" customHeight="1" x14ac:dyDescent="0.25">
      <c r="E2731" s="1"/>
      <c r="F2731" s="2"/>
      <c r="H2731" s="1"/>
      <c r="I2731" s="2"/>
    </row>
    <row r="2732" spans="5:9" ht="12.5" customHeight="1" x14ac:dyDescent="0.25">
      <c r="E2732" s="1"/>
      <c r="F2732" s="2"/>
      <c r="H2732" s="1"/>
      <c r="I2732" s="2"/>
    </row>
    <row r="2733" spans="5:9" ht="12.5" customHeight="1" x14ac:dyDescent="0.25">
      <c r="E2733" s="1"/>
      <c r="F2733" s="2"/>
      <c r="H2733" s="1"/>
      <c r="I2733" s="2"/>
    </row>
    <row r="2734" spans="5:9" ht="12.5" customHeight="1" x14ac:dyDescent="0.25">
      <c r="E2734" s="1"/>
      <c r="F2734" s="2"/>
      <c r="H2734" s="1"/>
      <c r="I2734" s="2"/>
    </row>
    <row r="2735" spans="5:9" ht="12.5" customHeight="1" x14ac:dyDescent="0.25">
      <c r="E2735" s="1"/>
      <c r="F2735" s="2"/>
      <c r="H2735" s="1"/>
      <c r="I2735" s="2"/>
    </row>
    <row r="2736" spans="5:9" ht="12.5" customHeight="1" x14ac:dyDescent="0.25">
      <c r="E2736" s="1"/>
      <c r="F2736" s="2"/>
      <c r="H2736" s="1"/>
      <c r="I2736" s="2"/>
    </row>
    <row r="2737" spans="5:9" ht="12.5" customHeight="1" x14ac:dyDescent="0.25">
      <c r="E2737" s="1"/>
      <c r="F2737" s="2"/>
      <c r="H2737" s="1"/>
      <c r="I2737" s="2"/>
    </row>
    <row r="2738" spans="5:9" ht="12.5" customHeight="1" x14ac:dyDescent="0.25">
      <c r="E2738" s="1"/>
      <c r="F2738" s="2"/>
      <c r="H2738" s="1"/>
      <c r="I2738" s="2"/>
    </row>
    <row r="2739" spans="5:9" ht="12.5" customHeight="1" x14ac:dyDescent="0.25">
      <c r="E2739" s="1"/>
      <c r="F2739" s="2"/>
      <c r="H2739" s="1"/>
      <c r="I2739" s="2"/>
    </row>
    <row r="2740" spans="5:9" ht="12.5" customHeight="1" x14ac:dyDescent="0.25">
      <c r="E2740" s="1"/>
      <c r="F2740" s="2"/>
      <c r="H2740" s="1"/>
      <c r="I2740" s="2"/>
    </row>
    <row r="2741" spans="5:9" ht="12.5" customHeight="1" x14ac:dyDescent="0.25">
      <c r="E2741" s="1"/>
      <c r="F2741" s="2"/>
      <c r="H2741" s="1"/>
      <c r="I2741" s="2"/>
    </row>
    <row r="2742" spans="5:9" ht="12.5" customHeight="1" x14ac:dyDescent="0.25">
      <c r="E2742" s="1"/>
      <c r="F2742" s="2"/>
      <c r="H2742" s="1"/>
      <c r="I2742" s="2"/>
    </row>
    <row r="2743" spans="5:9" ht="12.5" customHeight="1" x14ac:dyDescent="0.25">
      <c r="E2743" s="1"/>
      <c r="F2743" s="2"/>
      <c r="H2743" s="1"/>
      <c r="I2743" s="2"/>
    </row>
    <row r="2744" spans="5:9" ht="12.5" customHeight="1" x14ac:dyDescent="0.25">
      <c r="E2744" s="1"/>
      <c r="F2744" s="2"/>
      <c r="H2744" s="1"/>
      <c r="I2744" s="2"/>
    </row>
    <row r="2745" spans="5:9" ht="12.5" customHeight="1" x14ac:dyDescent="0.25">
      <c r="E2745" s="1"/>
      <c r="F2745" s="2"/>
      <c r="H2745" s="1"/>
      <c r="I2745" s="2"/>
    </row>
    <row r="2746" spans="5:9" ht="12.5" customHeight="1" x14ac:dyDescent="0.25">
      <c r="E2746" s="1"/>
      <c r="F2746" s="2"/>
      <c r="H2746" s="1"/>
      <c r="I2746" s="2"/>
    </row>
    <row r="2747" spans="5:9" ht="12.5" customHeight="1" x14ac:dyDescent="0.25">
      <c r="E2747" s="1"/>
      <c r="F2747" s="2"/>
      <c r="H2747" s="1"/>
      <c r="I2747" s="2"/>
    </row>
    <row r="2748" spans="5:9" ht="12.5" customHeight="1" x14ac:dyDescent="0.25">
      <c r="E2748" s="1"/>
      <c r="F2748" s="2"/>
      <c r="H2748" s="1"/>
      <c r="I2748" s="2"/>
    </row>
    <row r="2749" spans="5:9" ht="12.5" customHeight="1" x14ac:dyDescent="0.25">
      <c r="E2749" s="1"/>
      <c r="F2749" s="2"/>
      <c r="H2749" s="1"/>
      <c r="I2749" s="2"/>
    </row>
    <row r="2750" spans="5:9" ht="12.5" customHeight="1" x14ac:dyDescent="0.25">
      <c r="E2750" s="1"/>
      <c r="F2750" s="2"/>
      <c r="H2750" s="1"/>
      <c r="I2750" s="2"/>
    </row>
    <row r="2751" spans="5:9" ht="12.5" customHeight="1" x14ac:dyDescent="0.25">
      <c r="E2751" s="1"/>
      <c r="F2751" s="2"/>
      <c r="H2751" s="1"/>
      <c r="I2751" s="2"/>
    </row>
    <row r="2752" spans="5:9" ht="12.5" customHeight="1" x14ac:dyDescent="0.25">
      <c r="E2752" s="1"/>
      <c r="F2752" s="2"/>
      <c r="H2752" s="1"/>
      <c r="I2752" s="2"/>
    </row>
    <row r="2753" spans="5:9" ht="12.5" customHeight="1" x14ac:dyDescent="0.25">
      <c r="E2753" s="1"/>
      <c r="F2753" s="2"/>
      <c r="H2753" s="1"/>
      <c r="I2753" s="2"/>
    </row>
    <row r="2754" spans="5:9" ht="12.5" customHeight="1" x14ac:dyDescent="0.25">
      <c r="E2754" s="1"/>
      <c r="F2754" s="2"/>
      <c r="H2754" s="1"/>
      <c r="I2754" s="2"/>
    </row>
    <row r="2755" spans="5:9" ht="12.5" customHeight="1" x14ac:dyDescent="0.25">
      <c r="E2755" s="1"/>
      <c r="F2755" s="2"/>
      <c r="H2755" s="1"/>
      <c r="I2755" s="2"/>
    </row>
    <row r="2756" spans="5:9" ht="12.5" customHeight="1" x14ac:dyDescent="0.25">
      <c r="E2756" s="1"/>
      <c r="F2756" s="2"/>
      <c r="H2756" s="1"/>
      <c r="I2756" s="2"/>
    </row>
    <row r="2757" spans="5:9" ht="12.5" customHeight="1" x14ac:dyDescent="0.25">
      <c r="E2757" s="1"/>
      <c r="F2757" s="2"/>
      <c r="H2757" s="1"/>
      <c r="I2757" s="2"/>
    </row>
    <row r="2758" spans="5:9" ht="12.5" customHeight="1" x14ac:dyDescent="0.25">
      <c r="E2758" s="1"/>
      <c r="F2758" s="2"/>
      <c r="H2758" s="1"/>
      <c r="I2758" s="2"/>
    </row>
    <row r="2759" spans="5:9" ht="12.5" customHeight="1" x14ac:dyDescent="0.25">
      <c r="E2759" s="1"/>
      <c r="F2759" s="2"/>
      <c r="H2759" s="1"/>
      <c r="I2759" s="2"/>
    </row>
    <row r="2760" spans="5:9" ht="12.5" customHeight="1" x14ac:dyDescent="0.25">
      <c r="E2760" s="1"/>
      <c r="F2760" s="2"/>
      <c r="H2760" s="1"/>
      <c r="I2760" s="2"/>
    </row>
    <row r="2761" spans="5:9" ht="12.5" customHeight="1" x14ac:dyDescent="0.25">
      <c r="E2761" s="1"/>
      <c r="F2761" s="2"/>
      <c r="H2761" s="1"/>
      <c r="I2761" s="2"/>
    </row>
    <row r="2762" spans="5:9" ht="12.5" customHeight="1" x14ac:dyDescent="0.25">
      <c r="E2762" s="1"/>
      <c r="F2762" s="2"/>
      <c r="H2762" s="1"/>
      <c r="I2762" s="2"/>
    </row>
    <row r="2763" spans="5:9" ht="12.5" customHeight="1" x14ac:dyDescent="0.25">
      <c r="E2763" s="1"/>
      <c r="F2763" s="2"/>
      <c r="H2763" s="1"/>
      <c r="I2763" s="2"/>
    </row>
    <row r="2764" spans="5:9" ht="12.5" customHeight="1" x14ac:dyDescent="0.25">
      <c r="E2764" s="1"/>
      <c r="F2764" s="2"/>
      <c r="H2764" s="1"/>
      <c r="I2764" s="2"/>
    </row>
    <row r="2765" spans="5:9" ht="12.5" customHeight="1" x14ac:dyDescent="0.25">
      <c r="E2765" s="1"/>
      <c r="F2765" s="2"/>
      <c r="H2765" s="1"/>
      <c r="I2765" s="2"/>
    </row>
    <row r="2766" spans="5:9" ht="12.5" customHeight="1" x14ac:dyDescent="0.25">
      <c r="E2766" s="1"/>
      <c r="F2766" s="2"/>
      <c r="H2766" s="1"/>
      <c r="I2766" s="2"/>
    </row>
    <row r="2767" spans="5:9" ht="12.5" customHeight="1" x14ac:dyDescent="0.25">
      <c r="E2767" s="1"/>
      <c r="F2767" s="2"/>
      <c r="H2767" s="1"/>
      <c r="I2767" s="2"/>
    </row>
    <row r="2768" spans="5:9" ht="12.5" customHeight="1" x14ac:dyDescent="0.25">
      <c r="E2768" s="1"/>
      <c r="F2768" s="2"/>
      <c r="H2768" s="1"/>
      <c r="I2768" s="2"/>
    </row>
    <row r="2769" spans="5:9" ht="12.5" customHeight="1" x14ac:dyDescent="0.25">
      <c r="E2769" s="1"/>
      <c r="F2769" s="2"/>
      <c r="H2769" s="1"/>
      <c r="I2769" s="2"/>
    </row>
    <row r="2770" spans="5:9" ht="12.5" customHeight="1" x14ac:dyDescent="0.25">
      <c r="E2770" s="1"/>
      <c r="F2770" s="2"/>
      <c r="H2770" s="1"/>
      <c r="I2770" s="2"/>
    </row>
    <row r="2771" spans="5:9" ht="12.5" customHeight="1" x14ac:dyDescent="0.25">
      <c r="E2771" s="1"/>
      <c r="F2771" s="2"/>
      <c r="H2771" s="1"/>
      <c r="I2771" s="2"/>
    </row>
    <row r="2772" spans="5:9" ht="12.5" customHeight="1" x14ac:dyDescent="0.25">
      <c r="E2772" s="1"/>
      <c r="F2772" s="2"/>
      <c r="H2772" s="1"/>
      <c r="I2772" s="2"/>
    </row>
    <row r="2773" spans="5:9" ht="12.5" customHeight="1" x14ac:dyDescent="0.25">
      <c r="E2773" s="1"/>
      <c r="F2773" s="2"/>
      <c r="H2773" s="1"/>
      <c r="I2773" s="2"/>
    </row>
    <row r="2774" spans="5:9" ht="12.5" customHeight="1" x14ac:dyDescent="0.25">
      <c r="E2774" s="1"/>
      <c r="F2774" s="2"/>
      <c r="H2774" s="1"/>
      <c r="I2774" s="2"/>
    </row>
    <row r="2775" spans="5:9" ht="12.5" customHeight="1" x14ac:dyDescent="0.25">
      <c r="E2775" s="1"/>
      <c r="F2775" s="2"/>
      <c r="H2775" s="1"/>
      <c r="I2775" s="2"/>
    </row>
    <row r="2776" spans="5:9" ht="12.5" customHeight="1" x14ac:dyDescent="0.25">
      <c r="E2776" s="1"/>
      <c r="F2776" s="2"/>
      <c r="H2776" s="1"/>
      <c r="I2776" s="2"/>
    </row>
    <row r="2777" spans="5:9" ht="12.5" customHeight="1" x14ac:dyDescent="0.25">
      <c r="E2777" s="1"/>
      <c r="F2777" s="2"/>
      <c r="H2777" s="1"/>
      <c r="I2777" s="2"/>
    </row>
    <row r="2778" spans="5:9" ht="12.5" customHeight="1" x14ac:dyDescent="0.25">
      <c r="E2778" s="1"/>
      <c r="F2778" s="2"/>
      <c r="H2778" s="1"/>
      <c r="I2778" s="2"/>
    </row>
    <row r="2779" spans="5:9" ht="12.5" customHeight="1" x14ac:dyDescent="0.25">
      <c r="E2779" s="1"/>
      <c r="F2779" s="2"/>
      <c r="H2779" s="1"/>
      <c r="I2779" s="2"/>
    </row>
    <row r="2780" spans="5:9" ht="12.5" customHeight="1" x14ac:dyDescent="0.25">
      <c r="E2780" s="1"/>
      <c r="F2780" s="2"/>
      <c r="H2780" s="1"/>
      <c r="I2780" s="2"/>
    </row>
    <row r="2781" spans="5:9" ht="12.5" customHeight="1" x14ac:dyDescent="0.25">
      <c r="E2781" s="1"/>
      <c r="F2781" s="2"/>
      <c r="H2781" s="1"/>
      <c r="I2781" s="2"/>
    </row>
    <row r="2782" spans="5:9" ht="12.5" customHeight="1" x14ac:dyDescent="0.25">
      <c r="E2782" s="1"/>
      <c r="F2782" s="2"/>
      <c r="H2782" s="1"/>
      <c r="I2782" s="2"/>
    </row>
    <row r="2783" spans="5:9" ht="12.5" customHeight="1" x14ac:dyDescent="0.25">
      <c r="E2783" s="1"/>
      <c r="F2783" s="2"/>
      <c r="H2783" s="1"/>
      <c r="I2783" s="2"/>
    </row>
    <row r="2784" spans="5:9" ht="12.5" customHeight="1" x14ac:dyDescent="0.25">
      <c r="E2784" s="1"/>
      <c r="F2784" s="2"/>
      <c r="H2784" s="1"/>
      <c r="I2784" s="2"/>
    </row>
    <row r="2785" spans="5:9" ht="12.5" customHeight="1" x14ac:dyDescent="0.25">
      <c r="E2785" s="1"/>
      <c r="F2785" s="2"/>
      <c r="H2785" s="1"/>
      <c r="I2785" s="2"/>
    </row>
    <row r="2786" spans="5:9" ht="12.5" customHeight="1" x14ac:dyDescent="0.25">
      <c r="E2786" s="1"/>
      <c r="F2786" s="2"/>
      <c r="H2786" s="1"/>
      <c r="I2786" s="2"/>
    </row>
    <row r="2787" spans="5:9" ht="12.5" customHeight="1" x14ac:dyDescent="0.25">
      <c r="E2787" s="1"/>
      <c r="F2787" s="2"/>
      <c r="H2787" s="1"/>
      <c r="I2787" s="2"/>
    </row>
    <row r="2788" spans="5:9" ht="12.5" customHeight="1" x14ac:dyDescent="0.25">
      <c r="E2788" s="1"/>
      <c r="F2788" s="2"/>
      <c r="H2788" s="1"/>
      <c r="I2788" s="2"/>
    </row>
    <row r="2789" spans="5:9" ht="12.5" customHeight="1" x14ac:dyDescent="0.25">
      <c r="E2789" s="1"/>
      <c r="F2789" s="2"/>
      <c r="H2789" s="1"/>
      <c r="I2789" s="2"/>
    </row>
    <row r="2790" spans="5:9" ht="12.5" customHeight="1" x14ac:dyDescent="0.25">
      <c r="E2790" s="1"/>
      <c r="F2790" s="2"/>
      <c r="H2790" s="1"/>
      <c r="I2790" s="2"/>
    </row>
    <row r="2791" spans="5:9" ht="12.5" customHeight="1" x14ac:dyDescent="0.25">
      <c r="E2791" s="1"/>
      <c r="F2791" s="2"/>
      <c r="H2791" s="1"/>
      <c r="I2791" s="2"/>
    </row>
    <row r="2792" spans="5:9" ht="12.5" customHeight="1" x14ac:dyDescent="0.25">
      <c r="E2792" s="1"/>
      <c r="F2792" s="2"/>
      <c r="H2792" s="1"/>
      <c r="I2792" s="2"/>
    </row>
    <row r="2793" spans="5:9" ht="12.5" customHeight="1" x14ac:dyDescent="0.25">
      <c r="E2793" s="1"/>
      <c r="F2793" s="2"/>
      <c r="H2793" s="1"/>
      <c r="I2793" s="2"/>
    </row>
    <row r="2794" spans="5:9" ht="12.5" customHeight="1" x14ac:dyDescent="0.25">
      <c r="E2794" s="1"/>
      <c r="F2794" s="2"/>
      <c r="H2794" s="1"/>
      <c r="I2794" s="2"/>
    </row>
    <row r="2795" spans="5:9" ht="12.5" customHeight="1" x14ac:dyDescent="0.25">
      <c r="E2795" s="1"/>
      <c r="F2795" s="2"/>
      <c r="H2795" s="1"/>
      <c r="I2795" s="2"/>
    </row>
    <row r="2796" spans="5:9" ht="12.5" customHeight="1" x14ac:dyDescent="0.25">
      <c r="E2796" s="1"/>
      <c r="F2796" s="2"/>
      <c r="H2796" s="1"/>
      <c r="I2796" s="2"/>
    </row>
    <row r="2797" spans="5:9" ht="12.5" customHeight="1" x14ac:dyDescent="0.25">
      <c r="E2797" s="1"/>
      <c r="F2797" s="2"/>
      <c r="H2797" s="1"/>
      <c r="I2797" s="2"/>
    </row>
    <row r="2798" spans="5:9" ht="12.5" customHeight="1" x14ac:dyDescent="0.25">
      <c r="E2798" s="1"/>
      <c r="F2798" s="2"/>
      <c r="H2798" s="1"/>
      <c r="I2798" s="2"/>
    </row>
    <row r="2799" spans="5:9" ht="12.5" customHeight="1" x14ac:dyDescent="0.25">
      <c r="E2799" s="1"/>
      <c r="F2799" s="2"/>
      <c r="H2799" s="1"/>
      <c r="I2799" s="2"/>
    </row>
    <row r="2800" spans="5:9" ht="12.5" customHeight="1" x14ac:dyDescent="0.25">
      <c r="E2800" s="1"/>
      <c r="F2800" s="2"/>
      <c r="H2800" s="1"/>
      <c r="I2800" s="2"/>
    </row>
    <row r="2801" spans="5:9" ht="12.5" customHeight="1" x14ac:dyDescent="0.25">
      <c r="E2801" s="1"/>
      <c r="F2801" s="2"/>
      <c r="H2801" s="1"/>
      <c r="I2801" s="2"/>
    </row>
    <row r="2802" spans="5:9" ht="12.5" customHeight="1" x14ac:dyDescent="0.25">
      <c r="E2802" s="1"/>
      <c r="F2802" s="2"/>
      <c r="H2802" s="1"/>
      <c r="I2802" s="2"/>
    </row>
    <row r="2803" spans="5:9" ht="12.5" customHeight="1" x14ac:dyDescent="0.25">
      <c r="E2803" s="1"/>
      <c r="F2803" s="2"/>
      <c r="H2803" s="1"/>
      <c r="I2803" s="2"/>
    </row>
    <row r="2804" spans="5:9" ht="12.5" customHeight="1" x14ac:dyDescent="0.25">
      <c r="E2804" s="1"/>
      <c r="F2804" s="2"/>
      <c r="H2804" s="1"/>
      <c r="I2804" s="2"/>
    </row>
    <row r="2805" spans="5:9" ht="12.5" customHeight="1" x14ac:dyDescent="0.25">
      <c r="E2805" s="1"/>
      <c r="F2805" s="2"/>
      <c r="H2805" s="1"/>
      <c r="I2805" s="2"/>
    </row>
    <row r="2806" spans="5:9" ht="12.5" customHeight="1" x14ac:dyDescent="0.25">
      <c r="E2806" s="1"/>
      <c r="F2806" s="2"/>
      <c r="H2806" s="1"/>
      <c r="I2806" s="2"/>
    </row>
    <row r="2807" spans="5:9" ht="12.5" customHeight="1" x14ac:dyDescent="0.25">
      <c r="E2807" s="1"/>
      <c r="F2807" s="2"/>
      <c r="H2807" s="1"/>
      <c r="I2807" s="2"/>
    </row>
    <row r="2808" spans="5:9" ht="12.5" customHeight="1" x14ac:dyDescent="0.25">
      <c r="E2808" s="1"/>
      <c r="F2808" s="2"/>
      <c r="H2808" s="1"/>
      <c r="I2808" s="2"/>
    </row>
    <row r="2809" spans="5:9" ht="12.5" customHeight="1" x14ac:dyDescent="0.25">
      <c r="E2809" s="1"/>
      <c r="F2809" s="2"/>
      <c r="H2809" s="1"/>
      <c r="I2809" s="2"/>
    </row>
    <row r="2810" spans="5:9" ht="12.5" customHeight="1" x14ac:dyDescent="0.25">
      <c r="E2810" s="1"/>
      <c r="F2810" s="2"/>
      <c r="H2810" s="1"/>
      <c r="I2810" s="2"/>
    </row>
    <row r="2811" spans="5:9" ht="12.5" customHeight="1" x14ac:dyDescent="0.25">
      <c r="E2811" s="1"/>
      <c r="F2811" s="2"/>
      <c r="H2811" s="1"/>
      <c r="I2811" s="2"/>
    </row>
    <row r="2812" spans="5:9" ht="12.5" customHeight="1" x14ac:dyDescent="0.25">
      <c r="E2812" s="1"/>
      <c r="F2812" s="2"/>
      <c r="H2812" s="1"/>
      <c r="I2812" s="2"/>
    </row>
    <row r="2813" spans="5:9" ht="12.5" customHeight="1" x14ac:dyDescent="0.25">
      <c r="E2813" s="1"/>
      <c r="F2813" s="2"/>
      <c r="H2813" s="1"/>
      <c r="I2813" s="2"/>
    </row>
    <row r="2814" spans="5:9" ht="12.5" customHeight="1" x14ac:dyDescent="0.25">
      <c r="E2814" s="1"/>
      <c r="F2814" s="2"/>
      <c r="H2814" s="1"/>
      <c r="I2814" s="2"/>
    </row>
    <row r="2815" spans="5:9" ht="12.5" customHeight="1" x14ac:dyDescent="0.25">
      <c r="E2815" s="1"/>
      <c r="F2815" s="2"/>
      <c r="H2815" s="1"/>
      <c r="I2815" s="2"/>
    </row>
    <row r="2816" spans="5:9" ht="12.5" customHeight="1" x14ac:dyDescent="0.25">
      <c r="E2816" s="1"/>
      <c r="F2816" s="2"/>
      <c r="H2816" s="1"/>
      <c r="I2816" s="2"/>
    </row>
    <row r="2817" spans="5:9" ht="12.5" customHeight="1" x14ac:dyDescent="0.25">
      <c r="E2817" s="1"/>
      <c r="F2817" s="2"/>
      <c r="H2817" s="1"/>
      <c r="I2817" s="2"/>
    </row>
    <row r="2818" spans="5:9" ht="12.5" customHeight="1" x14ac:dyDescent="0.25">
      <c r="E2818" s="1"/>
      <c r="F2818" s="2"/>
      <c r="H2818" s="1"/>
      <c r="I2818" s="2"/>
    </row>
    <row r="2819" spans="5:9" ht="12.5" customHeight="1" x14ac:dyDescent="0.25">
      <c r="E2819" s="1"/>
      <c r="F2819" s="2"/>
      <c r="H2819" s="1"/>
      <c r="I2819" s="2"/>
    </row>
    <row r="2820" spans="5:9" ht="12.5" customHeight="1" x14ac:dyDescent="0.25">
      <c r="E2820" s="1"/>
      <c r="F2820" s="2"/>
      <c r="H2820" s="1"/>
      <c r="I2820" s="2"/>
    </row>
    <row r="2821" spans="5:9" ht="12.5" customHeight="1" x14ac:dyDescent="0.25">
      <c r="E2821" s="1"/>
      <c r="F2821" s="2"/>
      <c r="H2821" s="1"/>
      <c r="I2821" s="2"/>
    </row>
    <row r="2822" spans="5:9" ht="12.5" customHeight="1" x14ac:dyDescent="0.25">
      <c r="E2822" s="1"/>
      <c r="F2822" s="2"/>
      <c r="H2822" s="1"/>
      <c r="I2822" s="2"/>
    </row>
    <row r="2823" spans="5:9" ht="12.5" customHeight="1" x14ac:dyDescent="0.25">
      <c r="E2823" s="1"/>
      <c r="F2823" s="2"/>
      <c r="H2823" s="1"/>
      <c r="I2823" s="2"/>
    </row>
    <row r="2824" spans="5:9" ht="12.5" customHeight="1" x14ac:dyDescent="0.25">
      <c r="E2824" s="1"/>
      <c r="F2824" s="2"/>
      <c r="H2824" s="1"/>
      <c r="I2824" s="2"/>
    </row>
    <row r="2825" spans="5:9" ht="12.5" customHeight="1" x14ac:dyDescent="0.25">
      <c r="E2825" s="1"/>
      <c r="F2825" s="2"/>
      <c r="H2825" s="1"/>
      <c r="I2825" s="2"/>
    </row>
    <row r="2826" spans="5:9" ht="12.5" customHeight="1" x14ac:dyDescent="0.25">
      <c r="E2826" s="1"/>
      <c r="F2826" s="2"/>
      <c r="H2826" s="1"/>
      <c r="I2826" s="2"/>
    </row>
    <row r="2827" spans="5:9" ht="12.5" customHeight="1" x14ac:dyDescent="0.25">
      <c r="E2827" s="1"/>
      <c r="F2827" s="2"/>
      <c r="H2827" s="1"/>
      <c r="I2827" s="2"/>
    </row>
    <row r="2828" spans="5:9" ht="12.5" customHeight="1" x14ac:dyDescent="0.25">
      <c r="E2828" s="1"/>
      <c r="F2828" s="2"/>
      <c r="H2828" s="1"/>
      <c r="I2828" s="2"/>
    </row>
    <row r="2829" spans="5:9" ht="12.5" customHeight="1" x14ac:dyDescent="0.25">
      <c r="E2829" s="1"/>
      <c r="F2829" s="2"/>
      <c r="H2829" s="1"/>
      <c r="I2829" s="2"/>
    </row>
    <row r="2830" spans="5:9" ht="12.5" customHeight="1" x14ac:dyDescent="0.25">
      <c r="E2830" s="1"/>
      <c r="F2830" s="2"/>
      <c r="H2830" s="1"/>
      <c r="I2830" s="2"/>
    </row>
    <row r="2831" spans="5:9" ht="12.5" customHeight="1" x14ac:dyDescent="0.25">
      <c r="E2831" s="1"/>
      <c r="F2831" s="2"/>
      <c r="H2831" s="1"/>
      <c r="I2831" s="2"/>
    </row>
    <row r="2832" spans="5:9" ht="12.5" customHeight="1" x14ac:dyDescent="0.25">
      <c r="E2832" s="1"/>
      <c r="F2832" s="2"/>
      <c r="H2832" s="1"/>
      <c r="I2832" s="2"/>
    </row>
    <row r="2833" spans="5:9" ht="12.5" customHeight="1" x14ac:dyDescent="0.25">
      <c r="E2833" s="1"/>
      <c r="F2833" s="2"/>
      <c r="H2833" s="1"/>
      <c r="I2833" s="2"/>
    </row>
    <row r="2834" spans="5:9" ht="12.5" customHeight="1" x14ac:dyDescent="0.25">
      <c r="E2834" s="1"/>
      <c r="F2834" s="2"/>
      <c r="H2834" s="1"/>
      <c r="I2834" s="2"/>
    </row>
    <row r="2835" spans="5:9" ht="12.5" customHeight="1" x14ac:dyDescent="0.25">
      <c r="E2835" s="1"/>
      <c r="F2835" s="2"/>
      <c r="H2835" s="1"/>
      <c r="I2835" s="2"/>
    </row>
    <row r="2836" spans="5:9" ht="12.5" customHeight="1" x14ac:dyDescent="0.25">
      <c r="E2836" s="1"/>
      <c r="F2836" s="2"/>
      <c r="H2836" s="1"/>
      <c r="I2836" s="2"/>
    </row>
    <row r="2837" spans="5:9" ht="12.5" customHeight="1" x14ac:dyDescent="0.25">
      <c r="E2837" s="1"/>
      <c r="F2837" s="2"/>
      <c r="H2837" s="1"/>
      <c r="I2837" s="2"/>
    </row>
    <row r="2838" spans="5:9" ht="12.5" customHeight="1" x14ac:dyDescent="0.25">
      <c r="E2838" s="1"/>
      <c r="F2838" s="2"/>
      <c r="H2838" s="1"/>
      <c r="I2838" s="2"/>
    </row>
    <row r="2839" spans="5:9" ht="12.5" customHeight="1" x14ac:dyDescent="0.25">
      <c r="E2839" s="1"/>
      <c r="F2839" s="2"/>
      <c r="H2839" s="1"/>
      <c r="I2839" s="2"/>
    </row>
    <row r="2840" spans="5:9" ht="12.5" customHeight="1" x14ac:dyDescent="0.25">
      <c r="E2840" s="1"/>
      <c r="F2840" s="2"/>
      <c r="H2840" s="1"/>
      <c r="I2840" s="2"/>
    </row>
    <row r="2841" spans="5:9" x14ac:dyDescent="0.25">
      <c r="E2841" s="1"/>
      <c r="F2841" s="2"/>
      <c r="H2841" s="1"/>
      <c r="I2841" s="2"/>
    </row>
    <row r="2842" spans="5:9" hidden="1" x14ac:dyDescent="0.25">
      <c r="E2842" s="1"/>
      <c r="F2842" s="2"/>
      <c r="H2842" s="1"/>
      <c r="I2842" s="2"/>
    </row>
    <row r="2843" spans="5:9" hidden="1" x14ac:dyDescent="0.25">
      <c r="E2843" s="1"/>
      <c r="F2843" s="2"/>
      <c r="H2843" s="1"/>
      <c r="I2843" s="2"/>
    </row>
    <row r="2844" spans="5:9" hidden="1" x14ac:dyDescent="0.25">
      <c r="E2844" s="1"/>
      <c r="F2844" s="2"/>
      <c r="H2844" s="1"/>
      <c r="I2844" s="2"/>
    </row>
    <row r="2845" spans="5:9" hidden="1" x14ac:dyDescent="0.25">
      <c r="E2845" s="1"/>
      <c r="F2845" s="2"/>
      <c r="H2845" s="1"/>
      <c r="I2845" s="2"/>
    </row>
    <row r="2846" spans="5:9" hidden="1" x14ac:dyDescent="0.25">
      <c r="E2846" s="1"/>
      <c r="F2846" s="2"/>
      <c r="H2846" s="1"/>
      <c r="I2846" s="2"/>
    </row>
    <row r="2847" spans="5:9" hidden="1" x14ac:dyDescent="0.25">
      <c r="E2847" s="1"/>
      <c r="F2847" s="2"/>
      <c r="H2847" s="1"/>
      <c r="I2847" s="2"/>
    </row>
    <row r="2848" spans="5:9" hidden="1" x14ac:dyDescent="0.25">
      <c r="E2848" s="1"/>
      <c r="F2848" s="2"/>
      <c r="H2848" s="1"/>
      <c r="I2848" s="2"/>
    </row>
    <row r="2849" spans="5:9" hidden="1" x14ac:dyDescent="0.25">
      <c r="E2849" s="1"/>
      <c r="F2849" s="2"/>
      <c r="H2849" s="1"/>
      <c r="I2849" s="2"/>
    </row>
    <row r="2850" spans="5:9" hidden="1" x14ac:dyDescent="0.25">
      <c r="E2850" s="1"/>
      <c r="F2850" s="2"/>
      <c r="H2850" s="1"/>
      <c r="I2850" s="2"/>
    </row>
    <row r="2851" spans="5:9" hidden="1" x14ac:dyDescent="0.25">
      <c r="E2851" s="1"/>
      <c r="F2851" s="2"/>
      <c r="H2851" s="1"/>
      <c r="I2851" s="2"/>
    </row>
    <row r="2852" spans="5:9" hidden="1" x14ac:dyDescent="0.25">
      <c r="E2852" s="1"/>
      <c r="F2852" s="2"/>
      <c r="H2852" s="1"/>
      <c r="I2852" s="2"/>
    </row>
    <row r="2853" spans="5:9" hidden="1" x14ac:dyDescent="0.25">
      <c r="E2853" s="1"/>
      <c r="F2853" s="2"/>
      <c r="H2853" s="1"/>
      <c r="I2853" s="2"/>
    </row>
    <row r="2854" spans="5:9" hidden="1" x14ac:dyDescent="0.25">
      <c r="E2854" s="1"/>
      <c r="F2854" s="2"/>
      <c r="H2854" s="1"/>
      <c r="I2854" s="2"/>
    </row>
    <row r="2855" spans="5:9" hidden="1" x14ac:dyDescent="0.25">
      <c r="E2855" s="1"/>
      <c r="F2855" s="2"/>
      <c r="H2855" s="1"/>
      <c r="I2855" s="2"/>
    </row>
    <row r="2856" spans="5:9" hidden="1" x14ac:dyDescent="0.25">
      <c r="E2856" s="1"/>
      <c r="F2856" s="2"/>
      <c r="H2856" s="1"/>
      <c r="I2856" s="2"/>
    </row>
    <row r="2857" spans="5:9" hidden="1" x14ac:dyDescent="0.25">
      <c r="E2857" s="1"/>
      <c r="F2857" s="2"/>
      <c r="H2857" s="1"/>
      <c r="I2857" s="2"/>
    </row>
    <row r="2858" spans="5:9" hidden="1" x14ac:dyDescent="0.25">
      <c r="E2858" s="1"/>
      <c r="F2858" s="2"/>
      <c r="H2858" s="1"/>
      <c r="I2858" s="2"/>
    </row>
    <row r="2859" spans="5:9" hidden="1" x14ac:dyDescent="0.25">
      <c r="E2859" s="1"/>
      <c r="F2859" s="2"/>
      <c r="H2859" s="1"/>
      <c r="I2859" s="2"/>
    </row>
    <row r="2860" spans="5:9" hidden="1" x14ac:dyDescent="0.25">
      <c r="E2860" s="1"/>
      <c r="F2860" s="2"/>
      <c r="H2860" s="1"/>
      <c r="I2860" s="2"/>
    </row>
    <row r="2861" spans="5:9" hidden="1" x14ac:dyDescent="0.25">
      <c r="E2861" s="1"/>
      <c r="F2861" s="2"/>
      <c r="H2861" s="1"/>
      <c r="I2861" s="2"/>
    </row>
    <row r="2862" spans="5:9" hidden="1" x14ac:dyDescent="0.25">
      <c r="E2862" s="1"/>
      <c r="F2862" s="2"/>
      <c r="H2862" s="1"/>
      <c r="I2862" s="2"/>
    </row>
    <row r="2863" spans="5:9" hidden="1" x14ac:dyDescent="0.25">
      <c r="E2863" s="1"/>
      <c r="F2863" s="2"/>
      <c r="H2863" s="1"/>
      <c r="I2863" s="2"/>
    </row>
    <row r="2864" spans="5:9" hidden="1" x14ac:dyDescent="0.25">
      <c r="E2864" s="1"/>
      <c r="F2864" s="2"/>
      <c r="H2864" s="1"/>
      <c r="I2864" s="2"/>
    </row>
    <row r="2865" spans="5:9" hidden="1" x14ac:dyDescent="0.25">
      <c r="E2865" s="1"/>
      <c r="F2865" s="2"/>
      <c r="H2865" s="1"/>
      <c r="I2865" s="2"/>
    </row>
    <row r="2866" spans="5:9" hidden="1" x14ac:dyDescent="0.25">
      <c r="E2866" s="1"/>
      <c r="F2866" s="2"/>
      <c r="H2866" s="1"/>
      <c r="I2866" s="2"/>
    </row>
    <row r="2867" spans="5:9" hidden="1" x14ac:dyDescent="0.25">
      <c r="E2867" s="1"/>
      <c r="F2867" s="2"/>
      <c r="H2867" s="1"/>
      <c r="I2867" s="2"/>
    </row>
    <row r="2868" spans="5:9" hidden="1" x14ac:dyDescent="0.25">
      <c r="E2868" s="1"/>
      <c r="F2868" s="2"/>
      <c r="H2868" s="1"/>
      <c r="I2868" s="2"/>
    </row>
    <row r="2869" spans="5:9" hidden="1" x14ac:dyDescent="0.25">
      <c r="E2869" s="1"/>
      <c r="F2869" s="2"/>
      <c r="H2869" s="1"/>
      <c r="I2869" s="2"/>
    </row>
    <row r="2870" spans="5:9" hidden="1" x14ac:dyDescent="0.25">
      <c r="E2870" s="1"/>
      <c r="F2870" s="2"/>
      <c r="H2870" s="1"/>
      <c r="I2870" s="2"/>
    </row>
    <row r="2871" spans="5:9" hidden="1" x14ac:dyDescent="0.25">
      <c r="E2871" s="1"/>
      <c r="F2871" s="2"/>
      <c r="H2871" s="1"/>
      <c r="I2871" s="2"/>
    </row>
    <row r="2872" spans="5:9" hidden="1" x14ac:dyDescent="0.25">
      <c r="E2872" s="1"/>
      <c r="F2872" s="2"/>
      <c r="H2872" s="1"/>
      <c r="I2872" s="2"/>
    </row>
    <row r="2873" spans="5:9" hidden="1" x14ac:dyDescent="0.25">
      <c r="E2873" s="1"/>
      <c r="F2873" s="2"/>
      <c r="H2873" s="1"/>
      <c r="I2873" s="2"/>
    </row>
    <row r="2874" spans="5:9" hidden="1" x14ac:dyDescent="0.25">
      <c r="E2874" s="1"/>
      <c r="F2874" s="2"/>
      <c r="H2874" s="1"/>
      <c r="I2874" s="2"/>
    </row>
    <row r="2875" spans="5:9" hidden="1" x14ac:dyDescent="0.25">
      <c r="E2875" s="1"/>
      <c r="F2875" s="2"/>
      <c r="H2875" s="1"/>
      <c r="I2875" s="2"/>
    </row>
    <row r="2876" spans="5:9" hidden="1" x14ac:dyDescent="0.25">
      <c r="E2876" s="1"/>
      <c r="F2876" s="2"/>
      <c r="H2876" s="1"/>
      <c r="I2876" s="2"/>
    </row>
    <row r="2877" spans="5:9" hidden="1" x14ac:dyDescent="0.25">
      <c r="E2877" s="1"/>
      <c r="F2877" s="2"/>
      <c r="H2877" s="1"/>
      <c r="I2877" s="2"/>
    </row>
    <row r="2878" spans="5:9" hidden="1" x14ac:dyDescent="0.25">
      <c r="E2878" s="1"/>
      <c r="F2878" s="2"/>
      <c r="H2878" s="1"/>
      <c r="I2878" s="2"/>
    </row>
    <row r="2879" spans="5:9" hidden="1" x14ac:dyDescent="0.25">
      <c r="E2879" s="1"/>
      <c r="F2879" s="2"/>
      <c r="H2879" s="1"/>
      <c r="I2879" s="2"/>
    </row>
    <row r="2880" spans="5:9" hidden="1" x14ac:dyDescent="0.25">
      <c r="E2880" s="1"/>
      <c r="F2880" s="2"/>
      <c r="H2880" s="1"/>
      <c r="I2880" s="2"/>
    </row>
    <row r="2881" spans="5:9" hidden="1" x14ac:dyDescent="0.25">
      <c r="E2881" s="1"/>
      <c r="F2881" s="2"/>
      <c r="H2881" s="1"/>
      <c r="I2881" s="2"/>
    </row>
    <row r="2882" spans="5:9" hidden="1" x14ac:dyDescent="0.25">
      <c r="E2882" s="1"/>
      <c r="F2882" s="2"/>
      <c r="H2882" s="1"/>
      <c r="I2882" s="2"/>
    </row>
    <row r="2883" spans="5:9" hidden="1" x14ac:dyDescent="0.25">
      <c r="E2883" s="1"/>
      <c r="F2883" s="2"/>
      <c r="H2883" s="1"/>
      <c r="I2883" s="2"/>
    </row>
    <row r="2884" spans="5:9" hidden="1" x14ac:dyDescent="0.25">
      <c r="E2884" s="1"/>
      <c r="F2884" s="2"/>
      <c r="H2884" s="1"/>
      <c r="I2884" s="2"/>
    </row>
    <row r="2885" spans="5:9" hidden="1" x14ac:dyDescent="0.25">
      <c r="E2885" s="1"/>
      <c r="F2885" s="2"/>
      <c r="H2885" s="1"/>
      <c r="I2885" s="2"/>
    </row>
    <row r="2886" spans="5:9" hidden="1" x14ac:dyDescent="0.25">
      <c r="E2886" s="1"/>
      <c r="F2886" s="2"/>
      <c r="H2886" s="1"/>
      <c r="I2886" s="2"/>
    </row>
    <row r="2887" spans="5:9" hidden="1" x14ac:dyDescent="0.25">
      <c r="E2887" s="1"/>
      <c r="F2887" s="2"/>
      <c r="H2887" s="1"/>
      <c r="I2887" s="2"/>
    </row>
    <row r="2888" spans="5:9" hidden="1" x14ac:dyDescent="0.25">
      <c r="E2888" s="1"/>
      <c r="F2888" s="2"/>
      <c r="H2888" s="1"/>
      <c r="I2888" s="2"/>
    </row>
    <row r="2889" spans="5:9" hidden="1" x14ac:dyDescent="0.25">
      <c r="E2889" s="1"/>
      <c r="F2889" s="2"/>
      <c r="H2889" s="1"/>
      <c r="I2889" s="2"/>
    </row>
    <row r="2890" spans="5:9" hidden="1" x14ac:dyDescent="0.25">
      <c r="E2890" s="1"/>
      <c r="F2890" s="2"/>
      <c r="H2890" s="1"/>
      <c r="I2890" s="2"/>
    </row>
    <row r="2891" spans="5:9" hidden="1" x14ac:dyDescent="0.25">
      <c r="E2891" s="1"/>
      <c r="F2891" s="2"/>
      <c r="H2891" s="1"/>
      <c r="I2891" s="2"/>
    </row>
    <row r="2892" spans="5:9" hidden="1" x14ac:dyDescent="0.25">
      <c r="E2892" s="1"/>
      <c r="F2892" s="2"/>
      <c r="H2892" s="1"/>
      <c r="I2892" s="2"/>
    </row>
    <row r="2893" spans="5:9" hidden="1" x14ac:dyDescent="0.25">
      <c r="E2893" s="1"/>
      <c r="F2893" s="2"/>
      <c r="H2893" s="1"/>
      <c r="I2893" s="2"/>
    </row>
    <row r="2894" spans="5:9" hidden="1" x14ac:dyDescent="0.25">
      <c r="E2894" s="1"/>
      <c r="F2894" s="2"/>
      <c r="H2894" s="1"/>
      <c r="I2894" s="2"/>
    </row>
    <row r="2895" spans="5:9" hidden="1" x14ac:dyDescent="0.25">
      <c r="E2895" s="1"/>
      <c r="F2895" s="2"/>
      <c r="H2895" s="1"/>
      <c r="I2895" s="2"/>
    </row>
    <row r="2896" spans="5:9" hidden="1" x14ac:dyDescent="0.25">
      <c r="E2896" s="1"/>
      <c r="F2896" s="2"/>
      <c r="H2896" s="1"/>
      <c r="I2896" s="2"/>
    </row>
    <row r="2897" spans="5:9" hidden="1" x14ac:dyDescent="0.25">
      <c r="E2897" s="1"/>
      <c r="F2897" s="2"/>
      <c r="H2897" s="1"/>
      <c r="I2897" s="2"/>
    </row>
    <row r="2898" spans="5:9" hidden="1" x14ac:dyDescent="0.25">
      <c r="E2898" s="1"/>
      <c r="F2898" s="2"/>
      <c r="H2898" s="1"/>
      <c r="I2898" s="2"/>
    </row>
    <row r="2899" spans="5:9" hidden="1" x14ac:dyDescent="0.25">
      <c r="E2899" s="1"/>
      <c r="F2899" s="2"/>
      <c r="H2899" s="1"/>
      <c r="I2899" s="2"/>
    </row>
    <row r="2900" spans="5:9" hidden="1" x14ac:dyDescent="0.25">
      <c r="E2900" s="1"/>
      <c r="F2900" s="2"/>
      <c r="H2900" s="1"/>
      <c r="I2900" s="2"/>
    </row>
    <row r="2901" spans="5:9" hidden="1" x14ac:dyDescent="0.25">
      <c r="E2901" s="1"/>
      <c r="F2901" s="2"/>
      <c r="H2901" s="1"/>
      <c r="I2901" s="2"/>
    </row>
    <row r="2902" spans="5:9" hidden="1" x14ac:dyDescent="0.25">
      <c r="E2902" s="1"/>
      <c r="F2902" s="2"/>
      <c r="H2902" s="1"/>
      <c r="I2902" s="2"/>
    </row>
    <row r="2903" spans="5:9" hidden="1" x14ac:dyDescent="0.25">
      <c r="E2903" s="1"/>
      <c r="F2903" s="2"/>
      <c r="H2903" s="1"/>
      <c r="I2903" s="2"/>
    </row>
    <row r="2904" spans="5:9" hidden="1" x14ac:dyDescent="0.25">
      <c r="E2904" s="1"/>
      <c r="F2904" s="2"/>
      <c r="H2904" s="1"/>
      <c r="I2904" s="2"/>
    </row>
    <row r="2905" spans="5:9" hidden="1" x14ac:dyDescent="0.25">
      <c r="E2905" s="1"/>
      <c r="F2905" s="2"/>
      <c r="H2905" s="1"/>
      <c r="I2905" s="2"/>
    </row>
    <row r="2906" spans="5:9" hidden="1" x14ac:dyDescent="0.25">
      <c r="E2906" s="1"/>
      <c r="F2906" s="2"/>
      <c r="H2906" s="1"/>
      <c r="I2906" s="2"/>
    </row>
    <row r="2907" spans="5:9" hidden="1" x14ac:dyDescent="0.25">
      <c r="E2907" s="1"/>
      <c r="F2907" s="2"/>
      <c r="H2907" s="1"/>
      <c r="I2907" s="2"/>
    </row>
    <row r="2908" spans="5:9" hidden="1" x14ac:dyDescent="0.25">
      <c r="E2908" s="1"/>
      <c r="F2908" s="2"/>
      <c r="H2908" s="1"/>
      <c r="I2908" s="2"/>
    </row>
    <row r="2909" spans="5:9" hidden="1" x14ac:dyDescent="0.25">
      <c r="E2909" s="1"/>
      <c r="F2909" s="2"/>
      <c r="H2909" s="1"/>
      <c r="I2909" s="2"/>
    </row>
    <row r="2910" spans="5:9" hidden="1" x14ac:dyDescent="0.25">
      <c r="E2910" s="1"/>
      <c r="F2910" s="2"/>
      <c r="H2910" s="1"/>
      <c r="I2910" s="2"/>
    </row>
    <row r="2911" spans="5:9" hidden="1" x14ac:dyDescent="0.25">
      <c r="E2911" s="1"/>
      <c r="F2911" s="2"/>
      <c r="H2911" s="1"/>
      <c r="I2911" s="2"/>
    </row>
    <row r="2912" spans="5:9" hidden="1" x14ac:dyDescent="0.25">
      <c r="E2912" s="1"/>
      <c r="F2912" s="2"/>
      <c r="H2912" s="1"/>
      <c r="I2912" s="2"/>
    </row>
    <row r="2913" spans="5:9" hidden="1" x14ac:dyDescent="0.25">
      <c r="E2913" s="1"/>
      <c r="F2913" s="2"/>
      <c r="H2913" s="1"/>
      <c r="I2913" s="2"/>
    </row>
    <row r="2914" spans="5:9" hidden="1" x14ac:dyDescent="0.25">
      <c r="E2914" s="1"/>
      <c r="F2914" s="2"/>
      <c r="H2914" s="1"/>
      <c r="I2914" s="2"/>
    </row>
    <row r="2915" spans="5:9" hidden="1" x14ac:dyDescent="0.25">
      <c r="E2915" s="1"/>
      <c r="F2915" s="2"/>
      <c r="H2915" s="1"/>
      <c r="I2915" s="2"/>
    </row>
    <row r="2916" spans="5:9" hidden="1" x14ac:dyDescent="0.25">
      <c r="E2916" s="1"/>
      <c r="F2916" s="2"/>
      <c r="H2916" s="1"/>
      <c r="I2916" s="2"/>
    </row>
    <row r="2917" spans="5:9" hidden="1" x14ac:dyDescent="0.25">
      <c r="E2917" s="1"/>
      <c r="F2917" s="2"/>
      <c r="H2917" s="1"/>
      <c r="I2917" s="2"/>
    </row>
    <row r="2918" spans="5:9" hidden="1" x14ac:dyDescent="0.25">
      <c r="E2918" s="1"/>
      <c r="F2918" s="2"/>
      <c r="H2918" s="1"/>
      <c r="I2918" s="2"/>
    </row>
    <row r="2919" spans="5:9" hidden="1" x14ac:dyDescent="0.25">
      <c r="E2919" s="1"/>
      <c r="F2919" s="2"/>
      <c r="H2919" s="1"/>
      <c r="I2919" s="2"/>
    </row>
    <row r="2920" spans="5:9" hidden="1" x14ac:dyDescent="0.25">
      <c r="E2920" s="1"/>
      <c r="F2920" s="2"/>
      <c r="H2920" s="1"/>
      <c r="I2920" s="2"/>
    </row>
    <row r="2921" spans="5:9" hidden="1" x14ac:dyDescent="0.25">
      <c r="E2921" s="1"/>
      <c r="F2921" s="2"/>
      <c r="H2921" s="1"/>
      <c r="I2921" s="2"/>
    </row>
    <row r="2922" spans="5:9" hidden="1" x14ac:dyDescent="0.25">
      <c r="E2922" s="1"/>
      <c r="F2922" s="2"/>
      <c r="H2922" s="1"/>
      <c r="I2922" s="2"/>
    </row>
    <row r="2923" spans="5:9" hidden="1" x14ac:dyDescent="0.25">
      <c r="E2923" s="1"/>
      <c r="F2923" s="2"/>
      <c r="H2923" s="1"/>
      <c r="I2923" s="2"/>
    </row>
    <row r="2924" spans="5:9" hidden="1" x14ac:dyDescent="0.25">
      <c r="E2924" s="1"/>
      <c r="F2924" s="2"/>
      <c r="H2924" s="1"/>
      <c r="I2924" s="2"/>
    </row>
    <row r="2925" spans="5:9" hidden="1" x14ac:dyDescent="0.25">
      <c r="E2925" s="1"/>
      <c r="F2925" s="2"/>
      <c r="H2925" s="1"/>
      <c r="I2925" s="2"/>
    </row>
    <row r="2926" spans="5:9" hidden="1" x14ac:dyDescent="0.25">
      <c r="E2926" s="1"/>
      <c r="F2926" s="2"/>
      <c r="H2926" s="1"/>
      <c r="I2926" s="2"/>
    </row>
    <row r="2927" spans="5:9" hidden="1" x14ac:dyDescent="0.25">
      <c r="E2927" s="1"/>
      <c r="F2927" s="2"/>
      <c r="H2927" s="1"/>
      <c r="I2927" s="2"/>
    </row>
    <row r="2928" spans="5:9" hidden="1" x14ac:dyDescent="0.25">
      <c r="E2928" s="1"/>
      <c r="F2928" s="2"/>
      <c r="H2928" s="1"/>
      <c r="I2928" s="2"/>
    </row>
    <row r="2929" spans="5:9" hidden="1" x14ac:dyDescent="0.25">
      <c r="E2929" s="1"/>
      <c r="F2929" s="2"/>
      <c r="H2929" s="1"/>
      <c r="I2929" s="2"/>
    </row>
    <row r="2930" spans="5:9" hidden="1" x14ac:dyDescent="0.25">
      <c r="E2930" s="1"/>
      <c r="F2930" s="2"/>
      <c r="H2930" s="1"/>
      <c r="I2930" s="2"/>
    </row>
    <row r="2931" spans="5:9" hidden="1" x14ac:dyDescent="0.25">
      <c r="E2931" s="1"/>
      <c r="F2931" s="2"/>
      <c r="H2931" s="1"/>
      <c r="I2931" s="2"/>
    </row>
    <row r="2932" spans="5:9" hidden="1" x14ac:dyDescent="0.25">
      <c r="E2932" s="1"/>
      <c r="F2932" s="2"/>
      <c r="H2932" s="1"/>
      <c r="I2932" s="2"/>
    </row>
    <row r="2933" spans="5:9" hidden="1" x14ac:dyDescent="0.25">
      <c r="E2933" s="1"/>
      <c r="F2933" s="2"/>
      <c r="H2933" s="1"/>
      <c r="I2933" s="2"/>
    </row>
    <row r="2934" spans="5:9" hidden="1" x14ac:dyDescent="0.25">
      <c r="E2934" s="1"/>
      <c r="F2934" s="2"/>
      <c r="H2934" s="1"/>
      <c r="I2934" s="2"/>
    </row>
    <row r="2935" spans="5:9" hidden="1" x14ac:dyDescent="0.25">
      <c r="E2935" s="1"/>
      <c r="F2935" s="2"/>
      <c r="H2935" s="1"/>
      <c r="I2935" s="2"/>
    </row>
    <row r="2936" spans="5:9" hidden="1" x14ac:dyDescent="0.25">
      <c r="E2936" s="1"/>
      <c r="F2936" s="2"/>
      <c r="H2936" s="1"/>
      <c r="I2936" s="2"/>
    </row>
    <row r="2937" spans="5:9" hidden="1" x14ac:dyDescent="0.25">
      <c r="E2937" s="1"/>
      <c r="F2937" s="2"/>
      <c r="H2937" s="1"/>
      <c r="I2937" s="2"/>
    </row>
    <row r="2938" spans="5:9" hidden="1" x14ac:dyDescent="0.25">
      <c r="E2938" s="1"/>
      <c r="F2938" s="2"/>
      <c r="H2938" s="1"/>
      <c r="I2938" s="2"/>
    </row>
    <row r="2939" spans="5:9" hidden="1" x14ac:dyDescent="0.25">
      <c r="E2939" s="1"/>
      <c r="F2939" s="2"/>
      <c r="H2939" s="1"/>
      <c r="I2939" s="2"/>
    </row>
    <row r="2940" spans="5:9" hidden="1" x14ac:dyDescent="0.25">
      <c r="E2940" s="1"/>
      <c r="F2940" s="2"/>
      <c r="H2940" s="1"/>
      <c r="I2940" s="2"/>
    </row>
    <row r="2941" spans="5:9" hidden="1" x14ac:dyDescent="0.25">
      <c r="E2941" s="1"/>
      <c r="F2941" s="2"/>
      <c r="H2941" s="1"/>
      <c r="I2941" s="2"/>
    </row>
    <row r="2942" spans="5:9" hidden="1" x14ac:dyDescent="0.25">
      <c r="E2942" s="1"/>
      <c r="F2942" s="2"/>
      <c r="H2942" s="1"/>
      <c r="I2942" s="2"/>
    </row>
    <row r="2943" spans="5:9" hidden="1" x14ac:dyDescent="0.25">
      <c r="E2943" s="1"/>
      <c r="F2943" s="2"/>
      <c r="H2943" s="1"/>
      <c r="I2943" s="2"/>
    </row>
    <row r="2944" spans="5:9" hidden="1" x14ac:dyDescent="0.25">
      <c r="E2944" s="1"/>
      <c r="F2944" s="2"/>
      <c r="H2944" s="1"/>
      <c r="I2944" s="2"/>
    </row>
    <row r="2945" spans="5:9" hidden="1" x14ac:dyDescent="0.25">
      <c r="E2945" s="1"/>
      <c r="F2945" s="2"/>
      <c r="H2945" s="1"/>
      <c r="I2945" s="2"/>
    </row>
    <row r="2946" spans="5:9" hidden="1" x14ac:dyDescent="0.25">
      <c r="E2946" s="1"/>
      <c r="F2946" s="2"/>
      <c r="H2946" s="1"/>
      <c r="I2946" s="2"/>
    </row>
    <row r="2947" spans="5:9" hidden="1" x14ac:dyDescent="0.25">
      <c r="E2947" s="1"/>
      <c r="F2947" s="2"/>
      <c r="H2947" s="1"/>
      <c r="I2947" s="2"/>
    </row>
    <row r="2948" spans="5:9" hidden="1" x14ac:dyDescent="0.25">
      <c r="E2948" s="1"/>
      <c r="F2948" s="2"/>
      <c r="H2948" s="1"/>
      <c r="I2948" s="2"/>
    </row>
    <row r="2949" spans="5:9" hidden="1" x14ac:dyDescent="0.25">
      <c r="E2949" s="1"/>
      <c r="F2949" s="2"/>
      <c r="H2949" s="1"/>
      <c r="I2949" s="2"/>
    </row>
    <row r="2950" spans="5:9" hidden="1" x14ac:dyDescent="0.25">
      <c r="E2950" s="1"/>
      <c r="F2950" s="2"/>
      <c r="H2950" s="1"/>
      <c r="I2950" s="2"/>
    </row>
    <row r="2951" spans="5:9" hidden="1" x14ac:dyDescent="0.25">
      <c r="E2951" s="1"/>
      <c r="F2951" s="2"/>
      <c r="H2951" s="1"/>
      <c r="I2951" s="2"/>
    </row>
    <row r="2952" spans="5:9" hidden="1" x14ac:dyDescent="0.25">
      <c r="E2952" s="1"/>
      <c r="F2952" s="2"/>
      <c r="H2952" s="1"/>
      <c r="I2952" s="2"/>
    </row>
    <row r="2953" spans="5:9" hidden="1" x14ac:dyDescent="0.25">
      <c r="E2953" s="1"/>
      <c r="F2953" s="2"/>
      <c r="H2953" s="1"/>
      <c r="I2953" s="2"/>
    </row>
    <row r="2954" spans="5:9" hidden="1" x14ac:dyDescent="0.25">
      <c r="E2954" s="1"/>
      <c r="F2954" s="2"/>
      <c r="H2954" s="1"/>
      <c r="I2954" s="2"/>
    </row>
    <row r="2955" spans="5:9" hidden="1" x14ac:dyDescent="0.25">
      <c r="E2955" s="1"/>
      <c r="F2955" s="2"/>
      <c r="H2955" s="1"/>
      <c r="I2955" s="2"/>
    </row>
    <row r="2956" spans="5:9" hidden="1" x14ac:dyDescent="0.25">
      <c r="E2956" s="1"/>
      <c r="F2956" s="2"/>
      <c r="H2956" s="1"/>
      <c r="I2956" s="2"/>
    </row>
    <row r="2957" spans="5:9" hidden="1" x14ac:dyDescent="0.25">
      <c r="E2957" s="1"/>
      <c r="F2957" s="2"/>
      <c r="H2957" s="1"/>
      <c r="I2957" s="2"/>
    </row>
    <row r="2958" spans="5:9" hidden="1" x14ac:dyDescent="0.25">
      <c r="E2958" s="1"/>
      <c r="F2958" s="2"/>
      <c r="H2958" s="1"/>
      <c r="I2958" s="2"/>
    </row>
    <row r="2959" spans="5:9" hidden="1" x14ac:dyDescent="0.25">
      <c r="E2959" s="1"/>
      <c r="F2959" s="2"/>
      <c r="H2959" s="1"/>
      <c r="I2959" s="2"/>
    </row>
    <row r="2960" spans="5:9" hidden="1" x14ac:dyDescent="0.25">
      <c r="E2960" s="1"/>
      <c r="F2960" s="2"/>
      <c r="H2960" s="1"/>
      <c r="I2960" s="2"/>
    </row>
    <row r="2961" spans="5:9" hidden="1" x14ac:dyDescent="0.25">
      <c r="E2961" s="1"/>
      <c r="F2961" s="2"/>
      <c r="H2961" s="1"/>
      <c r="I2961" s="2"/>
    </row>
    <row r="2962" spans="5:9" hidden="1" x14ac:dyDescent="0.25">
      <c r="E2962" s="1"/>
      <c r="F2962" s="2"/>
      <c r="H2962" s="1"/>
      <c r="I2962" s="2"/>
    </row>
    <row r="2963" spans="5:9" hidden="1" x14ac:dyDescent="0.25">
      <c r="E2963" s="1"/>
      <c r="F2963" s="2"/>
      <c r="H2963" s="1"/>
      <c r="I2963" s="2"/>
    </row>
    <row r="2964" spans="5:9" hidden="1" x14ac:dyDescent="0.25">
      <c r="E2964" s="1"/>
      <c r="F2964" s="2"/>
      <c r="H2964" s="1"/>
      <c r="I2964" s="2"/>
    </row>
    <row r="2965" spans="5:9" hidden="1" x14ac:dyDescent="0.25">
      <c r="E2965" s="1"/>
      <c r="F2965" s="2"/>
      <c r="H2965" s="1"/>
      <c r="I2965" s="2"/>
    </row>
    <row r="2966" spans="5:9" hidden="1" x14ac:dyDescent="0.25">
      <c r="E2966" s="1"/>
      <c r="F2966" s="2"/>
      <c r="H2966" s="1"/>
      <c r="I2966" s="2"/>
    </row>
    <row r="2967" spans="5:9" hidden="1" x14ac:dyDescent="0.25">
      <c r="E2967" s="1"/>
      <c r="F2967" s="2"/>
      <c r="H2967" s="1"/>
      <c r="I2967" s="2"/>
    </row>
    <row r="2968" spans="5:9" hidden="1" x14ac:dyDescent="0.25">
      <c r="E2968" s="1"/>
      <c r="F2968" s="2"/>
      <c r="H2968" s="1"/>
      <c r="I2968" s="2"/>
    </row>
    <row r="2969" spans="5:9" hidden="1" x14ac:dyDescent="0.25">
      <c r="E2969" s="1"/>
      <c r="F2969" s="2"/>
      <c r="H2969" s="1"/>
      <c r="I2969" s="2"/>
    </row>
    <row r="2970" spans="5:9" hidden="1" x14ac:dyDescent="0.25">
      <c r="E2970" s="1"/>
      <c r="F2970" s="2"/>
      <c r="H2970" s="1"/>
      <c r="I2970" s="2"/>
    </row>
    <row r="2971" spans="5:9" hidden="1" x14ac:dyDescent="0.25">
      <c r="E2971" s="1"/>
      <c r="F2971" s="2"/>
      <c r="H2971" s="1"/>
      <c r="I2971" s="2"/>
    </row>
    <row r="2972" spans="5:9" hidden="1" x14ac:dyDescent="0.25">
      <c r="E2972" s="1"/>
      <c r="F2972" s="2"/>
      <c r="H2972" s="1"/>
      <c r="I2972" s="2"/>
    </row>
    <row r="2973" spans="5:9" hidden="1" x14ac:dyDescent="0.25">
      <c r="E2973" s="1"/>
      <c r="F2973" s="2"/>
      <c r="H2973" s="1"/>
      <c r="I2973" s="2"/>
    </row>
    <row r="2974" spans="5:9" hidden="1" x14ac:dyDescent="0.25">
      <c r="E2974" s="1"/>
      <c r="F2974" s="2"/>
      <c r="H2974" s="1"/>
      <c r="I2974" s="2"/>
    </row>
    <row r="2975" spans="5:9" hidden="1" x14ac:dyDescent="0.25">
      <c r="E2975" s="1"/>
      <c r="F2975" s="2"/>
      <c r="H2975" s="1"/>
      <c r="I2975" s="2"/>
    </row>
    <row r="2976" spans="5:9" hidden="1" x14ac:dyDescent="0.25">
      <c r="E2976" s="1"/>
      <c r="F2976" s="2"/>
      <c r="H2976" s="1"/>
      <c r="I2976" s="2"/>
    </row>
    <row r="2977" spans="5:9" hidden="1" x14ac:dyDescent="0.25">
      <c r="E2977" s="1"/>
      <c r="F2977" s="2"/>
      <c r="H2977" s="1"/>
      <c r="I2977" s="2"/>
    </row>
    <row r="2978" spans="5:9" hidden="1" x14ac:dyDescent="0.25">
      <c r="E2978" s="1"/>
      <c r="F2978" s="2"/>
      <c r="H2978" s="1"/>
      <c r="I2978" s="2"/>
    </row>
    <row r="2979" spans="5:9" hidden="1" x14ac:dyDescent="0.25">
      <c r="E2979" s="1"/>
      <c r="F2979" s="2"/>
      <c r="H2979" s="1"/>
      <c r="I2979" s="2"/>
    </row>
    <row r="2980" spans="5:9" hidden="1" x14ac:dyDescent="0.25">
      <c r="E2980" s="1"/>
      <c r="F2980" s="2"/>
      <c r="H2980" s="1"/>
      <c r="I2980" s="2"/>
    </row>
    <row r="2981" spans="5:9" hidden="1" x14ac:dyDescent="0.25">
      <c r="E2981" s="1"/>
      <c r="F2981" s="2"/>
      <c r="H2981" s="1"/>
      <c r="I2981" s="2"/>
    </row>
    <row r="2982" spans="5:9" hidden="1" x14ac:dyDescent="0.25">
      <c r="E2982" s="1"/>
      <c r="F2982" s="2"/>
      <c r="H2982" s="1"/>
      <c r="I2982" s="2"/>
    </row>
    <row r="2983" spans="5:9" hidden="1" x14ac:dyDescent="0.25">
      <c r="E2983" s="1"/>
      <c r="F2983" s="2"/>
      <c r="H2983" s="1"/>
      <c r="I2983" s="2"/>
    </row>
    <row r="2984" spans="5:9" hidden="1" x14ac:dyDescent="0.25">
      <c r="E2984" s="1"/>
      <c r="F2984" s="2"/>
      <c r="H2984" s="1"/>
      <c r="I2984" s="2"/>
    </row>
    <row r="2985" spans="5:9" hidden="1" x14ac:dyDescent="0.25">
      <c r="E2985" s="1"/>
      <c r="F2985" s="2"/>
      <c r="H2985" s="1"/>
      <c r="I2985" s="2"/>
    </row>
    <row r="2986" spans="5:9" hidden="1" x14ac:dyDescent="0.25">
      <c r="E2986" s="1"/>
      <c r="F2986" s="2"/>
      <c r="H2986" s="1"/>
      <c r="I2986" s="2"/>
    </row>
    <row r="2987" spans="5:9" hidden="1" x14ac:dyDescent="0.25">
      <c r="E2987" s="1"/>
      <c r="F2987" s="2"/>
      <c r="H2987" s="1"/>
      <c r="I2987" s="2"/>
    </row>
    <row r="2988" spans="5:9" hidden="1" x14ac:dyDescent="0.25">
      <c r="E2988" s="1"/>
      <c r="F2988" s="2"/>
      <c r="H2988" s="1"/>
      <c r="I2988" s="2"/>
    </row>
    <row r="2989" spans="5:9" hidden="1" x14ac:dyDescent="0.25">
      <c r="E2989" s="1"/>
      <c r="F2989" s="2"/>
      <c r="H2989" s="1"/>
      <c r="I2989" s="2"/>
    </row>
    <row r="2990" spans="5:9" hidden="1" x14ac:dyDescent="0.25">
      <c r="E2990" s="1"/>
      <c r="F2990" s="2"/>
      <c r="H2990" s="1"/>
      <c r="I2990" s="2"/>
    </row>
    <row r="2991" spans="5:9" hidden="1" x14ac:dyDescent="0.25">
      <c r="E2991" s="1"/>
      <c r="F2991" s="2"/>
      <c r="H2991" s="1"/>
      <c r="I2991" s="2"/>
    </row>
    <row r="2992" spans="5:9" hidden="1" x14ac:dyDescent="0.25">
      <c r="E2992" s="1"/>
      <c r="F2992" s="2"/>
      <c r="H2992" s="1"/>
      <c r="I2992" s="2"/>
    </row>
    <row r="2993" spans="5:9" hidden="1" x14ac:dyDescent="0.25">
      <c r="E2993" s="1"/>
      <c r="F2993" s="2"/>
      <c r="H2993" s="1"/>
      <c r="I2993" s="2"/>
    </row>
    <row r="2994" spans="5:9" hidden="1" x14ac:dyDescent="0.25">
      <c r="E2994" s="1"/>
      <c r="F2994" s="2"/>
      <c r="H2994" s="1"/>
      <c r="I2994" s="2"/>
    </row>
    <row r="2995" spans="5:9" hidden="1" x14ac:dyDescent="0.25">
      <c r="E2995" s="1"/>
      <c r="F2995" s="2"/>
      <c r="H2995" s="1"/>
      <c r="I2995" s="2"/>
    </row>
    <row r="2996" spans="5:9" hidden="1" x14ac:dyDescent="0.25">
      <c r="E2996" s="1"/>
      <c r="F2996" s="2"/>
      <c r="H2996" s="1"/>
      <c r="I2996" s="2"/>
    </row>
    <row r="2997" spans="5:9" hidden="1" x14ac:dyDescent="0.25">
      <c r="E2997" s="1"/>
      <c r="F2997" s="2"/>
      <c r="H2997" s="1"/>
      <c r="I2997" s="2"/>
    </row>
    <row r="2998" spans="5:9" hidden="1" x14ac:dyDescent="0.25">
      <c r="E2998" s="1"/>
      <c r="F2998" s="2"/>
      <c r="H2998" s="1"/>
      <c r="I2998" s="2"/>
    </row>
    <row r="2999" spans="5:9" hidden="1" x14ac:dyDescent="0.25">
      <c r="E2999" s="1"/>
      <c r="F2999" s="2"/>
      <c r="H2999" s="1"/>
      <c r="I2999" s="2"/>
    </row>
    <row r="3000" spans="5:9" hidden="1" x14ac:dyDescent="0.25">
      <c r="E3000" s="1"/>
      <c r="F3000" s="2"/>
      <c r="H3000" s="1"/>
      <c r="I3000" s="2"/>
    </row>
    <row r="3001" spans="5:9" hidden="1" x14ac:dyDescent="0.25">
      <c r="E3001" s="1"/>
      <c r="F3001" s="2"/>
      <c r="H3001" s="1"/>
      <c r="I3001" s="2"/>
    </row>
    <row r="3002" spans="5:9" hidden="1" x14ac:dyDescent="0.25">
      <c r="E3002" s="1"/>
      <c r="F3002" s="2"/>
      <c r="H3002" s="1"/>
      <c r="I3002" s="2"/>
    </row>
    <row r="3003" spans="5:9" hidden="1" x14ac:dyDescent="0.25">
      <c r="E3003" s="1"/>
      <c r="F3003" s="2"/>
      <c r="H3003" s="1"/>
      <c r="I3003" s="2"/>
    </row>
    <row r="3004" spans="5:9" hidden="1" x14ac:dyDescent="0.25">
      <c r="E3004" s="1"/>
      <c r="F3004" s="2"/>
      <c r="H3004" s="1"/>
      <c r="I3004" s="2"/>
    </row>
    <row r="3005" spans="5:9" hidden="1" x14ac:dyDescent="0.25">
      <c r="E3005" s="1"/>
      <c r="F3005" s="2"/>
      <c r="H3005" s="1"/>
      <c r="I3005" s="2"/>
    </row>
    <row r="3006" spans="5:9" hidden="1" x14ac:dyDescent="0.25">
      <c r="E3006" s="1"/>
      <c r="F3006" s="2"/>
      <c r="H3006" s="1"/>
      <c r="I3006" s="2"/>
    </row>
    <row r="3007" spans="5:9" hidden="1" x14ac:dyDescent="0.25">
      <c r="E3007" s="1"/>
      <c r="F3007" s="2"/>
      <c r="H3007" s="1"/>
      <c r="I3007" s="2"/>
    </row>
    <row r="3008" spans="5:9" hidden="1" x14ac:dyDescent="0.25">
      <c r="E3008" s="1"/>
      <c r="F3008" s="2"/>
      <c r="H3008" s="1"/>
      <c r="I3008" s="2"/>
    </row>
    <row r="3009" spans="5:9" hidden="1" x14ac:dyDescent="0.25">
      <c r="E3009" s="1"/>
      <c r="F3009" s="2"/>
      <c r="H3009" s="1"/>
      <c r="I3009" s="2"/>
    </row>
    <row r="3010" spans="5:9" hidden="1" x14ac:dyDescent="0.25">
      <c r="E3010" s="1"/>
      <c r="F3010" s="2"/>
      <c r="H3010" s="1"/>
      <c r="I3010" s="2"/>
    </row>
    <row r="3011" spans="5:9" hidden="1" x14ac:dyDescent="0.25">
      <c r="E3011" s="1"/>
      <c r="F3011" s="2"/>
      <c r="H3011" s="1"/>
      <c r="I3011" s="2"/>
    </row>
    <row r="3012" spans="5:9" hidden="1" x14ac:dyDescent="0.25">
      <c r="E3012" s="1"/>
      <c r="F3012" s="2"/>
      <c r="H3012" s="1"/>
      <c r="I3012" s="2"/>
    </row>
    <row r="3013" spans="5:9" hidden="1" x14ac:dyDescent="0.25">
      <c r="E3013" s="1"/>
      <c r="F3013" s="2"/>
      <c r="H3013" s="1"/>
      <c r="I3013" s="2"/>
    </row>
    <row r="3014" spans="5:9" hidden="1" x14ac:dyDescent="0.25">
      <c r="E3014" s="1"/>
      <c r="F3014" s="2"/>
      <c r="H3014" s="1"/>
      <c r="I3014" s="2"/>
    </row>
    <row r="3015" spans="5:9" hidden="1" x14ac:dyDescent="0.25">
      <c r="E3015" s="1"/>
      <c r="F3015" s="2"/>
      <c r="H3015" s="1"/>
      <c r="I3015" s="2"/>
    </row>
    <row r="3016" spans="5:9" hidden="1" x14ac:dyDescent="0.25">
      <c r="E3016" s="1"/>
      <c r="F3016" s="2"/>
      <c r="H3016" s="1"/>
      <c r="I3016" s="2"/>
    </row>
    <row r="3017" spans="5:9" hidden="1" x14ac:dyDescent="0.25">
      <c r="E3017" s="1"/>
      <c r="F3017" s="2"/>
      <c r="H3017" s="1"/>
      <c r="I3017" s="2"/>
    </row>
    <row r="3018" spans="5:9" hidden="1" x14ac:dyDescent="0.25">
      <c r="E3018" s="1"/>
      <c r="F3018" s="2"/>
      <c r="H3018" s="1"/>
      <c r="I3018" s="2"/>
    </row>
    <row r="3019" spans="5:9" hidden="1" x14ac:dyDescent="0.25">
      <c r="E3019" s="1"/>
      <c r="F3019" s="2"/>
      <c r="H3019" s="1"/>
      <c r="I3019" s="2"/>
    </row>
    <row r="3020" spans="5:9" hidden="1" x14ac:dyDescent="0.25">
      <c r="E3020" s="1"/>
      <c r="F3020" s="2"/>
      <c r="H3020" s="1"/>
      <c r="I3020" s="2"/>
    </row>
    <row r="3021" spans="5:9" hidden="1" x14ac:dyDescent="0.25">
      <c r="E3021" s="1"/>
      <c r="F3021" s="2"/>
      <c r="H3021" s="1"/>
      <c r="I3021" s="2"/>
    </row>
    <row r="3022" spans="5:9" hidden="1" x14ac:dyDescent="0.25">
      <c r="E3022" s="1"/>
      <c r="F3022" s="2"/>
      <c r="H3022" s="1"/>
      <c r="I3022" s="2"/>
    </row>
    <row r="3023" spans="5:9" hidden="1" x14ac:dyDescent="0.25">
      <c r="E3023" s="1"/>
      <c r="F3023" s="2"/>
      <c r="H3023" s="1"/>
      <c r="I3023" s="2"/>
    </row>
    <row r="3024" spans="5:9" hidden="1" x14ac:dyDescent="0.25">
      <c r="E3024" s="1"/>
      <c r="F3024" s="2"/>
      <c r="H3024" s="1"/>
      <c r="I3024" s="2"/>
    </row>
    <row r="3025" spans="5:9" hidden="1" x14ac:dyDescent="0.25">
      <c r="E3025" s="1"/>
      <c r="F3025" s="2"/>
      <c r="H3025" s="1"/>
      <c r="I3025" s="2"/>
    </row>
    <row r="3026" spans="5:9" hidden="1" x14ac:dyDescent="0.25">
      <c r="E3026" s="1"/>
      <c r="F3026" s="2"/>
      <c r="H3026" s="1"/>
      <c r="I3026" s="2"/>
    </row>
    <row r="3027" spans="5:9" hidden="1" x14ac:dyDescent="0.25">
      <c r="E3027" s="1"/>
      <c r="F3027" s="2"/>
      <c r="H3027" s="1"/>
      <c r="I3027" s="2"/>
    </row>
    <row r="3028" spans="5:9" hidden="1" x14ac:dyDescent="0.25">
      <c r="E3028" s="1"/>
      <c r="F3028" s="2"/>
      <c r="H3028" s="1"/>
      <c r="I3028" s="2"/>
    </row>
    <row r="3029" spans="5:9" hidden="1" x14ac:dyDescent="0.25">
      <c r="E3029" s="1"/>
      <c r="F3029" s="2"/>
      <c r="H3029" s="1"/>
      <c r="I3029" s="2"/>
    </row>
    <row r="3030" spans="5:9" hidden="1" x14ac:dyDescent="0.25">
      <c r="E3030" s="1"/>
      <c r="F3030" s="2"/>
      <c r="H3030" s="1"/>
      <c r="I3030" s="2"/>
    </row>
    <row r="3031" spans="5:9" hidden="1" x14ac:dyDescent="0.25">
      <c r="E3031" s="1"/>
      <c r="F3031" s="2"/>
      <c r="H3031" s="1"/>
      <c r="I3031" s="2"/>
    </row>
    <row r="3032" spans="5:9" hidden="1" x14ac:dyDescent="0.25">
      <c r="E3032" s="1"/>
      <c r="F3032" s="2"/>
      <c r="H3032" s="1"/>
      <c r="I3032" s="2"/>
    </row>
    <row r="3033" spans="5:9" hidden="1" x14ac:dyDescent="0.25">
      <c r="E3033" s="1"/>
      <c r="F3033" s="2"/>
      <c r="H3033" s="1"/>
      <c r="I3033" s="2"/>
    </row>
    <row r="3034" spans="5:9" hidden="1" x14ac:dyDescent="0.25">
      <c r="E3034" s="1"/>
      <c r="F3034" s="2"/>
      <c r="H3034" s="1"/>
      <c r="I3034" s="2"/>
    </row>
    <row r="3035" spans="5:9" hidden="1" x14ac:dyDescent="0.25">
      <c r="E3035" s="1"/>
      <c r="F3035" s="2"/>
      <c r="H3035" s="1"/>
      <c r="I3035" s="2"/>
    </row>
    <row r="3036" spans="5:9" hidden="1" x14ac:dyDescent="0.25">
      <c r="E3036" s="1"/>
      <c r="F3036" s="2"/>
      <c r="H3036" s="1"/>
      <c r="I3036" s="2"/>
    </row>
    <row r="3037" spans="5:9" hidden="1" x14ac:dyDescent="0.25">
      <c r="E3037" s="1"/>
      <c r="F3037" s="2"/>
      <c r="H3037" s="1"/>
      <c r="I3037" s="2"/>
    </row>
    <row r="3038" spans="5:9" hidden="1" x14ac:dyDescent="0.25">
      <c r="E3038" s="1"/>
      <c r="F3038" s="2"/>
      <c r="H3038" s="1"/>
      <c r="I3038" s="2"/>
    </row>
    <row r="3039" spans="5:9" hidden="1" x14ac:dyDescent="0.25">
      <c r="E3039" s="1"/>
      <c r="F3039" s="2"/>
      <c r="H3039" s="1"/>
      <c r="I3039" s="2"/>
    </row>
    <row r="3040" spans="5:9" hidden="1" x14ac:dyDescent="0.25">
      <c r="E3040" s="1"/>
      <c r="F3040" s="2"/>
      <c r="H3040" s="1"/>
      <c r="I3040" s="2"/>
    </row>
    <row r="3041" spans="5:9" hidden="1" x14ac:dyDescent="0.25">
      <c r="E3041" s="1"/>
      <c r="F3041" s="2"/>
      <c r="H3041" s="1"/>
      <c r="I3041" s="2"/>
    </row>
    <row r="3042" spans="5:9" hidden="1" x14ac:dyDescent="0.25">
      <c r="E3042" s="1"/>
      <c r="F3042" s="2"/>
      <c r="H3042" s="1"/>
      <c r="I3042" s="2"/>
    </row>
    <row r="3043" spans="5:9" hidden="1" x14ac:dyDescent="0.25">
      <c r="E3043" s="1"/>
      <c r="F3043" s="2"/>
      <c r="H3043" s="1"/>
      <c r="I3043" s="2"/>
    </row>
    <row r="3044" spans="5:9" hidden="1" x14ac:dyDescent="0.25">
      <c r="E3044" s="1"/>
      <c r="F3044" s="2"/>
      <c r="H3044" s="1"/>
      <c r="I3044" s="2"/>
    </row>
    <row r="3045" spans="5:9" hidden="1" x14ac:dyDescent="0.25">
      <c r="E3045" s="1"/>
      <c r="F3045" s="2"/>
      <c r="H3045" s="1"/>
      <c r="I3045" s="2"/>
    </row>
    <row r="3046" spans="5:9" hidden="1" x14ac:dyDescent="0.25">
      <c r="E3046" s="1"/>
      <c r="F3046" s="2"/>
      <c r="H3046" s="1"/>
      <c r="I3046" s="2"/>
    </row>
    <row r="3047" spans="5:9" hidden="1" x14ac:dyDescent="0.25">
      <c r="E3047" s="1"/>
      <c r="F3047" s="2"/>
      <c r="H3047" s="1"/>
      <c r="I3047" s="2"/>
    </row>
    <row r="3048" spans="5:9" hidden="1" x14ac:dyDescent="0.25">
      <c r="E3048" s="1"/>
      <c r="F3048" s="2"/>
      <c r="H3048" s="1"/>
      <c r="I3048" s="2"/>
    </row>
    <row r="3049" spans="5:9" hidden="1" x14ac:dyDescent="0.25">
      <c r="E3049" s="1"/>
      <c r="F3049" s="2"/>
      <c r="H3049" s="1"/>
      <c r="I3049" s="2"/>
    </row>
    <row r="3050" spans="5:9" hidden="1" x14ac:dyDescent="0.25">
      <c r="E3050" s="1"/>
      <c r="F3050" s="2"/>
      <c r="H3050" s="1"/>
      <c r="I3050" s="2"/>
    </row>
    <row r="3051" spans="5:9" hidden="1" x14ac:dyDescent="0.25">
      <c r="E3051" s="1"/>
      <c r="F3051" s="2"/>
      <c r="H3051" s="1"/>
      <c r="I3051" s="2"/>
    </row>
    <row r="3052" spans="5:9" hidden="1" x14ac:dyDescent="0.25">
      <c r="E3052" s="1"/>
      <c r="F3052" s="2"/>
      <c r="H3052" s="1"/>
      <c r="I3052" s="2"/>
    </row>
    <row r="3053" spans="5:9" hidden="1" x14ac:dyDescent="0.25">
      <c r="E3053" s="1"/>
      <c r="F3053" s="2"/>
      <c r="H3053" s="1"/>
      <c r="I3053" s="2"/>
    </row>
    <row r="3054" spans="5:9" hidden="1" x14ac:dyDescent="0.25">
      <c r="E3054" s="1"/>
      <c r="F3054" s="2"/>
      <c r="H3054" s="1"/>
      <c r="I3054" s="2"/>
    </row>
    <row r="3055" spans="5:9" hidden="1" x14ac:dyDescent="0.25">
      <c r="E3055" s="1"/>
      <c r="F3055" s="2"/>
      <c r="H3055" s="1"/>
      <c r="I3055" s="2"/>
    </row>
    <row r="3056" spans="5:9" hidden="1" x14ac:dyDescent="0.25">
      <c r="E3056" s="1"/>
      <c r="F3056" s="2"/>
      <c r="H3056" s="1"/>
      <c r="I3056" s="2"/>
    </row>
    <row r="3057" spans="5:9" hidden="1" x14ac:dyDescent="0.25">
      <c r="E3057" s="1"/>
      <c r="F3057" s="2"/>
      <c r="H3057" s="1"/>
      <c r="I3057" s="2"/>
    </row>
    <row r="3058" spans="5:9" hidden="1" x14ac:dyDescent="0.25">
      <c r="E3058" s="1"/>
      <c r="F3058" s="2"/>
      <c r="H3058" s="1"/>
      <c r="I3058" s="2"/>
    </row>
    <row r="3059" spans="5:9" hidden="1" x14ac:dyDescent="0.25">
      <c r="E3059" s="1"/>
      <c r="F3059" s="2"/>
      <c r="H3059" s="1"/>
      <c r="I3059" s="2"/>
    </row>
    <row r="3060" spans="5:9" hidden="1" x14ac:dyDescent="0.25">
      <c r="E3060" s="1"/>
      <c r="F3060" s="2"/>
      <c r="H3060" s="1"/>
      <c r="I3060" s="2"/>
    </row>
    <row r="3061" spans="5:9" hidden="1" x14ac:dyDescent="0.25">
      <c r="E3061" s="1"/>
      <c r="F3061" s="2"/>
      <c r="H3061" s="1"/>
      <c r="I3061" s="2"/>
    </row>
    <row r="3062" spans="5:9" hidden="1" x14ac:dyDescent="0.25">
      <c r="E3062" s="1"/>
      <c r="F3062" s="2"/>
      <c r="H3062" s="1"/>
      <c r="I3062" s="2"/>
    </row>
    <row r="3063" spans="5:9" hidden="1" x14ac:dyDescent="0.25">
      <c r="E3063" s="1"/>
      <c r="F3063" s="2"/>
      <c r="H3063" s="1"/>
      <c r="I3063" s="2"/>
    </row>
    <row r="3064" spans="5:9" hidden="1" x14ac:dyDescent="0.25">
      <c r="E3064" s="1"/>
      <c r="F3064" s="2"/>
      <c r="H3064" s="1"/>
      <c r="I3064" s="2"/>
    </row>
    <row r="3065" spans="5:9" hidden="1" x14ac:dyDescent="0.25">
      <c r="E3065" s="1"/>
      <c r="F3065" s="2"/>
      <c r="H3065" s="1"/>
      <c r="I3065" s="2"/>
    </row>
    <row r="3066" spans="5:9" hidden="1" x14ac:dyDescent="0.25">
      <c r="E3066" s="1"/>
      <c r="F3066" s="2"/>
      <c r="H3066" s="1"/>
      <c r="I3066" s="2"/>
    </row>
    <row r="3067" spans="5:9" hidden="1" x14ac:dyDescent="0.25">
      <c r="E3067" s="1"/>
      <c r="F3067" s="2"/>
      <c r="H3067" s="1"/>
      <c r="I3067" s="2"/>
    </row>
    <row r="3068" spans="5:9" hidden="1" x14ac:dyDescent="0.25">
      <c r="E3068" s="1"/>
      <c r="F3068" s="2"/>
      <c r="H3068" s="1"/>
      <c r="I3068" s="2"/>
    </row>
    <row r="3069" spans="5:9" hidden="1" x14ac:dyDescent="0.25">
      <c r="E3069" s="1"/>
      <c r="F3069" s="2"/>
      <c r="H3069" s="1"/>
      <c r="I3069" s="2"/>
    </row>
    <row r="3070" spans="5:9" hidden="1" x14ac:dyDescent="0.25">
      <c r="E3070" s="1"/>
      <c r="F3070" s="2"/>
      <c r="H3070" s="1"/>
      <c r="I3070" s="2"/>
    </row>
    <row r="3071" spans="5:9" hidden="1" x14ac:dyDescent="0.25">
      <c r="E3071" s="1"/>
      <c r="F3071" s="2"/>
      <c r="H3071" s="1"/>
      <c r="I3071" s="2"/>
    </row>
    <row r="3072" spans="5:9" hidden="1" x14ac:dyDescent="0.25">
      <c r="E3072" s="1"/>
      <c r="F3072" s="2"/>
      <c r="H3072" s="1"/>
      <c r="I3072" s="2"/>
    </row>
    <row r="3073" spans="5:9" hidden="1" x14ac:dyDescent="0.25">
      <c r="E3073" s="1"/>
      <c r="F3073" s="2"/>
      <c r="H3073" s="1"/>
      <c r="I3073" s="2"/>
    </row>
    <row r="3074" spans="5:9" hidden="1" x14ac:dyDescent="0.25">
      <c r="E3074" s="1"/>
      <c r="F3074" s="2"/>
      <c r="H3074" s="1"/>
      <c r="I3074" s="2"/>
    </row>
    <row r="3075" spans="5:9" hidden="1" x14ac:dyDescent="0.25">
      <c r="E3075" s="1"/>
      <c r="F3075" s="2"/>
      <c r="H3075" s="1"/>
      <c r="I3075" s="2"/>
    </row>
    <row r="3076" spans="5:9" hidden="1" x14ac:dyDescent="0.25">
      <c r="E3076" s="1"/>
      <c r="F3076" s="2"/>
      <c r="H3076" s="1"/>
      <c r="I3076" s="2"/>
    </row>
    <row r="3077" spans="5:9" hidden="1" x14ac:dyDescent="0.25">
      <c r="E3077" s="1"/>
      <c r="F3077" s="2"/>
      <c r="H3077" s="1"/>
      <c r="I3077" s="2"/>
    </row>
    <row r="3078" spans="5:9" hidden="1" x14ac:dyDescent="0.25">
      <c r="E3078" s="1"/>
      <c r="F3078" s="2"/>
      <c r="H3078" s="1"/>
      <c r="I3078" s="2"/>
    </row>
    <row r="3079" spans="5:9" hidden="1" x14ac:dyDescent="0.25">
      <c r="E3079" s="1"/>
      <c r="F3079" s="2"/>
      <c r="H3079" s="1"/>
      <c r="I3079" s="2"/>
    </row>
    <row r="3080" spans="5:9" hidden="1" x14ac:dyDescent="0.25">
      <c r="E3080" s="1"/>
      <c r="F3080" s="2"/>
      <c r="H3080" s="1"/>
      <c r="I3080" s="2"/>
    </row>
    <row r="3081" spans="5:9" hidden="1" x14ac:dyDescent="0.25">
      <c r="E3081" s="1"/>
      <c r="F3081" s="2"/>
      <c r="H3081" s="1"/>
      <c r="I3081" s="2"/>
    </row>
    <row r="3082" spans="5:9" hidden="1" x14ac:dyDescent="0.25">
      <c r="E3082" s="1"/>
      <c r="F3082" s="2"/>
      <c r="H3082" s="1"/>
      <c r="I3082" s="2"/>
    </row>
    <row r="3083" spans="5:9" hidden="1" x14ac:dyDescent="0.25">
      <c r="E3083" s="1"/>
      <c r="F3083" s="2"/>
      <c r="H3083" s="1"/>
      <c r="I3083" s="2"/>
    </row>
    <row r="3084" spans="5:9" hidden="1" x14ac:dyDescent="0.25">
      <c r="E3084" s="1"/>
      <c r="F3084" s="2"/>
      <c r="H3084" s="1"/>
      <c r="I3084" s="2"/>
    </row>
    <row r="3085" spans="5:9" hidden="1" x14ac:dyDescent="0.25">
      <c r="E3085" s="1"/>
      <c r="F3085" s="2"/>
      <c r="H3085" s="1"/>
      <c r="I3085" s="2"/>
    </row>
    <row r="3086" spans="5:9" hidden="1" x14ac:dyDescent="0.25">
      <c r="E3086" s="1"/>
      <c r="F3086" s="2"/>
      <c r="H3086" s="1"/>
      <c r="I3086" s="2"/>
    </row>
    <row r="3087" spans="5:9" hidden="1" x14ac:dyDescent="0.25">
      <c r="E3087" s="1"/>
      <c r="F3087" s="2"/>
      <c r="H3087" s="1"/>
      <c r="I3087" s="2"/>
    </row>
    <row r="3088" spans="5:9" hidden="1" x14ac:dyDescent="0.25">
      <c r="E3088" s="1"/>
      <c r="F3088" s="2"/>
      <c r="H3088" s="1"/>
      <c r="I3088" s="2"/>
    </row>
    <row r="3089" spans="5:9" hidden="1" x14ac:dyDescent="0.25">
      <c r="E3089" s="1"/>
      <c r="F3089" s="2"/>
      <c r="H3089" s="1"/>
      <c r="I3089" s="2"/>
    </row>
    <row r="3090" spans="5:9" hidden="1" x14ac:dyDescent="0.25">
      <c r="E3090" s="1"/>
      <c r="F3090" s="2"/>
      <c r="H3090" s="1"/>
      <c r="I3090" s="2"/>
    </row>
    <row r="3091" spans="5:9" hidden="1" x14ac:dyDescent="0.25">
      <c r="E3091" s="1"/>
      <c r="F3091" s="2"/>
      <c r="H3091" s="1"/>
      <c r="I3091" s="2"/>
    </row>
    <row r="3092" spans="5:9" hidden="1" x14ac:dyDescent="0.25">
      <c r="E3092" s="1"/>
      <c r="F3092" s="2"/>
      <c r="H3092" s="1"/>
      <c r="I3092" s="2"/>
    </row>
    <row r="3093" spans="5:9" hidden="1" x14ac:dyDescent="0.25">
      <c r="E3093" s="1"/>
      <c r="F3093" s="2"/>
      <c r="H3093" s="1"/>
      <c r="I3093" s="2"/>
    </row>
    <row r="3094" spans="5:9" hidden="1" x14ac:dyDescent="0.25">
      <c r="E3094" s="1"/>
      <c r="F3094" s="2"/>
      <c r="H3094" s="1"/>
      <c r="I3094" s="2"/>
    </row>
    <row r="3095" spans="5:9" hidden="1" x14ac:dyDescent="0.25">
      <c r="E3095" s="1"/>
      <c r="F3095" s="2"/>
      <c r="H3095" s="1"/>
      <c r="I3095" s="2"/>
    </row>
    <row r="3096" spans="5:9" hidden="1" x14ac:dyDescent="0.25">
      <c r="E3096" s="1"/>
      <c r="F3096" s="2"/>
      <c r="H3096" s="1"/>
      <c r="I3096" s="2"/>
    </row>
    <row r="3097" spans="5:9" hidden="1" x14ac:dyDescent="0.25">
      <c r="E3097" s="1"/>
      <c r="F3097" s="2"/>
      <c r="H3097" s="1"/>
      <c r="I3097" s="2"/>
    </row>
    <row r="3098" spans="5:9" hidden="1" x14ac:dyDescent="0.25">
      <c r="E3098" s="1"/>
      <c r="F3098" s="2"/>
      <c r="H3098" s="1"/>
      <c r="I3098" s="2"/>
    </row>
    <row r="3099" spans="5:9" hidden="1" x14ac:dyDescent="0.25">
      <c r="E3099" s="1"/>
      <c r="F3099" s="2"/>
      <c r="H3099" s="1"/>
      <c r="I3099" s="2"/>
    </row>
    <row r="3100" spans="5:9" hidden="1" x14ac:dyDescent="0.25">
      <c r="E3100" s="1"/>
      <c r="F3100" s="2"/>
      <c r="H3100" s="1"/>
      <c r="I3100" s="2"/>
    </row>
    <row r="3101" spans="5:9" hidden="1" x14ac:dyDescent="0.25">
      <c r="E3101" s="1"/>
      <c r="F3101" s="2"/>
      <c r="H3101" s="1"/>
      <c r="I3101" s="2"/>
    </row>
    <row r="3102" spans="5:9" hidden="1" x14ac:dyDescent="0.25">
      <c r="E3102" s="1"/>
      <c r="F3102" s="2"/>
      <c r="H3102" s="1"/>
      <c r="I3102" s="2"/>
    </row>
    <row r="3103" spans="5:9" hidden="1" x14ac:dyDescent="0.25">
      <c r="E3103" s="1"/>
      <c r="F3103" s="2"/>
      <c r="H3103" s="1"/>
      <c r="I3103" s="2"/>
    </row>
    <row r="3104" spans="5:9" hidden="1" x14ac:dyDescent="0.25">
      <c r="E3104" s="1"/>
      <c r="F3104" s="2"/>
      <c r="H3104" s="1"/>
      <c r="I3104" s="2"/>
    </row>
    <row r="3105" spans="5:9" hidden="1" x14ac:dyDescent="0.25">
      <c r="E3105" s="1"/>
      <c r="F3105" s="2"/>
      <c r="H3105" s="1"/>
      <c r="I3105" s="2"/>
    </row>
    <row r="3106" spans="5:9" hidden="1" x14ac:dyDescent="0.25">
      <c r="E3106" s="1"/>
      <c r="F3106" s="2"/>
      <c r="H3106" s="1"/>
      <c r="I3106" s="2"/>
    </row>
    <row r="3107" spans="5:9" hidden="1" x14ac:dyDescent="0.25">
      <c r="E3107" s="1"/>
      <c r="F3107" s="2"/>
      <c r="H3107" s="1"/>
      <c r="I3107" s="2"/>
    </row>
    <row r="3108" spans="5:9" hidden="1" x14ac:dyDescent="0.25">
      <c r="E3108" s="1"/>
      <c r="F3108" s="2"/>
      <c r="H3108" s="1"/>
      <c r="I3108" s="2"/>
    </row>
    <row r="3109" spans="5:9" hidden="1" x14ac:dyDescent="0.25">
      <c r="E3109" s="1"/>
      <c r="F3109" s="2"/>
      <c r="H3109" s="1"/>
      <c r="I3109" s="2"/>
    </row>
    <row r="3110" spans="5:9" hidden="1" x14ac:dyDescent="0.25">
      <c r="E3110" s="1"/>
      <c r="F3110" s="2"/>
      <c r="H3110" s="1"/>
      <c r="I3110" s="2"/>
    </row>
    <row r="3111" spans="5:9" hidden="1" x14ac:dyDescent="0.25">
      <c r="E3111" s="1"/>
      <c r="F3111" s="2"/>
      <c r="H3111" s="1"/>
      <c r="I3111" s="2"/>
    </row>
    <row r="3112" spans="5:9" hidden="1" x14ac:dyDescent="0.25">
      <c r="E3112" s="1"/>
      <c r="F3112" s="2"/>
      <c r="H3112" s="1"/>
      <c r="I3112" s="2"/>
    </row>
    <row r="3113" spans="5:9" hidden="1" x14ac:dyDescent="0.25">
      <c r="E3113" s="1"/>
      <c r="F3113" s="2"/>
      <c r="H3113" s="1"/>
      <c r="I3113" s="2"/>
    </row>
    <row r="3114" spans="5:9" hidden="1" x14ac:dyDescent="0.25">
      <c r="E3114" s="1"/>
      <c r="F3114" s="2"/>
      <c r="H3114" s="1"/>
      <c r="I3114" s="2"/>
    </row>
    <row r="3115" spans="5:9" hidden="1" x14ac:dyDescent="0.25">
      <c r="E3115" s="1"/>
      <c r="F3115" s="2"/>
      <c r="H3115" s="1"/>
      <c r="I3115" s="2"/>
    </row>
    <row r="3116" spans="5:9" hidden="1" x14ac:dyDescent="0.25">
      <c r="E3116" s="1"/>
      <c r="F3116" s="2"/>
      <c r="H3116" s="1"/>
      <c r="I3116" s="2"/>
    </row>
    <row r="3117" spans="5:9" hidden="1" x14ac:dyDescent="0.25">
      <c r="E3117" s="1"/>
      <c r="F3117" s="2"/>
      <c r="H3117" s="1"/>
      <c r="I3117" s="2"/>
    </row>
    <row r="3118" spans="5:9" hidden="1" x14ac:dyDescent="0.25">
      <c r="E3118" s="1"/>
      <c r="F3118" s="2"/>
      <c r="H3118" s="1"/>
      <c r="I3118" s="2"/>
    </row>
    <row r="3119" spans="5:9" hidden="1" x14ac:dyDescent="0.25">
      <c r="E3119" s="1"/>
      <c r="F3119" s="2"/>
      <c r="H3119" s="1"/>
      <c r="I3119" s="2"/>
    </row>
    <row r="3120" spans="5:9" hidden="1" x14ac:dyDescent="0.25">
      <c r="E3120" s="1"/>
      <c r="F3120" s="2"/>
      <c r="H3120" s="1"/>
      <c r="I3120" s="2"/>
    </row>
    <row r="3121" spans="5:9" hidden="1" x14ac:dyDescent="0.25">
      <c r="E3121" s="1"/>
      <c r="F3121" s="2"/>
      <c r="H3121" s="1"/>
      <c r="I3121" s="2"/>
    </row>
    <row r="3122" spans="5:9" hidden="1" x14ac:dyDescent="0.25">
      <c r="E3122" s="1"/>
      <c r="F3122" s="2"/>
      <c r="H3122" s="1"/>
      <c r="I3122" s="2"/>
    </row>
    <row r="3123" spans="5:9" hidden="1" x14ac:dyDescent="0.25">
      <c r="E3123" s="1"/>
      <c r="F3123" s="2"/>
      <c r="H3123" s="1"/>
      <c r="I3123" s="2"/>
    </row>
    <row r="3124" spans="5:9" hidden="1" x14ac:dyDescent="0.25">
      <c r="E3124" s="1"/>
      <c r="F3124" s="2"/>
      <c r="H3124" s="1"/>
      <c r="I3124" s="2"/>
    </row>
    <row r="3125" spans="5:9" hidden="1" x14ac:dyDescent="0.25">
      <c r="E3125" s="1"/>
      <c r="F3125" s="2"/>
      <c r="H3125" s="1"/>
      <c r="I3125" s="2"/>
    </row>
    <row r="3126" spans="5:9" hidden="1" x14ac:dyDescent="0.25">
      <c r="E3126" s="1"/>
      <c r="F3126" s="2"/>
      <c r="H3126" s="1"/>
      <c r="I3126" s="2"/>
    </row>
    <row r="3127" spans="5:9" hidden="1" x14ac:dyDescent="0.25">
      <c r="E3127" s="1"/>
      <c r="F3127" s="2"/>
      <c r="H3127" s="1"/>
      <c r="I3127" s="2"/>
    </row>
    <row r="3128" spans="5:9" hidden="1" x14ac:dyDescent="0.25">
      <c r="E3128" s="1"/>
      <c r="F3128" s="2"/>
      <c r="H3128" s="1"/>
      <c r="I3128" s="2"/>
    </row>
    <row r="3129" spans="5:9" hidden="1" x14ac:dyDescent="0.25">
      <c r="E3129" s="1"/>
      <c r="F3129" s="2"/>
      <c r="H3129" s="1"/>
      <c r="I3129" s="2"/>
    </row>
    <row r="3130" spans="5:9" hidden="1" x14ac:dyDescent="0.25">
      <c r="E3130" s="1"/>
      <c r="F3130" s="2"/>
      <c r="H3130" s="1"/>
      <c r="I3130" s="2"/>
    </row>
    <row r="3131" spans="5:9" hidden="1" x14ac:dyDescent="0.25">
      <c r="E3131" s="1"/>
      <c r="F3131" s="2"/>
      <c r="H3131" s="1"/>
      <c r="I3131" s="2"/>
    </row>
    <row r="3132" spans="5:9" hidden="1" x14ac:dyDescent="0.25">
      <c r="E3132" s="1"/>
      <c r="F3132" s="2"/>
      <c r="H3132" s="1"/>
      <c r="I3132" s="2"/>
    </row>
    <row r="3133" spans="5:9" hidden="1" x14ac:dyDescent="0.25">
      <c r="E3133" s="1"/>
      <c r="F3133" s="2"/>
      <c r="H3133" s="1"/>
      <c r="I3133" s="2"/>
    </row>
    <row r="3134" spans="5:9" hidden="1" x14ac:dyDescent="0.25">
      <c r="E3134" s="1"/>
      <c r="F3134" s="2"/>
      <c r="H3134" s="1"/>
      <c r="I3134" s="2"/>
    </row>
    <row r="3135" spans="5:9" hidden="1" x14ac:dyDescent="0.25">
      <c r="E3135" s="1"/>
      <c r="F3135" s="2"/>
      <c r="H3135" s="1"/>
      <c r="I3135" s="2"/>
    </row>
    <row r="3136" spans="5:9" hidden="1" x14ac:dyDescent="0.25">
      <c r="E3136" s="1"/>
      <c r="F3136" s="2"/>
      <c r="H3136" s="1"/>
      <c r="I3136" s="2"/>
    </row>
    <row r="3137" spans="5:9" hidden="1" x14ac:dyDescent="0.25">
      <c r="E3137" s="1"/>
      <c r="F3137" s="2"/>
      <c r="H3137" s="1"/>
      <c r="I3137" s="2"/>
    </row>
    <row r="3138" spans="5:9" hidden="1" x14ac:dyDescent="0.25">
      <c r="E3138" s="1"/>
      <c r="F3138" s="2"/>
      <c r="H3138" s="1"/>
      <c r="I3138" s="2"/>
    </row>
    <row r="3139" spans="5:9" hidden="1" x14ac:dyDescent="0.25">
      <c r="E3139" s="1"/>
      <c r="F3139" s="2"/>
      <c r="H3139" s="1"/>
      <c r="I3139" s="2"/>
    </row>
    <row r="3140" spans="5:9" hidden="1" x14ac:dyDescent="0.25">
      <c r="E3140" s="1"/>
      <c r="F3140" s="2"/>
      <c r="H3140" s="1"/>
      <c r="I3140" s="2"/>
    </row>
    <row r="3141" spans="5:9" hidden="1" x14ac:dyDescent="0.25">
      <c r="E3141" s="1"/>
      <c r="F3141" s="2"/>
      <c r="H3141" s="1"/>
      <c r="I3141" s="2"/>
    </row>
    <row r="3142" spans="5:9" hidden="1" x14ac:dyDescent="0.25">
      <c r="E3142" s="1"/>
      <c r="F3142" s="2"/>
      <c r="H3142" s="1"/>
      <c r="I3142" s="2"/>
    </row>
    <row r="3143" spans="5:9" hidden="1" x14ac:dyDescent="0.25">
      <c r="E3143" s="1"/>
      <c r="F3143" s="2"/>
      <c r="H3143" s="1"/>
      <c r="I3143" s="2"/>
    </row>
    <row r="3144" spans="5:9" hidden="1" x14ac:dyDescent="0.25">
      <c r="E3144" s="1"/>
      <c r="F3144" s="2"/>
      <c r="H3144" s="1"/>
      <c r="I3144" s="2"/>
    </row>
    <row r="3145" spans="5:9" hidden="1" x14ac:dyDescent="0.25">
      <c r="E3145" s="1"/>
      <c r="F3145" s="2"/>
      <c r="H3145" s="1"/>
      <c r="I3145" s="2"/>
    </row>
    <row r="3146" spans="5:9" hidden="1" x14ac:dyDescent="0.25">
      <c r="E3146" s="1"/>
      <c r="F3146" s="2"/>
      <c r="H3146" s="1"/>
      <c r="I3146" s="2"/>
    </row>
    <row r="3147" spans="5:9" hidden="1" x14ac:dyDescent="0.25">
      <c r="E3147" s="1"/>
      <c r="F3147" s="2"/>
      <c r="H3147" s="1"/>
      <c r="I3147" s="2"/>
    </row>
    <row r="3148" spans="5:9" hidden="1" x14ac:dyDescent="0.25">
      <c r="E3148" s="1"/>
      <c r="F3148" s="2"/>
      <c r="H3148" s="1"/>
      <c r="I3148" s="2"/>
    </row>
    <row r="3149" spans="5:9" hidden="1" x14ac:dyDescent="0.25">
      <c r="E3149" s="1"/>
      <c r="F3149" s="2"/>
      <c r="H3149" s="1"/>
      <c r="I3149" s="2"/>
    </row>
    <row r="3150" spans="5:9" hidden="1" x14ac:dyDescent="0.25">
      <c r="E3150" s="1"/>
      <c r="F3150" s="2"/>
      <c r="H3150" s="1"/>
      <c r="I3150" s="2"/>
    </row>
    <row r="3151" spans="5:9" hidden="1" x14ac:dyDescent="0.25">
      <c r="E3151" s="1"/>
      <c r="F3151" s="2"/>
      <c r="H3151" s="1"/>
      <c r="I3151" s="2"/>
    </row>
    <row r="3152" spans="5:9" hidden="1" x14ac:dyDescent="0.25">
      <c r="E3152" s="1"/>
      <c r="F3152" s="2"/>
      <c r="H3152" s="1"/>
      <c r="I3152" s="2"/>
    </row>
    <row r="3153" spans="5:9" hidden="1" x14ac:dyDescent="0.25">
      <c r="E3153" s="1"/>
      <c r="F3153" s="2"/>
      <c r="H3153" s="1"/>
      <c r="I3153" s="2"/>
    </row>
    <row r="3154" spans="5:9" hidden="1" x14ac:dyDescent="0.25">
      <c r="E3154" s="1"/>
      <c r="F3154" s="2"/>
      <c r="H3154" s="1"/>
      <c r="I3154" s="2"/>
    </row>
    <row r="3155" spans="5:9" hidden="1" x14ac:dyDescent="0.25">
      <c r="E3155" s="1"/>
      <c r="F3155" s="2"/>
      <c r="H3155" s="1"/>
      <c r="I3155" s="2"/>
    </row>
    <row r="3156" spans="5:9" hidden="1" x14ac:dyDescent="0.25">
      <c r="E3156" s="1"/>
      <c r="F3156" s="2"/>
      <c r="H3156" s="1"/>
      <c r="I3156" s="2"/>
    </row>
    <row r="3157" spans="5:9" hidden="1" x14ac:dyDescent="0.25">
      <c r="E3157" s="1"/>
      <c r="F3157" s="2"/>
      <c r="H3157" s="1"/>
      <c r="I3157" s="2"/>
    </row>
    <row r="3158" spans="5:9" hidden="1" x14ac:dyDescent="0.25">
      <c r="E3158" s="1"/>
      <c r="F3158" s="2"/>
      <c r="H3158" s="1"/>
      <c r="I3158" s="2"/>
    </row>
    <row r="3159" spans="5:9" hidden="1" x14ac:dyDescent="0.25">
      <c r="E3159" s="1"/>
      <c r="F3159" s="2"/>
      <c r="H3159" s="1"/>
      <c r="I3159" s="2"/>
    </row>
    <row r="3160" spans="5:9" hidden="1" x14ac:dyDescent="0.25">
      <c r="E3160" s="1"/>
      <c r="F3160" s="2"/>
      <c r="H3160" s="1"/>
      <c r="I3160" s="2"/>
    </row>
    <row r="3161" spans="5:9" hidden="1" x14ac:dyDescent="0.25">
      <c r="E3161" s="1"/>
      <c r="F3161" s="2"/>
      <c r="H3161" s="1"/>
      <c r="I3161" s="2"/>
    </row>
    <row r="3162" spans="5:9" hidden="1" x14ac:dyDescent="0.25">
      <c r="E3162" s="1"/>
      <c r="F3162" s="2"/>
      <c r="H3162" s="1"/>
      <c r="I3162" s="2"/>
    </row>
    <row r="3163" spans="5:9" hidden="1" x14ac:dyDescent="0.25">
      <c r="E3163" s="1"/>
      <c r="F3163" s="2"/>
      <c r="H3163" s="1"/>
      <c r="I3163" s="2"/>
    </row>
    <row r="3164" spans="5:9" hidden="1" x14ac:dyDescent="0.25">
      <c r="E3164" s="1"/>
      <c r="F3164" s="2"/>
      <c r="H3164" s="1"/>
      <c r="I3164" s="2"/>
    </row>
    <row r="3165" spans="5:9" hidden="1" x14ac:dyDescent="0.25">
      <c r="E3165" s="1"/>
      <c r="F3165" s="2"/>
      <c r="H3165" s="1"/>
      <c r="I3165" s="2"/>
    </row>
    <row r="3166" spans="5:9" hidden="1" x14ac:dyDescent="0.25">
      <c r="E3166" s="1"/>
      <c r="F3166" s="2"/>
      <c r="H3166" s="1"/>
      <c r="I3166" s="2"/>
    </row>
    <row r="3167" spans="5:9" hidden="1" x14ac:dyDescent="0.25">
      <c r="E3167" s="1"/>
      <c r="F3167" s="2"/>
      <c r="H3167" s="1"/>
      <c r="I3167" s="2"/>
    </row>
    <row r="3168" spans="5:9" hidden="1" x14ac:dyDescent="0.25">
      <c r="E3168" s="1"/>
      <c r="F3168" s="2"/>
      <c r="H3168" s="1"/>
      <c r="I3168" s="2"/>
    </row>
    <row r="3169" spans="5:9" hidden="1" x14ac:dyDescent="0.25">
      <c r="E3169" s="1"/>
      <c r="F3169" s="2"/>
      <c r="H3169" s="1"/>
      <c r="I3169" s="2"/>
    </row>
    <row r="3170" spans="5:9" hidden="1" x14ac:dyDescent="0.25">
      <c r="E3170" s="1"/>
      <c r="F3170" s="2"/>
      <c r="H3170" s="1"/>
      <c r="I3170" s="2"/>
    </row>
    <row r="3171" spans="5:9" hidden="1" x14ac:dyDescent="0.25">
      <c r="E3171" s="1"/>
      <c r="F3171" s="2"/>
      <c r="H3171" s="1"/>
      <c r="I3171" s="2"/>
    </row>
    <row r="3172" spans="5:9" hidden="1" x14ac:dyDescent="0.25">
      <c r="E3172" s="1"/>
      <c r="F3172" s="2"/>
      <c r="H3172" s="1"/>
      <c r="I3172" s="2"/>
    </row>
    <row r="3173" spans="5:9" hidden="1" x14ac:dyDescent="0.25">
      <c r="E3173" s="1"/>
      <c r="F3173" s="2"/>
      <c r="H3173" s="1"/>
      <c r="I3173" s="2"/>
    </row>
    <row r="3174" spans="5:9" hidden="1" x14ac:dyDescent="0.25">
      <c r="E3174" s="1"/>
      <c r="F3174" s="2"/>
      <c r="H3174" s="1"/>
      <c r="I3174" s="2"/>
    </row>
    <row r="3175" spans="5:9" hidden="1" x14ac:dyDescent="0.25">
      <c r="E3175" s="1"/>
      <c r="F3175" s="2"/>
      <c r="H3175" s="1"/>
      <c r="I3175" s="2"/>
    </row>
    <row r="3176" spans="5:9" hidden="1" x14ac:dyDescent="0.25">
      <c r="E3176" s="1"/>
      <c r="F3176" s="2"/>
      <c r="H3176" s="1"/>
      <c r="I3176" s="2"/>
    </row>
    <row r="3177" spans="5:9" hidden="1" x14ac:dyDescent="0.25">
      <c r="E3177" s="1"/>
      <c r="F3177" s="2"/>
      <c r="H3177" s="1"/>
      <c r="I3177" s="2"/>
    </row>
    <row r="3178" spans="5:9" hidden="1" x14ac:dyDescent="0.25">
      <c r="E3178" s="1"/>
      <c r="F3178" s="2"/>
      <c r="H3178" s="1"/>
      <c r="I3178" s="2"/>
    </row>
    <row r="3179" spans="5:9" hidden="1" x14ac:dyDescent="0.25">
      <c r="E3179" s="1"/>
      <c r="F3179" s="2"/>
      <c r="H3179" s="1"/>
      <c r="I3179" s="2"/>
    </row>
    <row r="3180" spans="5:9" hidden="1" x14ac:dyDescent="0.25">
      <c r="E3180" s="1"/>
      <c r="F3180" s="2"/>
      <c r="H3180" s="1"/>
      <c r="I3180" s="2"/>
    </row>
    <row r="3181" spans="5:9" hidden="1" x14ac:dyDescent="0.25">
      <c r="E3181" s="1"/>
      <c r="F3181" s="2"/>
      <c r="H3181" s="1"/>
      <c r="I3181" s="2"/>
    </row>
    <row r="3182" spans="5:9" hidden="1" x14ac:dyDescent="0.25">
      <c r="E3182" s="1"/>
      <c r="F3182" s="2"/>
      <c r="H3182" s="1"/>
      <c r="I3182" s="2"/>
    </row>
    <row r="3183" spans="5:9" hidden="1" x14ac:dyDescent="0.25">
      <c r="E3183" s="1"/>
      <c r="F3183" s="2"/>
      <c r="H3183" s="1"/>
      <c r="I3183" s="2"/>
    </row>
    <row r="3184" spans="5:9" hidden="1" x14ac:dyDescent="0.25">
      <c r="E3184" s="1"/>
      <c r="F3184" s="2"/>
      <c r="H3184" s="1"/>
      <c r="I3184" s="2"/>
    </row>
    <row r="3185" spans="5:9" hidden="1" x14ac:dyDescent="0.25">
      <c r="E3185" s="1"/>
      <c r="F3185" s="2"/>
      <c r="H3185" s="1"/>
      <c r="I3185" s="2"/>
    </row>
    <row r="3186" spans="5:9" hidden="1" x14ac:dyDescent="0.25">
      <c r="E3186" s="1"/>
      <c r="F3186" s="2"/>
      <c r="H3186" s="1"/>
      <c r="I3186" s="2"/>
    </row>
    <row r="3187" spans="5:9" hidden="1" x14ac:dyDescent="0.25">
      <c r="E3187" s="1"/>
      <c r="F3187" s="2"/>
      <c r="H3187" s="1"/>
      <c r="I3187" s="2"/>
    </row>
    <row r="3188" spans="5:9" hidden="1" x14ac:dyDescent="0.25">
      <c r="E3188" s="1"/>
      <c r="F3188" s="2"/>
      <c r="H3188" s="1"/>
      <c r="I3188" s="2"/>
    </row>
    <row r="3189" spans="5:9" hidden="1" x14ac:dyDescent="0.25">
      <c r="E3189" s="1"/>
      <c r="F3189" s="2"/>
      <c r="H3189" s="1"/>
      <c r="I3189" s="2"/>
    </row>
    <row r="3190" spans="5:9" hidden="1" x14ac:dyDescent="0.25">
      <c r="E3190" s="1"/>
      <c r="F3190" s="2"/>
      <c r="H3190" s="1"/>
      <c r="I3190" s="2"/>
    </row>
    <row r="3191" spans="5:9" hidden="1" x14ac:dyDescent="0.25">
      <c r="E3191" s="1"/>
      <c r="F3191" s="2"/>
      <c r="H3191" s="1"/>
      <c r="I3191" s="2"/>
    </row>
    <row r="3192" spans="5:9" hidden="1" x14ac:dyDescent="0.25">
      <c r="E3192" s="1"/>
      <c r="F3192" s="2"/>
      <c r="H3192" s="1"/>
      <c r="I3192" s="2"/>
    </row>
    <row r="3193" spans="5:9" hidden="1" x14ac:dyDescent="0.25">
      <c r="E3193" s="1"/>
      <c r="F3193" s="2"/>
      <c r="H3193" s="1"/>
      <c r="I3193" s="2"/>
    </row>
    <row r="3194" spans="5:9" hidden="1" x14ac:dyDescent="0.25">
      <c r="E3194" s="1"/>
      <c r="F3194" s="2"/>
      <c r="H3194" s="1"/>
      <c r="I3194" s="2"/>
    </row>
    <row r="3195" spans="5:9" hidden="1" x14ac:dyDescent="0.25">
      <c r="E3195" s="1"/>
      <c r="F3195" s="2"/>
      <c r="H3195" s="1"/>
      <c r="I3195" s="2"/>
    </row>
    <row r="3196" spans="5:9" hidden="1" x14ac:dyDescent="0.25">
      <c r="E3196" s="1"/>
      <c r="F3196" s="2"/>
      <c r="H3196" s="1"/>
      <c r="I3196" s="2"/>
    </row>
    <row r="3197" spans="5:9" hidden="1" x14ac:dyDescent="0.25">
      <c r="E3197" s="1"/>
      <c r="F3197" s="2"/>
      <c r="H3197" s="1"/>
      <c r="I3197" s="2"/>
    </row>
    <row r="3198" spans="5:9" hidden="1" x14ac:dyDescent="0.25">
      <c r="E3198" s="1"/>
      <c r="F3198" s="2"/>
      <c r="H3198" s="1"/>
      <c r="I3198" s="2"/>
    </row>
    <row r="3199" spans="5:9" hidden="1" x14ac:dyDescent="0.25">
      <c r="E3199" s="1"/>
      <c r="F3199" s="2"/>
      <c r="H3199" s="1"/>
      <c r="I3199" s="2"/>
    </row>
    <row r="3200" spans="5:9" hidden="1" x14ac:dyDescent="0.25">
      <c r="E3200" s="1"/>
      <c r="F3200" s="2"/>
      <c r="H3200" s="1"/>
      <c r="I3200" s="2"/>
    </row>
    <row r="3201" spans="5:9" hidden="1" x14ac:dyDescent="0.25">
      <c r="E3201" s="1"/>
      <c r="F3201" s="2"/>
      <c r="H3201" s="1"/>
      <c r="I3201" s="2"/>
    </row>
    <row r="3202" spans="5:9" hidden="1" x14ac:dyDescent="0.25">
      <c r="E3202" s="1"/>
      <c r="F3202" s="2"/>
      <c r="H3202" s="1"/>
      <c r="I3202" s="2"/>
    </row>
    <row r="3203" spans="5:9" x14ac:dyDescent="0.25">
      <c r="E3203" s="1"/>
      <c r="F3203" s="2"/>
      <c r="H3203" s="1"/>
      <c r="I3203" s="2"/>
    </row>
    <row r="3243" hidden="1" x14ac:dyDescent="0.25"/>
    <row r="3246" hidden="1" x14ac:dyDescent="0.25"/>
    <row r="3247" hidden="1" x14ac:dyDescent="0.25"/>
    <row r="3248" hidden="1" x14ac:dyDescent="0.25"/>
    <row r="3249" hidden="1" x14ac:dyDescent="0.25"/>
    <row r="3250" hidden="1" x14ac:dyDescent="0.25"/>
    <row r="3251" hidden="1" x14ac:dyDescent="0.25"/>
    <row r="3252" hidden="1" x14ac:dyDescent="0.25"/>
    <row r="3253" hidden="1" x14ac:dyDescent="0.25"/>
    <row r="3254" hidden="1" x14ac:dyDescent="0.25"/>
  </sheetData>
  <autoFilter ref="A1:AX1027201" xr:uid="{10BD213D-2CA1-4091-BBE8-E227A4621266}"/>
  <mergeCells count="5">
    <mergeCell ref="AY36:BL36"/>
    <mergeCell ref="AY37:BL37"/>
    <mergeCell ref="AY38:BK38"/>
    <mergeCell ref="AY39:BL39"/>
    <mergeCell ref="AY40:BL40"/>
  </mergeCells>
  <conditionalFormatting sqref="BC3:BD32 BJ3:BK32">
    <cfRule type="cellIs" dxfId="6" priority="6" operator="greaterThan">
      <formula>0</formula>
    </cfRule>
  </conditionalFormatting>
  <conditionalFormatting sqref="BF33">
    <cfRule type="cellIs" dxfId="5" priority="4" operator="greaterThan">
      <formula>49.99</formula>
    </cfRule>
  </conditionalFormatting>
  <conditionalFormatting sqref="BF33:BF34">
    <cfRule type="cellIs" dxfId="4" priority="3" operator="greaterThan">
      <formula>49.99</formula>
    </cfRule>
  </conditionalFormatting>
  <conditionalFormatting sqref="BG33:BI33">
    <cfRule type="cellIs" dxfId="3" priority="5" operator="greaterThan">
      <formula>5.99</formula>
    </cfRule>
    <cfRule type="cellIs" dxfId="2" priority="7" operator="greaterThan">
      <formula>5.99</formula>
    </cfRule>
  </conditionalFormatting>
  <conditionalFormatting sqref="BG33:BI34">
    <cfRule type="cellIs" dxfId="1" priority="2" operator="greaterThan">
      <formula>5.99</formula>
    </cfRule>
  </conditionalFormatting>
  <conditionalFormatting sqref="BJ3:BK34">
    <cfRule type="cellIs" dxfId="0" priority="1" operator="greaterThan">
      <formula>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95DE-7575-48DE-89A3-E21941D244FD}">
  <dimension ref="A1"/>
  <sheetViews>
    <sheetView workbookViewId="0">
      <selection activeCell="M38" sqref="M38"/>
    </sheetView>
  </sheetViews>
  <sheetFormatPr defaultRowHeight="12.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TemplafyTemplateConfiguration><![CDATA[{"transformationConfigurations":[{"colorTheme":"{{DataSources.ColorThemes[\"Sweco\"].ColorTheme}}","disableUpdates":false,"type":"colorTheme"}],"templateName":"Blank","templateDescription":"","enableDocumentContentUpdater":false,"version":"2.0"}]]></TemplafyTemplateConfiguration>
</file>

<file path=customXml/item2.xml><?xml version="1.0" encoding="utf-8"?>
<p:properties xmlns:p="http://schemas.microsoft.com/office/2006/metadata/properties" xmlns:xsi="http://www.w3.org/2001/XMLSchema-instance" xmlns:pc="http://schemas.microsoft.com/office/infopath/2007/PartnerControls">
  <documentManagement>
    <Kommentar xmlns="3cf6ac99-c545-4f05-9765-61f333b3627f" xsi:nil="true"/>
    <lcf76f155ced4ddcb4097134ff3c332f xmlns="3cf6ac99-c545-4f05-9765-61f333b3627f">
      <Terms xmlns="http://schemas.microsoft.com/office/infopath/2007/PartnerControls"/>
    </lcf76f155ced4ddcb4097134ff3c332f>
    <TaxCatchAll xmlns="d6140928-31a2-4d4f-b23f-b270e8c53dd2"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25CCE57D8688A4C86B18CCBE6A1EBDC" ma:contentTypeVersion="17" ma:contentTypeDescription="Create a new document." ma:contentTypeScope="" ma:versionID="9af01a3ed625a5310d3bcc0e92547977">
  <xsd:schema xmlns:xsd="http://www.w3.org/2001/XMLSchema" xmlns:xs="http://www.w3.org/2001/XMLSchema" xmlns:p="http://schemas.microsoft.com/office/2006/metadata/properties" xmlns:ns2="3cf6ac99-c545-4f05-9765-61f333b3627f" xmlns:ns3="d6140928-31a2-4d4f-b23f-b270e8c53dd2" targetNamespace="http://schemas.microsoft.com/office/2006/metadata/properties" ma:root="true" ma:fieldsID="fd42231f4829af8faa109a9bde177814" ns2:_="" ns3:_="">
    <xsd:import namespace="3cf6ac99-c545-4f05-9765-61f333b3627f"/>
    <xsd:import namespace="d6140928-31a2-4d4f-b23f-b270e8c53d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f6ac99-c545-4f05-9765-61f333b36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dd7e011-bb30-4412-ae0c-25ab964016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Kommentar" ma:index="24"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140928-31a2-4d4f-b23f-b270e8c53dd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fd917e3-bafc-4465-ab6f-bdb8f9ca6373}" ma:internalName="TaxCatchAll" ma:showField="CatchAllData" ma:web="d6140928-31a2-4d4f-b23f-b270e8c53d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TemplafyFormConfiguration><![CDATA[{"formFields":[],"formDataEntries":[]}]]></TemplafyFormConfiguration>
</file>

<file path=customXml/itemProps1.xml><?xml version="1.0" encoding="utf-8"?>
<ds:datastoreItem xmlns:ds="http://schemas.openxmlformats.org/officeDocument/2006/customXml" ds:itemID="{DDDE50B2-2507-4A17-8842-A7EE75090943}">
  <ds:schemaRefs/>
</ds:datastoreItem>
</file>

<file path=customXml/itemProps2.xml><?xml version="1.0" encoding="utf-8"?>
<ds:datastoreItem xmlns:ds="http://schemas.openxmlformats.org/officeDocument/2006/customXml" ds:itemID="{79BD3FF0-C90B-4BBB-AF14-2B7944CED71E}">
  <ds:schemaRefs>
    <ds:schemaRef ds:uri="http://schemas.microsoft.com/office/2006/metadata/properties"/>
    <ds:schemaRef ds:uri="http://schemas.microsoft.com/office/infopath/2007/PartnerControls"/>
    <ds:schemaRef ds:uri="3cf6ac99-c545-4f05-9765-61f333b3627f"/>
    <ds:schemaRef ds:uri="d6140928-31a2-4d4f-b23f-b270e8c53dd2"/>
  </ds:schemaRefs>
</ds:datastoreItem>
</file>

<file path=customXml/itemProps3.xml><?xml version="1.0" encoding="utf-8"?>
<ds:datastoreItem xmlns:ds="http://schemas.openxmlformats.org/officeDocument/2006/customXml" ds:itemID="{4CFEF7B6-62D6-485B-9C7D-3BA746AC269A}">
  <ds:schemaRefs>
    <ds:schemaRef ds:uri="http://schemas.microsoft.com/DataMashup"/>
  </ds:schemaRefs>
</ds:datastoreItem>
</file>

<file path=customXml/itemProps4.xml><?xml version="1.0" encoding="utf-8"?>
<ds:datastoreItem xmlns:ds="http://schemas.openxmlformats.org/officeDocument/2006/customXml" ds:itemID="{818ED6F2-810E-4EDA-B0D6-9C8DE6CEE4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f6ac99-c545-4f05-9765-61f333b3627f"/>
    <ds:schemaRef ds:uri="d6140928-31a2-4d4f-b23f-b270e8c53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094B8C0-0888-4622-A87D-10D4D23C20D6}">
  <ds:schemaRefs>
    <ds:schemaRef ds:uri="http://schemas.microsoft.com/sharepoint/v3/contenttype/forms"/>
  </ds:schemaRefs>
</ds:datastoreItem>
</file>

<file path=customXml/itemProps6.xml><?xml version="1.0" encoding="utf-8"?>
<ds:datastoreItem xmlns:ds="http://schemas.openxmlformats.org/officeDocument/2006/customXml" ds:itemID="{69C2894E-68C9-476D-803E-814AC6EBDD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Box 1-2</vt: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2024-08-28T08:46:57Z</dcterms:created>
  <dcterms:modified xsi:type="dcterms:W3CDTF">2025-08-25T12:04:14Z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weco_Language">
    <vt:lpwstr>SV</vt:lpwstr>
  </property>
  <property fmtid="{D5CDD505-2E9C-101B-9397-08002B2CF9AE}" pid="3" name="Sweco_CompanyNo">
    <vt:lpwstr>101</vt:lpwstr>
  </property>
  <property fmtid="{D5CDD505-2E9C-101B-9397-08002B2CF9AE}" pid="4" name="ContentTypeId">
    <vt:lpwstr>0x010100025CCE57D8688A4C86B18CCBE6A1EBDC</vt:lpwstr>
  </property>
  <property fmtid="{D5CDD505-2E9C-101B-9397-08002B2CF9AE}" pid="5" name="MSIP_Label_43f08ec5-d6d9-4227-8387-ccbfcb3632c4_Enabled">
    <vt:lpwstr>true</vt:lpwstr>
  </property>
  <property fmtid="{D5CDD505-2E9C-101B-9397-08002B2CF9AE}" pid="6" name="MSIP_Label_43f08ec5-d6d9-4227-8387-ccbfcb3632c4_ActionId">
    <vt:lpwstr>6f48d779-09bb-446c-b0b6-7912ac56a1d3</vt:lpwstr>
  </property>
  <property fmtid="{D5CDD505-2E9C-101B-9397-08002B2CF9AE}" pid="7" name="MSIP_Label_43f08ec5-d6d9-4227-8387-ccbfcb3632c4_Name">
    <vt:lpwstr>Sweco Restricted</vt:lpwstr>
  </property>
  <property fmtid="{D5CDD505-2E9C-101B-9397-08002B2CF9AE}" pid="8" name="MSIP_Label_43f08ec5-d6d9-4227-8387-ccbfcb3632c4_ContentBits">
    <vt:lpwstr>0</vt:lpwstr>
  </property>
  <property fmtid="{D5CDD505-2E9C-101B-9397-08002B2CF9AE}" pid="9" name="MSIP_Label_43f08ec5-d6d9-4227-8387-ccbfcb3632c4_SetDate">
    <vt:lpwstr>2021-09-10T20:13:53Z</vt:lpwstr>
  </property>
  <property fmtid="{D5CDD505-2E9C-101B-9397-08002B2CF9AE}" pid="10" name="MSIP_Label_43f08ec5-d6d9-4227-8387-ccbfcb3632c4_SiteId">
    <vt:lpwstr>b7872ef0-9a00-4c18-8a4a-c7d25c778a9e</vt:lpwstr>
  </property>
  <property fmtid="{D5CDD505-2E9C-101B-9397-08002B2CF9AE}" pid="11" name="MSIP_Label_43f08ec5-d6d9-4227-8387-ccbfcb3632c4_Method">
    <vt:lpwstr>Standard</vt:lpwstr>
  </property>
  <property fmtid="{D5CDD505-2E9C-101B-9397-08002B2CF9AE}" pid="12" name="MSIP_Label_459ef8e5-3aaa-41a0-b30c-a77b6f506147_Enabled">
    <vt:lpwstr>true</vt:lpwstr>
  </property>
  <property fmtid="{D5CDD505-2E9C-101B-9397-08002B2CF9AE}" pid="13" name="MSIP_Label_459ef8e5-3aaa-41a0-b30c-a77b6f506147_SetDate">
    <vt:lpwstr>2024-01-18T13:55:15Z</vt:lpwstr>
  </property>
  <property fmtid="{D5CDD505-2E9C-101B-9397-08002B2CF9AE}" pid="14" name="MSIP_Label_459ef8e5-3aaa-41a0-b30c-a77b6f506147_Method">
    <vt:lpwstr>Standard</vt:lpwstr>
  </property>
  <property fmtid="{D5CDD505-2E9C-101B-9397-08002B2CF9AE}" pid="15" name="MSIP_Label_459ef8e5-3aaa-41a0-b30c-a77b6f506147_Name">
    <vt:lpwstr>Internal</vt:lpwstr>
  </property>
  <property fmtid="{D5CDD505-2E9C-101B-9397-08002B2CF9AE}" pid="16" name="MSIP_Label_459ef8e5-3aaa-41a0-b30c-a77b6f506147_SiteId">
    <vt:lpwstr>9343c96b-27bb-4092-add6-977870612481</vt:lpwstr>
  </property>
  <property fmtid="{D5CDD505-2E9C-101B-9397-08002B2CF9AE}" pid="17" name="MSIP_Label_459ef8e5-3aaa-41a0-b30c-a77b6f506147_ActionId">
    <vt:lpwstr>32c4f577-6183-4b47-912c-9229140068d7</vt:lpwstr>
  </property>
  <property fmtid="{D5CDD505-2E9C-101B-9397-08002B2CF9AE}" pid="18" name="MSIP_Label_459ef8e5-3aaa-41a0-b30c-a77b6f506147_ContentBits">
    <vt:lpwstr>0</vt:lpwstr>
  </property>
  <property fmtid="{D5CDD505-2E9C-101B-9397-08002B2CF9AE}" pid="19" name="TemplafyTenantId">
    <vt:lpwstr>sweco</vt:lpwstr>
  </property>
  <property fmtid="{D5CDD505-2E9C-101B-9397-08002B2CF9AE}" pid="20" name="TemplafyTemplateId">
    <vt:lpwstr>831724936121548818</vt:lpwstr>
  </property>
  <property fmtid="{D5CDD505-2E9C-101B-9397-08002B2CF9AE}" pid="21" name="TemplafyUserProfileId">
    <vt:lpwstr>637994344021845453</vt:lpwstr>
  </property>
  <property fmtid="{D5CDD505-2E9C-101B-9397-08002B2CF9AE}" pid="22" name="TemplafyLanguageCode">
    <vt:lpwstr>sv-SE</vt:lpwstr>
  </property>
  <property fmtid="{D5CDD505-2E9C-101B-9397-08002B2CF9AE}" pid="23" name="TemplafyFromBlank">
    <vt:bool>true</vt:bool>
  </property>
  <property fmtid="{D5CDD505-2E9C-101B-9397-08002B2CF9AE}" pid="24" name="MediaServiceImageTags">
    <vt:lpwstr/>
  </property>
  <property fmtid="{D5CDD505-2E9C-101B-9397-08002B2CF9AE}" pid="25" name="Folder_Number">
    <vt:lpwstr/>
  </property>
  <property fmtid="{D5CDD505-2E9C-101B-9397-08002B2CF9AE}" pid="26" name="Folder_Code">
    <vt:lpwstr/>
  </property>
  <property fmtid="{D5CDD505-2E9C-101B-9397-08002B2CF9AE}" pid="27" name="Folder_Name">
    <vt:lpwstr/>
  </property>
  <property fmtid="{D5CDD505-2E9C-101B-9397-08002B2CF9AE}" pid="28" name="Folder_Description">
    <vt:lpwstr/>
  </property>
  <property fmtid="{D5CDD505-2E9C-101B-9397-08002B2CF9AE}" pid="29" name="/Folder_Name/">
    <vt:lpwstr/>
  </property>
  <property fmtid="{D5CDD505-2E9C-101B-9397-08002B2CF9AE}" pid="30" name="/Folder_Description/">
    <vt:lpwstr/>
  </property>
  <property fmtid="{D5CDD505-2E9C-101B-9397-08002B2CF9AE}" pid="31" name="Folder_Version">
    <vt:lpwstr/>
  </property>
  <property fmtid="{D5CDD505-2E9C-101B-9397-08002B2CF9AE}" pid="32" name="Folder_VersionSeq">
    <vt:lpwstr/>
  </property>
  <property fmtid="{D5CDD505-2E9C-101B-9397-08002B2CF9AE}" pid="33" name="Folder_Manager">
    <vt:lpwstr/>
  </property>
  <property fmtid="{D5CDD505-2E9C-101B-9397-08002B2CF9AE}" pid="34" name="Folder_ManagerDesc">
    <vt:lpwstr/>
  </property>
  <property fmtid="{D5CDD505-2E9C-101B-9397-08002B2CF9AE}" pid="35" name="Folder_Storage">
    <vt:lpwstr/>
  </property>
  <property fmtid="{D5CDD505-2E9C-101B-9397-08002B2CF9AE}" pid="36" name="Folder_StorageDesc">
    <vt:lpwstr/>
  </property>
  <property fmtid="{D5CDD505-2E9C-101B-9397-08002B2CF9AE}" pid="37" name="Folder_Creator">
    <vt:lpwstr/>
  </property>
  <property fmtid="{D5CDD505-2E9C-101B-9397-08002B2CF9AE}" pid="38" name="Folder_CreatorDesc">
    <vt:lpwstr/>
  </property>
  <property fmtid="{D5CDD505-2E9C-101B-9397-08002B2CF9AE}" pid="39" name="Folder_CreateDate">
    <vt:lpwstr/>
  </property>
  <property fmtid="{D5CDD505-2E9C-101B-9397-08002B2CF9AE}" pid="40" name="Folder_Updater">
    <vt:lpwstr/>
  </property>
  <property fmtid="{D5CDD505-2E9C-101B-9397-08002B2CF9AE}" pid="41" name="Folder_UpdaterDesc">
    <vt:lpwstr/>
  </property>
  <property fmtid="{D5CDD505-2E9C-101B-9397-08002B2CF9AE}" pid="42" name="Folder_UpdateDate">
    <vt:lpwstr/>
  </property>
  <property fmtid="{D5CDD505-2E9C-101B-9397-08002B2CF9AE}" pid="43" name="Document_Number">
    <vt:lpwstr/>
  </property>
  <property fmtid="{D5CDD505-2E9C-101B-9397-08002B2CF9AE}" pid="44" name="Document_Name">
    <vt:lpwstr/>
  </property>
  <property fmtid="{D5CDD505-2E9C-101B-9397-08002B2CF9AE}" pid="45" name="Document_FileName">
    <vt:lpwstr/>
  </property>
  <property fmtid="{D5CDD505-2E9C-101B-9397-08002B2CF9AE}" pid="46" name="Document_Version">
    <vt:lpwstr/>
  </property>
  <property fmtid="{D5CDD505-2E9C-101B-9397-08002B2CF9AE}" pid="47" name="Document_VersionSeq">
    <vt:lpwstr/>
  </property>
  <property fmtid="{D5CDD505-2E9C-101B-9397-08002B2CF9AE}" pid="48" name="Document_Creator">
    <vt:lpwstr/>
  </property>
  <property fmtid="{D5CDD505-2E9C-101B-9397-08002B2CF9AE}" pid="49" name="Document_CreatorDesc">
    <vt:lpwstr/>
  </property>
  <property fmtid="{D5CDD505-2E9C-101B-9397-08002B2CF9AE}" pid="50" name="Document_CreateDate">
    <vt:lpwstr/>
  </property>
  <property fmtid="{D5CDD505-2E9C-101B-9397-08002B2CF9AE}" pid="51" name="Document_Updater">
    <vt:lpwstr/>
  </property>
  <property fmtid="{D5CDD505-2E9C-101B-9397-08002B2CF9AE}" pid="52" name="Document_UpdaterDesc">
    <vt:lpwstr/>
  </property>
  <property fmtid="{D5CDD505-2E9C-101B-9397-08002B2CF9AE}" pid="53" name="Document_UpdateDate">
    <vt:lpwstr/>
  </property>
  <property fmtid="{D5CDD505-2E9C-101B-9397-08002B2CF9AE}" pid="54" name="Document_Size">
    <vt:lpwstr/>
  </property>
  <property fmtid="{D5CDD505-2E9C-101B-9397-08002B2CF9AE}" pid="55" name="Document_Storage">
    <vt:lpwstr/>
  </property>
  <property fmtid="{D5CDD505-2E9C-101B-9397-08002B2CF9AE}" pid="56" name="Document_StorageDesc">
    <vt:lpwstr/>
  </property>
  <property fmtid="{D5CDD505-2E9C-101B-9397-08002B2CF9AE}" pid="57" name="Document_Department">
    <vt:lpwstr/>
  </property>
  <property fmtid="{D5CDD505-2E9C-101B-9397-08002B2CF9AE}" pid="58" name="Document_DepartmentDesc">
    <vt:lpwstr/>
  </property>
</Properties>
</file>