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filterPrivacy="1" codeName="ThisWorkbook"/>
  <xr:revisionPtr revIDLastSave="0" documentId="13_ncr:1_{9CFEDDDA-EBAB-489A-A1F9-F29603CA1392}" xr6:coauthVersionLast="47" xr6:coauthVersionMax="47" xr10:uidLastSave="{00000000-0000-0000-0000-000000000000}"/>
  <bookViews>
    <workbookView xWindow="-9990" yWindow="-21710" windowWidth="38620" windowHeight="21100" activeTab="1" xr2:uid="{00000000-000D-0000-FFFF-FFFF00000000}"/>
  </bookViews>
  <sheets>
    <sheet name="Halmstad Box 4 30 jul-3 juli" sheetId="32" r:id="rId1"/>
    <sheet name="Blad1" sheetId="33" r:id="rId2"/>
  </sheets>
  <definedNames>
    <definedName name="_xlnm._FilterDatabase" localSheetId="0" hidden="1">'Halmstad Box 4 30 jul-3 juli'!$A$1:$AU$1027201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5" i="32" l="1"/>
  <c r="AU3246" i="32"/>
  <c r="AU3247" i="32"/>
  <c r="AU3248" i="32"/>
  <c r="AU3249" i="32"/>
  <c r="AU3250" i="32"/>
  <c r="AU3251" i="32"/>
  <c r="AU3252" i="32"/>
  <c r="AU3253" i="32"/>
  <c r="AU3254" i="32"/>
  <c r="AE3246" i="32"/>
  <c r="AE3247" i="32"/>
  <c r="AE3248" i="32"/>
  <c r="AE3249" i="32"/>
  <c r="AE3250" i="32"/>
  <c r="AE3251" i="32"/>
  <c r="AE3252" i="32"/>
  <c r="AE3253" i="32"/>
  <c r="AE3254" i="32"/>
  <c r="AZ52" i="32"/>
  <c r="AY52" i="32"/>
  <c r="AY51" i="32"/>
  <c r="AY50" i="32"/>
  <c r="AY49" i="32"/>
  <c r="AY48" i="32"/>
  <c r="AY47" i="32"/>
  <c r="AY46" i="32"/>
  <c r="AY45" i="32"/>
  <c r="AZ33" i="32"/>
  <c r="BU3" i="32" a="1"/>
  <c r="AX42" i="32" l="1"/>
  <c r="AY44" i="32"/>
  <c r="AY42" i="32"/>
  <c r="AY43" i="32"/>
  <c r="BU3" i="32"/>
  <c r="AX41" i="32" s="1"/>
  <c r="AY41" i="32"/>
  <c r="BI31" i="32" l="1"/>
  <c r="BI28" i="32"/>
  <c r="BI25" i="32"/>
  <c r="BI22" i="32"/>
  <c r="BI19" i="32"/>
  <c r="BI16" i="32"/>
  <c r="BH4" i="32"/>
  <c r="BH31" i="32"/>
  <c r="BH28" i="32"/>
  <c r="BH25" i="32"/>
  <c r="BH22" i="32"/>
  <c r="BH19" i="32"/>
  <c r="BH16" i="32"/>
  <c r="BH13" i="32"/>
  <c r="BH10" i="32"/>
  <c r="BF3" i="32"/>
  <c r="BG31" i="32"/>
  <c r="BG28" i="32"/>
  <c r="BG25" i="32"/>
  <c r="BG22" i="32"/>
  <c r="BG19" i="32"/>
  <c r="BG16" i="32"/>
  <c r="BG13" i="32"/>
  <c r="BG10" i="32"/>
  <c r="BG7" i="32"/>
  <c r="BG4" i="32"/>
  <c r="BA15" i="32"/>
  <c r="BF10" i="32"/>
  <c r="BF7" i="32"/>
  <c r="BF4" i="32"/>
  <c r="BA5" i="32"/>
  <c r="BF31" i="32"/>
  <c r="BB30" i="32"/>
  <c r="BF28" i="32"/>
  <c r="BA27" i="32"/>
  <c r="BF25" i="32"/>
  <c r="BA24" i="32"/>
  <c r="BF22" i="32"/>
  <c r="BA21" i="32"/>
  <c r="BF19" i="32"/>
  <c r="BA18" i="32"/>
  <c r="BF16" i="32"/>
  <c r="BF13" i="32"/>
  <c r="BA12" i="32"/>
  <c r="BA9" i="32"/>
  <c r="BA6" i="32"/>
  <c r="BI6" i="32"/>
  <c r="BH7" i="32"/>
  <c r="BI32" i="32"/>
  <c r="BI29" i="32"/>
  <c r="BI26" i="32"/>
  <c r="BI23" i="32"/>
  <c r="BI20" i="32"/>
  <c r="BI17" i="32"/>
  <c r="BI14" i="32"/>
  <c r="BI11" i="32"/>
  <c r="BI8" i="32"/>
  <c r="BI5" i="32"/>
  <c r="BG5" i="32"/>
  <c r="BF20" i="32"/>
  <c r="BA13" i="32"/>
  <c r="BF8" i="32"/>
  <c r="BI15" i="32"/>
  <c r="BH32" i="32"/>
  <c r="BH29" i="32"/>
  <c r="BH26" i="32"/>
  <c r="BH23" i="32"/>
  <c r="BH20" i="32"/>
  <c r="BH17" i="32"/>
  <c r="BH14" i="32"/>
  <c r="BH11" i="32"/>
  <c r="BH8" i="32"/>
  <c r="BA3" i="32"/>
  <c r="BA22" i="32"/>
  <c r="BA16" i="32"/>
  <c r="BF11" i="32"/>
  <c r="BB7" i="32"/>
  <c r="BI12" i="32"/>
  <c r="BH3" i="32"/>
  <c r="BG32" i="32"/>
  <c r="BG29" i="32"/>
  <c r="BG26" i="32"/>
  <c r="BG23" i="32"/>
  <c r="BG20" i="32"/>
  <c r="BG17" i="32"/>
  <c r="BG14" i="32"/>
  <c r="BG11" i="32"/>
  <c r="BG8" i="32"/>
  <c r="BB25" i="32"/>
  <c r="BF17" i="32"/>
  <c r="BF5" i="32"/>
  <c r="BI9" i="32"/>
  <c r="BI13" i="32"/>
  <c r="BF32" i="32"/>
  <c r="BB31" i="32"/>
  <c r="BF29" i="32"/>
  <c r="BB28" i="32"/>
  <c r="BF26" i="32"/>
  <c r="BF23" i="32"/>
  <c r="BA19" i="32"/>
  <c r="BF14" i="32"/>
  <c r="BA10" i="32"/>
  <c r="BB4" i="32"/>
  <c r="BH6" i="32"/>
  <c r="BI30" i="32"/>
  <c r="BI27" i="32"/>
  <c r="BI24" i="32"/>
  <c r="BI21" i="32"/>
  <c r="BI18" i="32"/>
  <c r="BH9" i="32"/>
  <c r="BI4" i="32"/>
  <c r="BH30" i="32"/>
  <c r="BH27" i="32"/>
  <c r="BH24" i="32"/>
  <c r="BH21" i="32"/>
  <c r="BH18" i="32"/>
  <c r="BH15" i="32"/>
  <c r="BH12" i="32"/>
  <c r="BI10" i="32"/>
  <c r="BI34" i="32"/>
  <c r="BG30" i="32"/>
  <c r="BG27" i="32"/>
  <c r="BG24" i="32"/>
  <c r="BG21" i="32"/>
  <c r="BG18" i="32"/>
  <c r="BG15" i="32"/>
  <c r="BG12" i="32"/>
  <c r="BG9" i="32"/>
  <c r="BG6" i="32"/>
  <c r="BI3" i="32"/>
  <c r="BA14" i="32"/>
  <c r="BA11" i="32"/>
  <c r="BA8" i="32"/>
  <c r="BG3" i="32"/>
  <c r="BH34" i="32"/>
  <c r="BB32" i="32"/>
  <c r="BF30" i="32"/>
  <c r="BA29" i="32"/>
  <c r="BF27" i="32"/>
  <c r="BA26" i="32"/>
  <c r="BF24" i="32"/>
  <c r="BA23" i="32"/>
  <c r="BF21" i="32"/>
  <c r="BB20" i="32"/>
  <c r="BF18" i="32"/>
  <c r="BB17" i="32"/>
  <c r="BF15" i="32"/>
  <c r="BF12" i="32"/>
  <c r="BF9" i="32"/>
  <c r="BF6" i="32"/>
  <c r="BI7" i="32"/>
  <c r="BC27" i="32" l="1"/>
  <c r="BC23" i="32"/>
  <c r="BC6" i="32"/>
  <c r="BN37" i="32"/>
  <c r="BQ36" i="32"/>
  <c r="BC31" i="32"/>
  <c r="BC26" i="32"/>
  <c r="BC9" i="32"/>
  <c r="BC30" i="32"/>
  <c r="BC14" i="32"/>
  <c r="AZ34" i="32"/>
  <c r="BC4" i="32"/>
  <c r="BN34" i="32"/>
  <c r="BC12" i="32"/>
  <c r="BC29" i="32"/>
  <c r="BC10" i="32"/>
  <c r="BC5" i="32"/>
  <c r="BC20" i="32"/>
  <c r="BC25" i="32"/>
  <c r="BQ34" i="32"/>
  <c r="BC7" i="32"/>
  <c r="BN36" i="32"/>
  <c r="BQ35" i="32"/>
  <c r="BC32" i="32"/>
  <c r="BC19" i="32"/>
  <c r="BC18" i="32"/>
  <c r="BC16" i="32"/>
  <c r="BC17" i="32"/>
  <c r="BC22" i="32"/>
  <c r="BC21" i="32"/>
  <c r="BN35" i="32"/>
  <c r="BC15" i="32"/>
  <c r="BC8" i="32"/>
  <c r="BC28" i="32"/>
  <c r="BC3" i="32"/>
  <c r="BC11" i="32"/>
  <c r="BC13" i="32"/>
  <c r="BC24" i="32"/>
  <c r="BE24" i="32" l="1"/>
  <c r="BD24" i="32"/>
  <c r="BE18" i="32"/>
  <c r="BD18" i="32"/>
  <c r="BD12" i="32"/>
  <c r="BE12" i="32"/>
  <c r="BE23" i="32"/>
  <c r="BD23" i="32"/>
  <c r="BE13" i="32"/>
  <c r="BD13" i="32"/>
  <c r="BE19" i="32"/>
  <c r="BD19" i="32"/>
  <c r="BE27" i="32"/>
  <c r="BD27" i="32"/>
  <c r="BE11" i="32"/>
  <c r="BD11" i="32"/>
  <c r="BE32" i="32"/>
  <c r="BD32" i="32"/>
  <c r="BE4" i="32"/>
  <c r="BD4" i="32"/>
  <c r="BE3" i="32"/>
  <c r="BD3" i="32"/>
  <c r="BE34" i="32"/>
  <c r="BD34" i="32"/>
  <c r="BE28" i="32"/>
  <c r="BD28" i="32"/>
  <c r="BE14" i="32"/>
  <c r="BD14" i="32"/>
  <c r="BE8" i="32"/>
  <c r="BD8" i="32"/>
  <c r="BE7" i="32"/>
  <c r="BD7" i="32"/>
  <c r="BE30" i="32"/>
  <c r="BD30" i="32"/>
  <c r="BD15" i="32"/>
  <c r="BE15" i="32"/>
  <c r="BD9" i="32"/>
  <c r="BE9" i="32"/>
  <c r="BE25" i="32"/>
  <c r="BD25" i="32"/>
  <c r="BE26" i="32"/>
  <c r="BD26" i="32"/>
  <c r="BE21" i="32"/>
  <c r="BD21" i="32"/>
  <c r="BE20" i="32"/>
  <c r="BD20" i="32"/>
  <c r="BE31" i="32"/>
  <c r="BD31" i="32"/>
  <c r="BE22" i="32"/>
  <c r="BD22" i="32"/>
  <c r="BD5" i="32"/>
  <c r="BE5" i="32"/>
  <c r="BE17" i="32"/>
  <c r="BD17" i="32"/>
  <c r="BE10" i="32"/>
  <c r="BD10" i="32"/>
  <c r="BE16" i="32"/>
  <c r="BD16" i="32"/>
  <c r="BE29" i="32"/>
  <c r="BD29" i="32"/>
  <c r="BD6" i="32"/>
  <c r="BE6"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tc={CBF2E4DA-95E0-4610-99D9-5B80F4F9E931}</author>
    <author>tc={51C6D2D2-F69A-472E-879D-77D7373E9D89}</author>
  </authors>
  <commentList>
    <comment ref="AW2" authorId="0" shapeId="0" xr:uid="{CBF2E4DA-95E0-4610-99D9-5B80F4F9E931}">
      <text>
        <t xml:space="preserve">[Trådad kommentar]
I din version av Excel kan du läsa den här trådade kommentaren, men eventuella ändringar i den tas bort om filen öppnas i en senare version av Excel. Läs mer: https://go.microsoft.com/fwlink/?linkid=870924
Kommentar:
    Dessa celler fr o m här t o m "Matrisversion" kopierar du och klistrar in i det excelark du skapar utifrån den csv-fil med defaultnamn "meta" som du får ut av Kaleidoscope. Klistra in cellerna på samma plats, i kolumn W, ett snäpp till vänster om artbestämningarna </t>
      </text>
    </comment>
    <comment ref="AW33" authorId="1" shapeId="0" xr:uid="{51C6D2D2-F69A-472E-879D-77D7373E9D89}">
      <text>
        <t>[Trådad kommentar]
I din version av Excel kan du läsa den här trådade kommentaren, men eventuella ändringar i den tas bort om filen öppnas i en senare version av Excel. Läs mer: https://go.microsoft.com/fwlink/?linkid=870924
Kommentar:
    De här tre fälten behöver du fylla i själv. Antalet timmar per natt menar jag kan standardmässigt anges till 8, oavsett verklig aktivitetstid första till sista obs som i t ex juli är betydligt kortare. Poängen är mer att ha en jämförelseaktivitet per timme som jag tycker är lättare att greppa utifrån fälterfarenheten än obsar per natt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tc={E223C669-E862-4C3D-8CC1-B03C9FE2E2AE}</author>
    <author>tc={F9AEF389-7441-401E-A4EE-CA98156F2438}</author>
  </authors>
  <commentList>
    <comment ref="A1" authorId="0" shapeId="0" xr:uid="{E223C669-E862-4C3D-8CC1-B03C9FE2E2AE}">
      <text>
        <t xml:space="preserve">[Trådad kommentar]
I din version av Excel kan du läsa den här trådade kommentaren, men eventuella ändringar i den tas bort om filen öppnas i en senare version av Excel. Läs mer: https://go.microsoft.com/fwlink/?linkid=870924
Kommentar:
    Dessa celler fr o m här t o m "Matrisversion" kopierar du och klistrar in i det excelark du skapar utifrån den csv-fil med defaultnamn "meta" som du får ut av Kaleidoscope. Klistra in cellerna på samma plats, i kolumn W, ett snäpp till vänster om artbestämningarna </t>
      </text>
    </comment>
    <comment ref="A7" authorId="1" shapeId="0" xr:uid="{F9AEF389-7441-401E-A4EE-CA98156F2438}">
      <text>
        <t>[Trådad kommentar]
I din version av Excel kan du läsa den här trådade kommentaren, men eventuella ändringar i den tas bort om filen öppnas i en senare version av Excel. Läs mer: https://go.microsoft.com/fwlink/?linkid=870924
Kommentar:
    De här tre fälten behöver du fylla i själv. Antalet timmar per natt menar jag kan standardmässigt anges till 8, oavsett verklig aktivitetstid första till sista obs som i t ex juli är betydligt kortare. Poängen är mer att ha en jämförelseaktivitet per timme som jag tycker är lättare att greppa utifrån fälterfarenheten än obsar per natt</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A12368-5724-423B-989B-BD3ACF4ECF35}" keepAlive="1" name="Fråga - meta" description="Anslutning till meta-frågan i arbetsboken." type="5" refreshedVersion="8" background="1" saveData="1">
    <dbPr connection="Provider=Microsoft.Mashup.OleDb.1;Data Source=$Workbook$;Location=meta;Extended Properties=&quot;&quot;" command="SELECT * FROM [meta]"/>
  </connection>
  <connection id="2" xr16:uid="{87471FA4-6FE4-431E-88E9-1D4CD6F0434D}" keepAlive="1" name="Fråga - meta (10)" description="Anslutning till meta (10)-frågan i arbetsboken." type="5" refreshedVersion="8" background="1" saveData="1">
    <dbPr connection="Provider=Microsoft.Mashup.OleDb.1;Data Source=$Workbook$;Location=&quot;meta (10)&quot;;Extended Properties=&quot;&quot;" command="SELECT * FROM [meta (10)]"/>
  </connection>
  <connection id="3" xr16:uid="{3D7B8369-2E83-4AD7-BAE6-E40DB6ACE6EC}" keepAlive="1" name="Fråga - meta (11)" description="Anslutning till meta (11)-frågan i arbetsboken." type="5" refreshedVersion="8" background="1" saveData="1">
    <dbPr connection="Provider=Microsoft.Mashup.OleDb.1;Data Source=$Workbook$;Location=&quot;meta (11)&quot;;Extended Properties=&quot;&quot;" command="SELECT * FROM [meta (11)]"/>
  </connection>
  <connection id="4" xr16:uid="{DB3F54AD-D7CF-4D83-BF3B-14BC29630BBC}" keepAlive="1" name="Fråga - meta (12)" description="Anslutning till meta (12)-frågan i arbetsboken." type="5" refreshedVersion="8" background="1" saveData="1">
    <dbPr connection="Provider=Microsoft.Mashup.OleDb.1;Data Source=$Workbook$;Location=&quot;meta (12)&quot;;Extended Properties=&quot;&quot;" command="SELECT * FROM [meta (12)]"/>
  </connection>
  <connection id="5" xr16:uid="{83DEA4BC-478E-42DF-9772-B63E6E12779D}" keepAlive="1" name="Fråga - meta (13)" description="Anslutning till meta (13)-frågan i arbetsboken." type="5" refreshedVersion="8" background="1" saveData="1">
    <dbPr connection="Provider=Microsoft.Mashup.OleDb.1;Data Source=$Workbook$;Location=&quot;meta (13)&quot;;Extended Properties=&quot;&quot;" command="SELECT * FROM [meta (13)]"/>
  </connection>
  <connection id="6" xr16:uid="{75CC9260-8365-4A6E-8695-5DFE7D473A1F}" keepAlive="1" name="Fråga - meta (14)" description="Anslutning till meta (14)-frågan i arbetsboken." type="5" refreshedVersion="8" background="1" saveData="1">
    <dbPr connection="Provider=Microsoft.Mashup.OleDb.1;Data Source=$Workbook$;Location=&quot;meta (14)&quot;;Extended Properties=&quot;&quot;" command="SELECT * FROM [meta (14)]"/>
  </connection>
  <connection id="7" xr16:uid="{27471D75-CFCF-4AEA-9DC9-FABB9CB986F1}" keepAlive="1" name="Fråga - meta (15)" description="Anslutning till meta (15)-frågan i arbetsboken." type="5" refreshedVersion="8" background="1" saveData="1">
    <dbPr connection="Provider=Microsoft.Mashup.OleDb.1;Data Source=$Workbook$;Location=&quot;meta (15)&quot;;Extended Properties=&quot;&quot;" command="SELECT * FROM [meta (15)]"/>
  </connection>
  <connection id="8" xr16:uid="{5DC134FB-9B07-4A8B-8CE2-E0B628A820BD}" keepAlive="1" name="Fråga - meta (16)" description="Anslutning till meta (16)-frågan i arbetsboken." type="5" refreshedVersion="8" background="1" saveData="1">
    <dbPr connection="Provider=Microsoft.Mashup.OleDb.1;Data Source=$Workbook$;Location=&quot;meta (16)&quot;;Extended Properties=&quot;&quot;" command="SELECT * FROM [meta (16)]"/>
  </connection>
  <connection id="9" xr16:uid="{214F01C6-75CD-4417-A5A7-546CB7F457C8}" keepAlive="1" name="Fråga - meta (17)" description="Anslutning till meta (17)-frågan i arbetsboken." type="5" refreshedVersion="8" background="1" saveData="1">
    <dbPr connection="Provider=Microsoft.Mashup.OleDb.1;Data Source=$Workbook$;Location=&quot;meta (17)&quot;;Extended Properties=&quot;&quot;" command="SELECT * FROM [meta (17)]"/>
  </connection>
  <connection id="10" xr16:uid="{95CDAE07-BF0B-44CB-B83B-813B90B5252D}" keepAlive="1" name="Fråga - meta (2)" description="Anslutning till meta (2)-frågan i arbetsboken." type="5" refreshedVersion="8" background="1" saveData="1">
    <dbPr connection="Provider=Microsoft.Mashup.OleDb.1;Data Source=$Workbook$;Location=&quot;meta (2)&quot;;Extended Properties=&quot;&quot;" command="SELECT * FROM [meta (2)]"/>
  </connection>
  <connection id="11" xr16:uid="{BB4B02CD-A19B-41FF-A8CB-108386BD39C7}" keepAlive="1" name="Fråga - meta (3)" description="Anslutning till meta (3)-frågan i arbetsboken." type="5" refreshedVersion="8" background="1" saveData="1">
    <dbPr connection="Provider=Microsoft.Mashup.OleDb.1;Data Source=$Workbook$;Location=&quot;meta (3)&quot;;Extended Properties=&quot;&quot;" command="SELECT * FROM [meta (3)]"/>
  </connection>
  <connection id="12" xr16:uid="{EA1D239D-7D45-48CE-9E28-45BECF131C67}" keepAlive="1" name="Fråga - meta (4)" description="Anslutning till meta (4)-frågan i arbetsboken." type="5" refreshedVersion="8" background="1" saveData="1">
    <dbPr connection="Provider=Microsoft.Mashup.OleDb.1;Data Source=$Workbook$;Location=&quot;meta (4)&quot;;Extended Properties=&quot;&quot;" command="SELECT * FROM [meta (4)]"/>
  </connection>
  <connection id="13" xr16:uid="{34498443-BA00-4A8E-8D8B-C5CA2AC26038}" keepAlive="1" name="Fråga - meta (5)" description="Anslutning till meta (5)-frågan i arbetsboken." type="5" refreshedVersion="8" background="1" saveData="1">
    <dbPr connection="Provider=Microsoft.Mashup.OleDb.1;Data Source=$Workbook$;Location=&quot;meta (5)&quot;;Extended Properties=&quot;&quot;" command="SELECT * FROM [meta (5)]"/>
  </connection>
  <connection id="14" xr16:uid="{265DCF87-EE81-41D2-A588-834FA4F3D9F1}" keepAlive="1" name="Fråga - meta (6)" description="Anslutning till meta (6)-frågan i arbetsboken." type="5" refreshedVersion="8" background="1" saveData="1">
    <dbPr connection="Provider=Microsoft.Mashup.OleDb.1;Data Source=$Workbook$;Location=&quot;meta (6)&quot;;Extended Properties=&quot;&quot;" command="SELECT * FROM [meta (6)]"/>
  </connection>
  <connection id="15" xr16:uid="{6BEA96D8-D84C-43A2-94F4-1F694CD81108}" keepAlive="1" name="Fråga - meta (7)" description="Anslutning till meta (7)-frågan i arbetsboken." type="5" refreshedVersion="8" background="1" saveData="1">
    <dbPr connection="Provider=Microsoft.Mashup.OleDb.1;Data Source=$Workbook$;Location=&quot;meta (7)&quot;;Extended Properties=&quot;&quot;" command="SELECT * FROM [meta (7)]"/>
  </connection>
  <connection id="16" xr16:uid="{17F5F706-C163-4ABE-B9AF-98777A986AF6}" keepAlive="1" name="Fråga - meta (8)" description="Anslutning till meta (8)-frågan i arbetsboken." type="5" refreshedVersion="8" background="1" saveData="1">
    <dbPr connection="Provider=Microsoft.Mashup.OleDb.1;Data Source=$Workbook$;Location=&quot;meta (8)&quot;;Extended Properties=&quot;&quot;" command="SELECT * FROM [meta (8)]"/>
  </connection>
  <connection id="17" xr16:uid="{4B78CA1E-F5AF-436C-A5EE-AE9C84686F3F}" keepAlive="1" name="Fråga - meta (9)" description="Anslutning till meta (9)-frågan i arbetsboken." type="5" refreshedVersion="8" background="1" saveData="1">
    <dbPr connection="Provider=Microsoft.Mashup.OleDb.1;Data Source=$Workbook$;Location=&quot;meta (9)&quot;;Extended Properties=&quot;&quot;" command="SELECT * FROM [meta (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<sst xmlns="http://schemas.openxmlformats.org/spreadsheetml/2006/main" count="18444" uniqueCount="6345">
  <si>
    <t>INDIR</t>
  </si>
  <si>
    <t>FOLDER</t>
  </si>
  <si>
    <t>IN FILE</t>
  </si>
  <si>
    <t>DURATION</t>
  </si>
  <si>
    <t>DATE</t>
  </si>
  <si>
    <t>TIME</t>
  </si>
  <si>
    <t>HOUR</t>
  </si>
  <si>
    <t>DATE-12</t>
  </si>
  <si>
    <t>TIME-12</t>
  </si>
  <si>
    <t>HOUR-12</t>
  </si>
  <si>
    <t>LATITUDE</t>
  </si>
  <si>
    <t>LONGITUDE</t>
  </si>
  <si>
    <t>MODEL</t>
  </si>
  <si>
    <t>SERIAL NO</t>
  </si>
  <si>
    <t>FIRMWARE</t>
  </si>
  <si>
    <t>PREFIX</t>
  </si>
  <si>
    <t>NOTES</t>
  </si>
  <si>
    <t>AUTO ID</t>
  </si>
  <si>
    <t>PULSES</t>
  </si>
  <si>
    <t>MATCHING</t>
  </si>
  <si>
    <t>MATCH RATIO</t>
  </si>
  <si>
    <t>MARGIN</t>
  </si>
  <si>
    <t>FILES</t>
  </si>
  <si>
    <t>MANUAL ID</t>
  </si>
  <si>
    <t>ORGID</t>
  </si>
  <si>
    <t>USERID</t>
  </si>
  <si>
    <t>REVIEW ORGID</t>
  </si>
  <si>
    <t>REVIEW USERID</t>
  </si>
  <si>
    <t>INPATHMD5</t>
  </si>
  <si>
    <t>M000004.WAV</t>
  </si>
  <si>
    <t>Noise</t>
  </si>
  <si>
    <t>M000005.WAV</t>
  </si>
  <si>
    <t>M000001.WAV</t>
  </si>
  <si>
    <t>M000006.WAV</t>
  </si>
  <si>
    <t>M000007.WAV</t>
  </si>
  <si>
    <t>M000002.WAV</t>
  </si>
  <si>
    <t>M000008.WAV</t>
  </si>
  <si>
    <t>M000003.WAV</t>
  </si>
  <si>
    <t>M000010.WAV</t>
  </si>
  <si>
    <t>M000009.WAV</t>
  </si>
  <si>
    <t>M000011.WAV</t>
  </si>
  <si>
    <t>M000012.WAV</t>
  </si>
  <si>
    <t>M000014.WAV</t>
  </si>
  <si>
    <t>M000015.WAV</t>
  </si>
  <si>
    <t>M000013.WAV</t>
  </si>
  <si>
    <t>M000017.WAV</t>
  </si>
  <si>
    <t>M000016.WAV</t>
  </si>
  <si>
    <t>M000020.WAV</t>
  </si>
  <si>
    <t>M000018.WAV</t>
  </si>
  <si>
    <t>M000023.WAV</t>
  </si>
  <si>
    <t>M000019.WAV</t>
  </si>
  <si>
    <t>M000022.WAV</t>
  </si>
  <si>
    <t>Nyctalus noctula</t>
  </si>
  <si>
    <t>M000026.WAV</t>
  </si>
  <si>
    <t>M000021.WAV</t>
  </si>
  <si>
    <t>M000025.WAV</t>
  </si>
  <si>
    <t>M000024.WAV</t>
  </si>
  <si>
    <t>M000027.WAV</t>
  </si>
  <si>
    <t>M000030.WAV</t>
  </si>
  <si>
    <t>M000029.WAV</t>
  </si>
  <si>
    <t>M000028.WAV</t>
  </si>
  <si>
    <t>M000033.WAV</t>
  </si>
  <si>
    <t>M000032.WAV</t>
  </si>
  <si>
    <t>M000031.WAV</t>
  </si>
  <si>
    <t>M000034.WAV</t>
  </si>
  <si>
    <t>M000035.WAV</t>
  </si>
  <si>
    <t>M000036.WAV</t>
  </si>
  <si>
    <t>M000037.WAV</t>
  </si>
  <si>
    <t>M000038.WAV</t>
  </si>
  <si>
    <t>M000041.WAV</t>
  </si>
  <si>
    <t>M000042.WAV</t>
  </si>
  <si>
    <t>M000043.WAV</t>
  </si>
  <si>
    <t>M000039.WAV</t>
  </si>
  <si>
    <t>M000040.WAV</t>
  </si>
  <si>
    <t>M000044.WAV</t>
  </si>
  <si>
    <t>M000046.WAV</t>
  </si>
  <si>
    <t>M000045.WAV</t>
  </si>
  <si>
    <t>Myotis mystacinus/brandtii</t>
  </si>
  <si>
    <t>M000047.WAV</t>
  </si>
  <si>
    <t>M000049.WAV</t>
  </si>
  <si>
    <t>M000048.WAV</t>
  </si>
  <si>
    <t>M000052.WAV</t>
  </si>
  <si>
    <t>M000053.WAV</t>
  </si>
  <si>
    <t>M000054.WAV</t>
  </si>
  <si>
    <t>M000050.WAV</t>
  </si>
  <si>
    <t>M000056.WAV</t>
  </si>
  <si>
    <t>M000051.WAV</t>
  </si>
  <si>
    <t>M000055.WAV</t>
  </si>
  <si>
    <t>M000057.WAV</t>
  </si>
  <si>
    <t>M000060.WAV</t>
  </si>
  <si>
    <t>M000062.WAV</t>
  </si>
  <si>
    <t>M000065.WAV</t>
  </si>
  <si>
    <t>M000059.WAV</t>
  </si>
  <si>
    <t>M000061.WAV</t>
  </si>
  <si>
    <t>M000058.WAV</t>
  </si>
  <si>
    <t>M000063.WAV</t>
  </si>
  <si>
    <t>M000064.WAV</t>
  </si>
  <si>
    <t>M000066.WAV</t>
  </si>
  <si>
    <t>M000073.WAV</t>
  </si>
  <si>
    <t>M000067.WAV</t>
  </si>
  <si>
    <t>M000072.WAV</t>
  </si>
  <si>
    <t>M000068.WAV</t>
  </si>
  <si>
    <t>M000071.WAV</t>
  </si>
  <si>
    <t>M000074.WAV</t>
  </si>
  <si>
    <t>M000069.WAV</t>
  </si>
  <si>
    <t>M000070.WAV</t>
  </si>
  <si>
    <t>M000075.WAV</t>
  </si>
  <si>
    <t>M000077.WAV</t>
  </si>
  <si>
    <t>M000080.WAV</t>
  </si>
  <si>
    <t>M000076.WAV</t>
  </si>
  <si>
    <t>M000079.WAV</t>
  </si>
  <si>
    <t>M000078.WAV</t>
  </si>
  <si>
    <t>M000082.WAV</t>
  </si>
  <si>
    <t>M000081.WAV</t>
  </si>
  <si>
    <t>M000083.WAV</t>
  </si>
  <si>
    <t>M000086.WAV</t>
  </si>
  <si>
    <t>M000088.WAV</t>
  </si>
  <si>
    <t>M000087.WAV</t>
  </si>
  <si>
    <t>M000084.WAV</t>
  </si>
  <si>
    <t>M000085.WAV</t>
  </si>
  <si>
    <t>M000090.WAV</t>
  </si>
  <si>
    <t>M000092.WAV</t>
  </si>
  <si>
    <t>M000091.WAV</t>
  </si>
  <si>
    <t>M000089.WAV</t>
  </si>
  <si>
    <t>M000093.WAV</t>
  </si>
  <si>
    <t>M000095.WAV</t>
  </si>
  <si>
    <t>M000096.WAV</t>
  </si>
  <si>
    <t>M000094.WAV</t>
  </si>
  <si>
    <t>M000098.WAV</t>
  </si>
  <si>
    <t>M000097.WAV</t>
  </si>
  <si>
    <t>M000099.WAV</t>
  </si>
  <si>
    <t>M000100.WAV</t>
  </si>
  <si>
    <t>M000101.WAV</t>
  </si>
  <si>
    <t>M000102.WAV</t>
  </si>
  <si>
    <t>M000103.WAV</t>
  </si>
  <si>
    <t>M000104.WAV</t>
  </si>
  <si>
    <t>M000105.WAV</t>
  </si>
  <si>
    <t>M000111.WAV</t>
  </si>
  <si>
    <t>M000108.WAV</t>
  </si>
  <si>
    <t>M000107.WAV</t>
  </si>
  <si>
    <t>M000109.WAV</t>
  </si>
  <si>
    <t>M000110.WAV</t>
  </si>
  <si>
    <t>M000106.WAV</t>
  </si>
  <si>
    <t>M000113.WAV</t>
  </si>
  <si>
    <t>M000112.WAV</t>
  </si>
  <si>
    <t>M000114.WAV</t>
  </si>
  <si>
    <t>M000116.WAV</t>
  </si>
  <si>
    <t>M000118.WAV</t>
  </si>
  <si>
    <t>M000115.WAV</t>
  </si>
  <si>
    <t>M000117.WAV</t>
  </si>
  <si>
    <t>M000121.WAV</t>
  </si>
  <si>
    <t>M000119.WAV</t>
  </si>
  <si>
    <t>M000122.WAV</t>
  </si>
  <si>
    <t>M000123.WAV</t>
  </si>
  <si>
    <t>M000120.WAV</t>
  </si>
  <si>
    <t>M000124.WAV</t>
  </si>
  <si>
    <t>M000125.WAV</t>
  </si>
  <si>
    <t>M000127.WAV</t>
  </si>
  <si>
    <t>M000126.WAV</t>
  </si>
  <si>
    <t>M000131.WAV</t>
  </si>
  <si>
    <t>M000129.WAV</t>
  </si>
  <si>
    <t>M000128.WAV</t>
  </si>
  <si>
    <t>M000133.WAV</t>
  </si>
  <si>
    <t>M000130.WAV</t>
  </si>
  <si>
    <t>M000132.WAV</t>
  </si>
  <si>
    <t>M000134.WAV</t>
  </si>
  <si>
    <t>M000135.WAV</t>
  </si>
  <si>
    <t>M000136.WAV</t>
  </si>
  <si>
    <t>M000140.WAV</t>
  </si>
  <si>
    <t>M000139.WAV</t>
  </si>
  <si>
    <t>M000137.WAV</t>
  </si>
  <si>
    <t>M000142.WAV</t>
  </si>
  <si>
    <t>M000138.WAV</t>
  </si>
  <si>
    <t>M000141.WAV</t>
  </si>
  <si>
    <t>M000143.WAV</t>
  </si>
  <si>
    <t>M000144.WAV</t>
  </si>
  <si>
    <t>M000145.WAV</t>
  </si>
  <si>
    <t>M000146.WAV</t>
  </si>
  <si>
    <t>M000147.WAV</t>
  </si>
  <si>
    <t>M000149.WAV</t>
  </si>
  <si>
    <t>M000150.WAV</t>
  </si>
  <si>
    <t>M000148.WAV</t>
  </si>
  <si>
    <t>M000154.WAV</t>
  </si>
  <si>
    <t>M000152.WAV</t>
  </si>
  <si>
    <t>M000153.WAV</t>
  </si>
  <si>
    <t>M000151.WAV</t>
  </si>
  <si>
    <t>M000155.WAV</t>
  </si>
  <si>
    <t>M000158.WAV</t>
  </si>
  <si>
    <t>M000159.WAV</t>
  </si>
  <si>
    <t>M000161.WAV</t>
  </si>
  <si>
    <t>M000156.WAV</t>
  </si>
  <si>
    <t>M000163.WAV</t>
  </si>
  <si>
    <t>M000157.WAV</t>
  </si>
  <si>
    <t>M000164.WAV</t>
  </si>
  <si>
    <t>M000160.WAV</t>
  </si>
  <si>
    <t>M000162.WAV</t>
  </si>
  <si>
    <t>M000165.WAV</t>
  </si>
  <si>
    <t>M000168.WAV</t>
  </si>
  <si>
    <t>M000167.WAV</t>
  </si>
  <si>
    <t>M000171.WAV</t>
  </si>
  <si>
    <t>M000173.WAV</t>
  </si>
  <si>
    <t>M000166.WAV</t>
  </si>
  <si>
    <t>M000169.WAV</t>
  </si>
  <si>
    <t>M000172.WAV</t>
  </si>
  <si>
    <t>M000170.WAV</t>
  </si>
  <si>
    <t>M000176.WAV</t>
  </si>
  <si>
    <t>M000177.WAV</t>
  </si>
  <si>
    <t>M000174.WAV</t>
  </si>
  <si>
    <t>M000175.WAV</t>
  </si>
  <si>
    <t>M000179.WAV</t>
  </si>
  <si>
    <t>M000181.WAV</t>
  </si>
  <si>
    <t>M000182.WAV</t>
  </si>
  <si>
    <t>M000180.WAV</t>
  </si>
  <si>
    <t>M000178.WAV</t>
  </si>
  <si>
    <t>M000183.WAV</t>
  </si>
  <si>
    <t>M000184.WAV</t>
  </si>
  <si>
    <t>M000187.WAV</t>
  </si>
  <si>
    <t>M000185.WAV</t>
  </si>
  <si>
    <t>M000189.WAV</t>
  </si>
  <si>
    <t>M000188.WAV</t>
  </si>
  <si>
    <t>M000186.WAV</t>
  </si>
  <si>
    <t>M000191.WAV</t>
  </si>
  <si>
    <t>M000190.WAV</t>
  </si>
  <si>
    <t>M000192.WAV</t>
  </si>
  <si>
    <t>M000195.WAV</t>
  </si>
  <si>
    <t>M000193.WAV</t>
  </si>
  <si>
    <t>M000196.WAV</t>
  </si>
  <si>
    <t>M000197.WAV</t>
  </si>
  <si>
    <t>M000194.WAV</t>
  </si>
  <si>
    <t>M000198.WAV</t>
  </si>
  <si>
    <t>M000200.WAV</t>
  </si>
  <si>
    <t>M000199.WAV</t>
  </si>
  <si>
    <t>M000201.WAV</t>
  </si>
  <si>
    <t>M000202.WAV</t>
  </si>
  <si>
    <t>M000204.WAV</t>
  </si>
  <si>
    <t>M000203.WAV</t>
  </si>
  <si>
    <t>M000206.WAV</t>
  </si>
  <si>
    <t>M000205.WAV</t>
  </si>
  <si>
    <t>Chiroptera</t>
  </si>
  <si>
    <t>Myotis daubentonii</t>
  </si>
  <si>
    <t>Pipistrellus pygmaeus</t>
  </si>
  <si>
    <t>Generellt jaktbeteende</t>
  </si>
  <si>
    <t>Svenskt namn art</t>
  </si>
  <si>
    <t>Taxon</t>
  </si>
  <si>
    <t>Taxongrupp</t>
  </si>
  <si>
    <t>Antal ljudfiler art</t>
  </si>
  <si>
    <t>Antal ljudfiler grupp</t>
  </si>
  <si>
    <t>Andel av obsar</t>
  </si>
  <si>
    <t>Aktivitet per natt</t>
  </si>
  <si>
    <t>Aktivitet per timme</t>
  </si>
  <si>
    <t>Första obs nattklocka</t>
  </si>
  <si>
    <t>Sista obs nattklocka</t>
  </si>
  <si>
    <t>Födosöksbeteende</t>
  </si>
  <si>
    <t>Socialt beteende</t>
  </si>
  <si>
    <t>Artfakta risk</t>
  </si>
  <si>
    <t>Vindval risk</t>
  </si>
  <si>
    <t>Rödlista 2020</t>
  </si>
  <si>
    <t>Rödlistan 2020</t>
  </si>
  <si>
    <t>ÅGP</t>
  </si>
  <si>
    <t>Typiska arter 
Natura 2000</t>
  </si>
  <si>
    <t>Art- och
 habitatdirektivet</t>
  </si>
  <si>
    <t>Artskyddsförordningen
(för fåglar enligt Naturvårdsverkets urval)</t>
  </si>
  <si>
    <t>Skyddsklass (fynduppgifter)</t>
  </si>
  <si>
    <t>Information</t>
  </si>
  <si>
    <t>Juridisk vikt (J-tal)</t>
  </si>
  <si>
    <t>Foldrar</t>
  </si>
  <si>
    <t>Påverkas av vägen som barriär enligt TRV</t>
  </si>
  <si>
    <t>Använder gärna holkar enligt TRV</t>
  </si>
  <si>
    <t>S</t>
  </si>
  <si>
    <t>barbastell</t>
  </si>
  <si>
    <t>Barbastella barbastellus</t>
  </si>
  <si>
    <t>F</t>
  </si>
  <si>
    <t>NT</t>
  </si>
  <si>
    <t>Nära hotad (NT)</t>
  </si>
  <si>
    <t>x</t>
  </si>
  <si>
    <t>II, IV</t>
  </si>
  <si>
    <t>4 §, 5 §</t>
  </si>
  <si>
    <t>Rödlistekriterium 2020: A3c
Arten är listad i bilaga 2 till art- och habitatdirektivet eftersom den har sådant unionsintresse att särskilda bevarandeområden behöver utses. Arten finns upptagen i bilaga 4 till art- och habitatdirektivet därför att den kräver noggrant skydd.</t>
  </si>
  <si>
    <t>Ja</t>
  </si>
  <si>
    <t>Barbastella sp TOT</t>
  </si>
  <si>
    <t>B</t>
  </si>
  <si>
    <t>nordfladdermus</t>
  </si>
  <si>
    <t>Eptesicus nilssonii</t>
  </si>
  <si>
    <t>K</t>
  </si>
  <si>
    <t>KK</t>
  </si>
  <si>
    <t>IV</t>
  </si>
  <si>
    <t>Rödlistekriterium 2020: A2bc
Arten finns upptagen i bilaga 4 till art- och habitatdirektivet därför att den kräver noggrant skydd.</t>
  </si>
  <si>
    <t>Nej</t>
  </si>
  <si>
    <t>sydfladdermus</t>
  </si>
  <si>
    <t>Eptesicus serotinus</t>
  </si>
  <si>
    <t>(K)</t>
  </si>
  <si>
    <t>NT°</t>
  </si>
  <si>
    <t>Nära hotad (NT°)</t>
  </si>
  <si>
    <t>Arten finns upptagen i bilaga 4 till art- och habitatdirektivet därför att den kräver noggrant skydd.</t>
  </si>
  <si>
    <t>Eptesicus sp TOT</t>
  </si>
  <si>
    <t>nymffladdermus</t>
  </si>
  <si>
    <t>Myotis alcathoe</t>
  </si>
  <si>
    <t>EN</t>
  </si>
  <si>
    <t>Starkt hotad (EN)</t>
  </si>
  <si>
    <t>Rödlistekriterium 2020: D
Arten kräver noggrant skydd enligt art- och habitatdirektivet. Arten finns upptagen i bilaga 4 till art- och habitatdirektivet.</t>
  </si>
  <si>
    <t>?</t>
  </si>
  <si>
    <t>Bechsteins fladdermus</t>
  </si>
  <si>
    <t>Myotis bechsteinii</t>
  </si>
  <si>
    <t>5x5</t>
  </si>
  <si>
    <t>Rödlistekriterium 2020: D
Arten är listad i bilaga 2 till art- och habitatdirektivet eftersom den har sådant unionsintresse att särskilda bevarandeområden behöver utses. Arten finns upptagen i bilaga 4 till art- och habitatdirektivet därför att den kräver noggrant skydd.
Arten är skyddsklassad vilket innebär att åtkomst till fynduppgifter måste begränsas. Koordinater som pekar ut platser där arten reproducerar sig får inte visas publikt med större noggrannhet än 5 x 5 km.</t>
  </si>
  <si>
    <t>tajgafladdermus</t>
  </si>
  <si>
    <t>Myotis brandtii</t>
  </si>
  <si>
    <t>LC</t>
  </si>
  <si>
    <t>Grottor (8310)
Arten finns upptagen i bilaga 4 till art- och habitatdirektivet därför att den kräver noggrant skydd.</t>
  </si>
  <si>
    <t>V</t>
  </si>
  <si>
    <t>dammfladdermus</t>
  </si>
  <si>
    <t>Myotis dasycneme</t>
  </si>
  <si>
    <t>Rödlistekriterium 2020: D1
Arten är listad i bilaga 2 till art- och habitatdirektivet eftersom den har sådant unionsintresse att särskilda bevarandeområden behöver utses. Arten finns upptagen i bilaga 4 till art- och habitatdirektivet därför att den kräver noggrant skydd.</t>
  </si>
  <si>
    <t>vattenfladdermus</t>
  </si>
  <si>
    <t>större musöra</t>
  </si>
  <si>
    <t>Myotis myotis</t>
  </si>
  <si>
    <t>Rödlistekriterium 2020: D
Arten är listad i bilaga 2 till art- och habitatdirektivet eftersom den har sådant unionsintresse att särskilda bevarandeområden behöver utses. Arten finns upptagen i bilaga 4 till art- och habitatdirektivet därför att den kräver noggrant skydd.</t>
  </si>
  <si>
    <t>mustaschfladdermus</t>
  </si>
  <si>
    <t>Myotis mystacinus</t>
  </si>
  <si>
    <t>fransfladdermus</t>
  </si>
  <si>
    <t>Myotis nattereri</t>
  </si>
  <si>
    <t>mustasch/tajgafladdermus*</t>
  </si>
  <si>
    <t>Myotis sp TOT</t>
  </si>
  <si>
    <t>L</t>
  </si>
  <si>
    <t>mindre brunfladdermus</t>
  </si>
  <si>
    <t>Nyctalus leisleri</t>
  </si>
  <si>
    <t>VU</t>
  </si>
  <si>
    <t>Sårbar (VU)</t>
  </si>
  <si>
    <t>Rödlistekriterium 2020: D1
Arten finns upptagen i bilaga 4 till art- och habitatdirektivet därför att den kräver noggrant skydd.</t>
  </si>
  <si>
    <t>större brunfladdermus</t>
  </si>
  <si>
    <t>Nyctalus sp TOT</t>
  </si>
  <si>
    <t>parkpipistrell</t>
  </si>
  <si>
    <t>Pipistrellus kuhlii</t>
  </si>
  <si>
    <t>I</t>
  </si>
  <si>
    <t>-</t>
  </si>
  <si>
    <t>trollpipistrell</t>
  </si>
  <si>
    <t>Pipistrellus nathusii</t>
  </si>
  <si>
    <t>sydpipistrell</t>
  </si>
  <si>
    <t>Pipistrellus pipistrellus</t>
  </si>
  <si>
    <t>dvärgpipistrell</t>
  </si>
  <si>
    <t>Pipistrellus sp TOT</t>
  </si>
  <si>
    <t>brunlångöra</t>
  </si>
  <si>
    <t>Plecotus auritus</t>
  </si>
  <si>
    <t>Rödlistekriterium 2020: A2bc
Grottor (8310)
Arten finns upptagen i bilaga 4 till art- och habitatdirektivet därför att den kräver noggrant skydd.</t>
  </si>
  <si>
    <t>grålångöra</t>
  </si>
  <si>
    <t>Plecotus austriacus</t>
  </si>
  <si>
    <t>CR</t>
  </si>
  <si>
    <t>Akut hotad (CR)</t>
  </si>
  <si>
    <t>Rödlistekriterium 2020: D
Arten finns upptagen i bilaga 4 till art- och habitatdirektivet därför att den kräver noggrant skydd.</t>
  </si>
  <si>
    <t>Plecotus sp TOT</t>
  </si>
  <si>
    <t>gråskimlig fladdermus</t>
  </si>
  <si>
    <t>Vespertilio murinus</t>
  </si>
  <si>
    <t>Vespertilio sp TOT</t>
  </si>
  <si>
    <t>oidentifierad 23-35 kHZ</t>
  </si>
  <si>
    <t>inom gruppen Nyctaloid**</t>
  </si>
  <si>
    <t>Nyctaloid</t>
  </si>
  <si>
    <t>o</t>
  </si>
  <si>
    <t>oidentifierad fladdermus</t>
  </si>
  <si>
    <t>autoboxar</t>
  </si>
  <si>
    <t>Totalt antal ljud:</t>
  </si>
  <si>
    <t>Antal fladdermusljud per riskkategori Artfakta</t>
  </si>
  <si>
    <t>Antal fladdermusljud per riskkategori Vindval</t>
  </si>
  <si>
    <t>nätter</t>
  </si>
  <si>
    <t>Fladdermusregistreringar:</t>
  </si>
  <si>
    <t>Fragmentering</t>
  </si>
  <si>
    <t>Direkt kroppsskada viss risk</t>
  </si>
  <si>
    <t>timmar/natt</t>
  </si>
  <si>
    <t>/natt</t>
  </si>
  <si>
    <t>/tim</t>
  </si>
  <si>
    <t>fod</t>
  </si>
  <si>
    <t>soc</t>
  </si>
  <si>
    <t>Igenväxning</t>
  </si>
  <si>
    <t>Direkt kroppsskada hög risk</t>
  </si>
  <si>
    <t>*Artkollektiv av mustasch/tajgafladdermus. ** Artkollektiv av gråskimlig/nord/syd/större brun/mindre brunfladdermus/barbastell.</t>
  </si>
  <si>
    <t>Direkt kroppsskada</t>
  </si>
  <si>
    <t>Övriga arter</t>
  </si>
  <si>
    <t>Jaktbeteende: S = skogsjagande B = brynjagande V = vattenjagande L = lufthavsjagande o = okänt</t>
  </si>
  <si>
    <t>okänt</t>
  </si>
  <si>
    <t>LC = livskraftig NT = nära hotad VU = sårbar EN = starkt hotad CR = akut hotad</t>
  </si>
  <si>
    <t>Risk: F = fragmentering I = igenväxning K = direkt kroppsskada o = okänt</t>
  </si>
  <si>
    <t>KK = hög risk (K) = potentiell risk kroppsskada</t>
  </si>
  <si>
    <t>Datum</t>
  </si>
  <si>
    <t>Matrisversion 2025-07-08</t>
  </si>
  <si>
    <t>Eptesicus nilssonii FOD</t>
  </si>
  <si>
    <t>EPTNIL</t>
  </si>
  <si>
    <t>4.99968</t>
  </si>
  <si>
    <t>0.9</t>
  </si>
  <si>
    <t>BARBAR</t>
  </si>
  <si>
    <t>EPTSER</t>
  </si>
  <si>
    <t>0.889</t>
  </si>
  <si>
    <t>NYCLEI</t>
  </si>
  <si>
    <t>0.947</t>
  </si>
  <si>
    <t>0.923</t>
  </si>
  <si>
    <t>0.667</t>
  </si>
  <si>
    <t>0.778</t>
  </si>
  <si>
    <t>0.714</t>
  </si>
  <si>
    <t>D:\202507 Fladdermöss Varsvik\Autoboxar 3006-0607\Halmstad 4</t>
  </si>
  <si>
    <t>SDIvGEHK3vT8xfeAubM9YQ==</t>
  </si>
  <si>
    <t>S44qP+ZrDY+HZfbC4wOmwA==</t>
  </si>
  <si>
    <t>hZQqoU7T5nLfXQhlR844Xg==</t>
  </si>
  <si>
    <t>pHDTnpoxawsnG96NGqnvKA==</t>
  </si>
  <si>
    <t>+KwGcFqlWzFwSub4qYu3nQ==</t>
  </si>
  <si>
    <t>uTCc8f6sPFlZYOEnXlVq0A==</t>
  </si>
  <si>
    <t>bQmXeABztoxZbJtTmKScKA==</t>
  </si>
  <si>
    <t>Ra6C6AN89oM2ov9yxHB2Tw==</t>
  </si>
  <si>
    <t>/3w9XHknxgYT0vOTkd/BeA==</t>
  </si>
  <si>
    <t>moHIjaCt+rog7kk4Tw3RvA==</t>
  </si>
  <si>
    <t>Rifo/QuGaYOzYFF5vjYsjA==</t>
  </si>
  <si>
    <t>iiPSt4cLY2TniGNeWECysQ==</t>
  </si>
  <si>
    <t>b82w+Nh+ES39tmiIA8vGyw==</t>
  </si>
  <si>
    <t>qYVOt1JBn6XFCaOBWel9Yg==</t>
  </si>
  <si>
    <t>m3vwXzotWJ2Y4tAAAIVU0Q==</t>
  </si>
  <si>
    <t>9trEolADWoiz5XW7SydKyA==</t>
  </si>
  <si>
    <t>rm9ZeDYMUyzGaYd+/hrqRA==</t>
  </si>
  <si>
    <t>EawG2dWBVabqP7iPpWh9Gw==</t>
  </si>
  <si>
    <t>rV7WEEB8XUMMqQbqSLTZrg==</t>
  </si>
  <si>
    <t>ujVmnGbMyE4Gsq0yIY8WNg==</t>
  </si>
  <si>
    <t>MTcpgMRWEbF2HmkGSnA5WQ==</t>
  </si>
  <si>
    <t>LrUXnOu9D8ZbxetC2XqfzA==</t>
  </si>
  <si>
    <t>Awtve0qxm/sjr9TK+aUBbA==</t>
  </si>
  <si>
    <t>TXng3zWSdUeYttuM958yKQ==</t>
  </si>
  <si>
    <t>XeGJVioMLhx/ZxMoKVyFUQ==</t>
  </si>
  <si>
    <t>EyJLKD+AbcYfvNrGjH8Tfg==</t>
  </si>
  <si>
    <t>DBqj3kE30nhGISMuM72DQw==</t>
  </si>
  <si>
    <t>ERrU4Z282Yf0zTUkYEhO9A==</t>
  </si>
  <si>
    <t>X/EKVLNP5H/7KBGrZeNIWQ==</t>
  </si>
  <si>
    <t>u2vh+TK7Z+IOrgjkKhjFbw==</t>
  </si>
  <si>
    <t>XijD1KNOc1CPZ0ocwwHywA==</t>
  </si>
  <si>
    <t>achljsS4pJAxkxeY/cKFSg==</t>
  </si>
  <si>
    <t>UyuUgtqoT6KSAKrhzvOpfg==</t>
  </si>
  <si>
    <t>AX8qk+kcDacHi2fd6E+PpA==</t>
  </si>
  <si>
    <t>CIcBW4dWc2aN1ODDrhSqwg==</t>
  </si>
  <si>
    <t>NoID</t>
  </si>
  <si>
    <t>+CJedntiVF3Q5oYm4MYCJw==</t>
  </si>
  <si>
    <t>VESMUR</t>
  </si>
  <si>
    <t>0.255357</t>
  </si>
  <si>
    <t>L4F0UUdBfRD2fWPHT4sFOA==</t>
  </si>
  <si>
    <t>0.258641</t>
  </si>
  <si>
    <t>xmoArOxWFwYC58f7kHzAdw==</t>
  </si>
  <si>
    <t>IJ4m9DTKG5HH5hxVHYc1iw==</t>
  </si>
  <si>
    <t>0.911877</t>
  </si>
  <si>
    <t>o0u6aJustB0dnq/I5CvTOg==</t>
  </si>
  <si>
    <t>0.287043</t>
  </si>
  <si>
    <t>VvnriNH3NPjLMAhAhQ7OyA==</t>
  </si>
  <si>
    <t>X1o4/N+Fm8RgqsWO9KmjQw==</t>
  </si>
  <si>
    <t>SMoTgk5fCNblwKQSdJC7SQ==</t>
  </si>
  <si>
    <t>0.399843</t>
  </si>
  <si>
    <t>VitV+4u/9uGCsxvMrKAIhQ==</t>
  </si>
  <si>
    <t>dw0MbjqrStsQmfNQcTS/dg==</t>
  </si>
  <si>
    <t>0.5</t>
  </si>
  <si>
    <t>0.293955</t>
  </si>
  <si>
    <t>THnWciPmhcMaha42A1VE/A==</t>
  </si>
  <si>
    <t>Bt2qLJ0ptjXJlaX2FirA9g==</t>
  </si>
  <si>
    <t>0.75</t>
  </si>
  <si>
    <t>0.307207</t>
  </si>
  <si>
    <t>6V1Y79xoQMBCkFr7YytRrg==</t>
  </si>
  <si>
    <t>0.535883</t>
  </si>
  <si>
    <t>+0fMJmouWltrniX62IdQfQ==</t>
  </si>
  <si>
    <t>0.545</t>
  </si>
  <si>
    <t>0.221562</t>
  </si>
  <si>
    <t>HVxZvK+T2AJIXzZVzA148w==</t>
  </si>
  <si>
    <t>HNZomsszypYx40X+36S9cw==</t>
  </si>
  <si>
    <t>gryAoM1fAPqPM4uWrQxxBQ==</t>
  </si>
  <si>
    <t>w98Bg8liSWLwr2d/sNJLKA==</t>
  </si>
  <si>
    <t>B5XhcWP571f4UTzswMXmWQ==</t>
  </si>
  <si>
    <t>Ay1Nmeb9gXddCFQEkSRu3Q==</t>
  </si>
  <si>
    <t>oY/bGFExguHDGUYDFGNc6A==</t>
  </si>
  <si>
    <t>QNLN9ME/8TOYnKyLsnSAWA==</t>
  </si>
  <si>
    <t>b9ZbgNiQ4qHjakIB8ciKvg==</t>
  </si>
  <si>
    <t>0.636</t>
  </si>
  <si>
    <t>0.289621</t>
  </si>
  <si>
    <t>54m4kQRiVeF1nfTPgFOYmQ==</t>
  </si>
  <si>
    <t>/AqyOTikljWSbq444PEpGg==</t>
  </si>
  <si>
    <t>fy/jxBMzwZyVdDg73vzzZw==</t>
  </si>
  <si>
    <t>9j61vqjoPSNFNVVhvFwrsg==</t>
  </si>
  <si>
    <t>l4fpj1HzdYfzTLKqdPO4jg==</t>
  </si>
  <si>
    <t>0.833</t>
  </si>
  <si>
    <t>0.364616</t>
  </si>
  <si>
    <t>a+8tzG00B5B+aW8obYBfTw==</t>
  </si>
  <si>
    <t>MigV4t5Lj1V3onPIUdePSQ==</t>
  </si>
  <si>
    <t>DPJJrGWnE+GNYpXwBW81PA==</t>
  </si>
  <si>
    <t>0.692</t>
  </si>
  <si>
    <t>0.443431</t>
  </si>
  <si>
    <t>Mux+QDBxkAAv2MKB10lb7A==</t>
  </si>
  <si>
    <t>0.257928</t>
  </si>
  <si>
    <t>ooeJHcwRAqVLp534GULrzQ==</t>
  </si>
  <si>
    <t>n1RBjrgmZM+OobVtidjK7w==</t>
  </si>
  <si>
    <t>L7AOgY+xiIE6qPsd1fJggQ==</t>
  </si>
  <si>
    <t>0.767868</t>
  </si>
  <si>
    <t>Rb3S1gdoqAT0zrH/iTUeHA==</t>
  </si>
  <si>
    <t>0.501195</t>
  </si>
  <si>
    <t>Z2CecbwmcXDqWhq970i6Eg==</t>
  </si>
  <si>
    <t>TbKG7zT8uEo7gpdfsrqQxQ==</t>
  </si>
  <si>
    <t>L0Yd695Rv55YSWaPPn9TMg==</t>
  </si>
  <si>
    <t>EeKrKppBqByPis9hHMH+hw==</t>
  </si>
  <si>
    <t>s7oq0vUpvoritHpHtR8Qfg==</t>
  </si>
  <si>
    <t>0.8</t>
  </si>
  <si>
    <t>0.325295</t>
  </si>
  <si>
    <t>do0NGyR3c11rpjgSsOtHfA==</t>
  </si>
  <si>
    <t>6B9NHB8nML0CELUK8zQtmQ==</t>
  </si>
  <si>
    <t>0.379353</t>
  </si>
  <si>
    <t>SWX9J+ZdRFVRvL0ak69zLQ==</t>
  </si>
  <si>
    <t>eK3F7Dy27/6dd/4Y/oIB/Q==</t>
  </si>
  <si>
    <t>KCY6ENh/3+dnRmIrmmBx0g==</t>
  </si>
  <si>
    <t>0.269018</t>
  </si>
  <si>
    <t>VqGBygd7UiF+A2WFlOmtcg==</t>
  </si>
  <si>
    <t>0.519393</t>
  </si>
  <si>
    <t>TtI57Xmy7l8KuAM6qYWE5g==</t>
  </si>
  <si>
    <t>0.92214</t>
  </si>
  <si>
    <t>eIglq6yUZSJDZ+RTrYGHrg==</t>
  </si>
  <si>
    <t>0jvCjWb2GSSz8g7Dlaz88Q==</t>
  </si>
  <si>
    <t>sVIxcb1X7kW5GgalojgFdQ==</t>
  </si>
  <si>
    <t>+Sx8sdiKcW8WzE72zkSlfw==</t>
  </si>
  <si>
    <t>0.832795</t>
  </si>
  <si>
    <t>rlp5Gg0902WVDpz1rPqHXw==</t>
  </si>
  <si>
    <t>0.86188</t>
  </si>
  <si>
    <t>6wT7ttrYgP8fyhn9oOvUtg==</t>
  </si>
  <si>
    <t>ekTFWMz14mD1vm/w69KG2w==</t>
  </si>
  <si>
    <t>0.654956</t>
  </si>
  <si>
    <t>5130dMJB8OwHRzDPpoNwLw==</t>
  </si>
  <si>
    <t>0.955</t>
  </si>
  <si>
    <t>0.798115</t>
  </si>
  <si>
    <t>71u9AEUzZ+J0vlhiABaISQ==</t>
  </si>
  <si>
    <t>0.656089</t>
  </si>
  <si>
    <t>FvNj4CKPYdq2SSgdMgxuVw==</t>
  </si>
  <si>
    <t>0.95</t>
  </si>
  <si>
    <t>0.787915</t>
  </si>
  <si>
    <t>TIHTeNwzwplnBk59DyDaJg==</t>
  </si>
  <si>
    <t>lJutOvc/GNOHPSVpJNVchw==</t>
  </si>
  <si>
    <t>8pfhtl6Se/hYN/i7JD4EdA==</t>
  </si>
  <si>
    <t>SI8jliKWbXv0FKFkto7PIg==</t>
  </si>
  <si>
    <t>injRswz95XywEgQD72vJIQ==</t>
  </si>
  <si>
    <t>wAx+CgBcuiUElgfn/6Ba4Q==</t>
  </si>
  <si>
    <t>aIUM7nnLJGgXm3eOS3pE0Q==</t>
  </si>
  <si>
    <t>fpbj2RGOx8RVbFQeq1cF4g==</t>
  </si>
  <si>
    <t>kFYe3nyB4S0/JS1lTELuZg==</t>
  </si>
  <si>
    <t>LGDJ6bjeVuJFzpm5wDISjw==</t>
  </si>
  <si>
    <t>nlOCWi+5wtwwJtP37QQqmg==</t>
  </si>
  <si>
    <t>w4FnAgub7qvbwFEFzmMvlQ==</t>
  </si>
  <si>
    <t>ziq7XkkTYXt49OLj0ZAz4g==</t>
  </si>
  <si>
    <t>W0Q8Q6UOwUfN7wOxMC2IGA==</t>
  </si>
  <si>
    <t>7cevMGYt6vnvb4j36t6iug==</t>
  </si>
  <si>
    <t>KyDOqGK/BGHjhdLpMcKSCQ==</t>
  </si>
  <si>
    <t>uiNJWuWrAWeSkaDHnikMJw==</t>
  </si>
  <si>
    <t>XKsvuuIt73cbsbOxQg3nWQ==</t>
  </si>
  <si>
    <t>1zno3N26L5MnCM1SZU8WvQ==</t>
  </si>
  <si>
    <t>6ZX1vUDVxSdN2i+cM7njag==</t>
  </si>
  <si>
    <t>ZXr11Etk3k4ujfmL/oWG5w==</t>
  </si>
  <si>
    <t>b2RJczjprMCjQ7qp/BgHtQ==</t>
  </si>
  <si>
    <t>JkvRNALD8inEMo/aRoxMuA==</t>
  </si>
  <si>
    <t>Knp7cvF0I79L783/PgJ8Xg==</t>
  </si>
  <si>
    <t>Ml+oaB38yPuJUA1MBaOBZg==</t>
  </si>
  <si>
    <t>JetjN1QfwIPQBXCckAqLhQ==</t>
  </si>
  <si>
    <t>CYkewJUN1WYc+niEsKy88A==</t>
  </si>
  <si>
    <t>izL9/PsIqmnEntxNtkcVeg==</t>
  </si>
  <si>
    <t>NOf1Cr1mcHCFRoei/dACrA==</t>
  </si>
  <si>
    <t>VOaYMe4LlH02Zu2g9KUkSw==</t>
  </si>
  <si>
    <t>ZwNGUMSYId/ON+NBqhsvag==</t>
  </si>
  <si>
    <t>PUomr1JPIQt6rlVr/mTEmw==</t>
  </si>
  <si>
    <t>WWMhe4w2Ofx61YkCLNyy2w==</t>
  </si>
  <si>
    <t>FCcoHqIlveSRXz90LRqd8w==</t>
  </si>
  <si>
    <t>CCXa546EXYkLxKL5MUJVrw==</t>
  </si>
  <si>
    <t>AeetiENsFzzxstLskbsb3A==</t>
  </si>
  <si>
    <t>+pWLwvUf80mGQQrLCGUkrw==</t>
  </si>
  <si>
    <t>su3olJIM/XmhU3+rmUduyQ==</t>
  </si>
  <si>
    <t>QGvFPxSZvZqMHYblBfqeNg==</t>
  </si>
  <si>
    <t>4XLIXHPlYBLcOsq0RJx9iw==</t>
  </si>
  <si>
    <t>oF0q6MJ8xUKWEABOFKPw/g==</t>
  </si>
  <si>
    <t>f/e6gBsRSKZ28XnrACUWTg==</t>
  </si>
  <si>
    <t>wTeVIKCeDI/6GCs1Jq94sg==</t>
  </si>
  <si>
    <t>iNvEf3Ct8RRtbdvW7rgc7w==</t>
  </si>
  <si>
    <t>715kiVe2D35iLLHbD4KcIg==</t>
  </si>
  <si>
    <t>F97WojxtQE4WeLyQIybNqw==</t>
  </si>
  <si>
    <t>l3M3eSt3cm+NPBEmDpeJPg==</t>
  </si>
  <si>
    <t>8cfJ0JA6arXpWUqpYBykJA==</t>
  </si>
  <si>
    <t>xNz4au0sQue4SORPpw1W4w==</t>
  </si>
  <si>
    <t>lrdK5HnPnDu8GpZOJcOucA==</t>
  </si>
  <si>
    <t>6n5/pR9+e0vvPrQCHQvJ2Q==</t>
  </si>
  <si>
    <t>+9gRfUEWjxk82MogIKRSmA==</t>
  </si>
  <si>
    <t>9j8NPRfvoQXbE0tdq2TXqg==</t>
  </si>
  <si>
    <t>6AA/ub36f0MY0pF6x4w0Ag==</t>
  </si>
  <si>
    <t>NdHO5EtNIZM+2PeBeurcJA==</t>
  </si>
  <si>
    <t>vhMiHnHDm5eijwCfv81zGw==</t>
  </si>
  <si>
    <t>TbXSf7lNvLeQsOzI4G3Lnw==</t>
  </si>
  <si>
    <t>wCMnPL09Nrd1x32jrSscXw==</t>
  </si>
  <si>
    <t>g4XkNu9+R7FNi/cbt/F/vA==</t>
  </si>
  <si>
    <t>ODl6WCs98WabTLEBtB7dRg==</t>
  </si>
  <si>
    <t>mjudXr579mOA00Z+uC2DAg==</t>
  </si>
  <si>
    <t>R1MVKF2eSFPMbNO+59rQhg==</t>
  </si>
  <si>
    <t>c2VFT/9vEPW2koUCrDHwdw==</t>
  </si>
  <si>
    <t>vRgLpqzm1eBRFtwflEeUcQ==</t>
  </si>
  <si>
    <t>fNZv9GJi+YJuibV96qR33Q==</t>
  </si>
  <si>
    <t>fTh3EeC95dkojU7d5NzA6g==</t>
  </si>
  <si>
    <t>PU6hboO5TEMJXpndPjtVzw==</t>
  </si>
  <si>
    <t>Si/hh6xgOAW3RVwl8OMWcA==</t>
  </si>
  <si>
    <t>kgSxR0hE8dkuDKopW54fsw==</t>
  </si>
  <si>
    <t>b2o5t0SXhVanG1vxALRS+g==</t>
  </si>
  <si>
    <t>tUvnLRjYR7raNAUien/sCA==</t>
  </si>
  <si>
    <t>7ZyOzNAnJAxkknfu+q/FPQ==</t>
  </si>
  <si>
    <t>QgZnQ0CXvNAcyqxarkRnnQ==</t>
  </si>
  <si>
    <t>2SikhRj9yHym7eiPu8p4mQ==</t>
  </si>
  <si>
    <t>c1QdhMTfmPT5/Tdrfajnug==</t>
  </si>
  <si>
    <t>7fYqNne3/wXZZaWcquGnRQ==</t>
  </si>
  <si>
    <t>Q1eYURfDM3Tc8QpvmwXKWA==</t>
  </si>
  <si>
    <t>M1RlPn8BKntsMjaS0Jr/Cg==</t>
  </si>
  <si>
    <t>Drro1xuUSt4ex3OMgVNSKA==</t>
  </si>
  <si>
    <t>YABkCV0kBvhCPJliCfTulw==</t>
  </si>
  <si>
    <t>Lf+PRCBSZSsiTOgJyln0xQ==</t>
  </si>
  <si>
    <t>D0iU/rbmct/9XtWWLnSaxQ==</t>
  </si>
  <si>
    <t>j3zVl6922euOOz6ngtyreg==</t>
  </si>
  <si>
    <t>Xf9hgtQbnOtKlC9Y6MzqLg==</t>
  </si>
  <si>
    <t>ma4J3GRvGjorWjmnUOFz2A==</t>
  </si>
  <si>
    <t>0pAYnPj6lV88nRMSf8g+zQ==</t>
  </si>
  <si>
    <t>1v4d1nI++lqUY94lh8+swg==</t>
  </si>
  <si>
    <t>a/nTVzsM8dT0S4PTnWbtng==</t>
  </si>
  <si>
    <t>kq2zbtErcLcVW807lgK3rw==</t>
  </si>
  <si>
    <t>boS8pMHHcetG7jsi6eJNVQ==</t>
  </si>
  <si>
    <t>CavP8UhLMYoloWiYx4novw==</t>
  </si>
  <si>
    <t>rhAk2BE7xEn2ZwdbtmlDuQ==</t>
  </si>
  <si>
    <t>AZMf/fkOWjDlucAya3/NGQ==</t>
  </si>
  <si>
    <t>oZ/INRG9XIVIYNVI5KBBOA==</t>
  </si>
  <si>
    <t>TYH81JuUPXTEvUL0Op+Eog==</t>
  </si>
  <si>
    <t>kMgsjUSl2fa62BZCrdKhJA==</t>
  </si>
  <si>
    <t>yvy/un5uMos/8ka16a2ZCQ==</t>
  </si>
  <si>
    <t>wTTokR+WWYBcf3lcT7F4dg==</t>
  </si>
  <si>
    <t>0.410768</t>
  </si>
  <si>
    <t>Tn08hpzx5z+bpYD2EFYI/w==</t>
  </si>
  <si>
    <t>0.677</t>
  </si>
  <si>
    <t>0.375405</t>
  </si>
  <si>
    <t>XO1+2swo67vfZavRCIczTw==</t>
  </si>
  <si>
    <t>0.935</t>
  </si>
  <si>
    <t>0.755067</t>
  </si>
  <si>
    <t>bUIG4Pvz0bVPpxyWVOxGtQ==</t>
  </si>
  <si>
    <t>0.881031</t>
  </si>
  <si>
    <t>K/np33bdwrlU4X/GZUdqVQ==</t>
  </si>
  <si>
    <t>MYODAS</t>
  </si>
  <si>
    <t>0.786</t>
  </si>
  <si>
    <t>0.551795</t>
  </si>
  <si>
    <t>t+PO4tRlpTeY++gSImiBdA==</t>
  </si>
  <si>
    <t>0.788079</t>
  </si>
  <si>
    <t>ABmHBe+PZp852JRwj+K8Eg==</t>
  </si>
  <si>
    <t>0.444</t>
  </si>
  <si>
    <t>0.176913</t>
  </si>
  <si>
    <t>ivIGGsF/ZV0uT5ocjTCrqQ==</t>
  </si>
  <si>
    <t>0.562</t>
  </si>
  <si>
    <t>0.356267</t>
  </si>
  <si>
    <t>a0XpEAZxcangOYl+OEJX7Q==</t>
  </si>
  <si>
    <t>0.338424</t>
  </si>
  <si>
    <t>9FE/N4/VX2hsfWz7Z7d9/A==</t>
  </si>
  <si>
    <t>2GDg4s3/Cq0TY/iB3H0CkQ==</t>
  </si>
  <si>
    <t>0.65</t>
  </si>
  <si>
    <t>0.382481</t>
  </si>
  <si>
    <t>/sg+os9nWfxq8GtJTgrSUQ==</t>
  </si>
  <si>
    <t>0.6</t>
  </si>
  <si>
    <t>0.340627</t>
  </si>
  <si>
    <t>PinqkOe7y5CtoAf8A/Kslw==</t>
  </si>
  <si>
    <t>0.715097</t>
  </si>
  <si>
    <t>REXlP3aM7ldJ/oDkjBoY5A==</t>
  </si>
  <si>
    <t>0.228415</t>
  </si>
  <si>
    <t>JpS2TWfqyzS2ZdQSID4QkQ==</t>
  </si>
  <si>
    <t>0.368</t>
  </si>
  <si>
    <t>0.232377</t>
  </si>
  <si>
    <t>z6DifG7+McPtatzL+nhH0g==</t>
  </si>
  <si>
    <t>M000207.WAV</t>
  </si>
  <si>
    <t>XUbzmH1wkF87C2M0pem7Jg==</t>
  </si>
  <si>
    <t>M000208.WAV</t>
  </si>
  <si>
    <t>0.290439</t>
  </si>
  <si>
    <t>Nyctaloid FOD</t>
  </si>
  <si>
    <t>mbYpi6uYKl8TIDLGslhbIw==</t>
  </si>
  <si>
    <t>M000209.WAV</t>
  </si>
  <si>
    <t>0.583</t>
  </si>
  <si>
    <t>0.218408</t>
  </si>
  <si>
    <t>LUjDV/XXBjMiBuHsV89NBg==</t>
  </si>
  <si>
    <t>M000210.WAV</t>
  </si>
  <si>
    <t>0.319992</t>
  </si>
  <si>
    <t>T4MoSH8r3TqAdd+4jo8MvA==</t>
  </si>
  <si>
    <t>M000211.WAV</t>
  </si>
  <si>
    <t>KgKnSgcUVcZ7ebspTlIqlQ==</t>
  </si>
  <si>
    <t>M000212.WAV</t>
  </si>
  <si>
    <t>0.28733</t>
  </si>
  <si>
    <t>2rPyByN6gbepG8RHeYHuzw==</t>
  </si>
  <si>
    <t>M000213.WAV</t>
  </si>
  <si>
    <t>0.354042</t>
  </si>
  <si>
    <t>UrdwqzAJEzjILV2TmYtNqg==</t>
  </si>
  <si>
    <t>M000214.WAV</t>
  </si>
  <si>
    <t>0.613877</t>
  </si>
  <si>
    <t>ajs9NXAiyi0vCTzZbKjSIA==</t>
  </si>
  <si>
    <t>M000215.WAV</t>
  </si>
  <si>
    <t>0.281546</t>
  </si>
  <si>
    <t>N+N8KONCv5IEWo9kjsEdGg==</t>
  </si>
  <si>
    <t>M000216.WAV</t>
  </si>
  <si>
    <t>0.538</t>
  </si>
  <si>
    <t>0.354533</t>
  </si>
  <si>
    <t>p05DWQbe6FZCKTq4eXtMPg==</t>
  </si>
  <si>
    <t>M000217.WAV</t>
  </si>
  <si>
    <t>0.312436</t>
  </si>
  <si>
    <t>QBo1eZfwQCleBmXI5bQ/eg==</t>
  </si>
  <si>
    <t>M000218.WAV</t>
  </si>
  <si>
    <t>0.4</t>
  </si>
  <si>
    <t>0.224294</t>
  </si>
  <si>
    <t>IbYTynbJc01FW+5YOVfgqQ==</t>
  </si>
  <si>
    <t>M000219.WAV</t>
  </si>
  <si>
    <t>0.196497</t>
  </si>
  <si>
    <t>08IixigLFZToBDOhnsgCwA==</t>
  </si>
  <si>
    <t>M000220.WAV</t>
  </si>
  <si>
    <t>0.455</t>
  </si>
  <si>
    <t>0.234619</t>
  </si>
  <si>
    <t>smYY27amaLBhsxrwShhAOA==</t>
  </si>
  <si>
    <t>M000221.WAV</t>
  </si>
  <si>
    <t>0.468778</t>
  </si>
  <si>
    <t>Nss14d9Ch8pbYMnMbSmNFg==</t>
  </si>
  <si>
    <t>M000222.WAV</t>
  </si>
  <si>
    <t>0.278103</t>
  </si>
  <si>
    <t>HuJtr8NRokr5N6OucahIOw==</t>
  </si>
  <si>
    <t>M000223.WAV</t>
  </si>
  <si>
    <t>0.853513</t>
  </si>
  <si>
    <t>Zz4Yorr+Tz4iGXmYjNz9eg==</t>
  </si>
  <si>
    <t>M000224.WAV</t>
  </si>
  <si>
    <t>0.574626</t>
  </si>
  <si>
    <t>HTgXU52CuXq+wxGulNecCg==</t>
  </si>
  <si>
    <t>M000225.WAV</t>
  </si>
  <si>
    <t>0.436673</t>
  </si>
  <si>
    <t>OFkk8hreHWQ7wOXhRBpjpw==</t>
  </si>
  <si>
    <t>M000226.WAV</t>
  </si>
  <si>
    <t>0.462</t>
  </si>
  <si>
    <t>0.28331</t>
  </si>
  <si>
    <t>dqo5OdflxVxM866gQcdPHg==</t>
  </si>
  <si>
    <t>M000227.WAV</t>
  </si>
  <si>
    <t>0.258715</t>
  </si>
  <si>
    <t>9TY7I9APoJ/9BDqr+D7V5Q==</t>
  </si>
  <si>
    <t>M000228.WAV</t>
  </si>
  <si>
    <t>JYZ8kGVHxI26bm4QNRHa8A==</t>
  </si>
  <si>
    <t>M000229.WAV</t>
  </si>
  <si>
    <t>0.571753</t>
  </si>
  <si>
    <t>LVyqpaV8/u9RayF5t8rV8Q==</t>
  </si>
  <si>
    <t>M000230.WAV</t>
  </si>
  <si>
    <t>Z2VDtOAwrnl4Jv6wtPWfkQ==</t>
  </si>
  <si>
    <t>M000231.WAV</t>
  </si>
  <si>
    <t>0.578032</t>
  </si>
  <si>
    <t>SZ6lq6YfzQuHxRhJxHVVEw==</t>
  </si>
  <si>
    <t>M000232.WAV</t>
  </si>
  <si>
    <t>0.422504</t>
  </si>
  <si>
    <t>TN754VIC9M5eU0VpAKv/tg==</t>
  </si>
  <si>
    <t>M000233.WAV</t>
  </si>
  <si>
    <t>0.625</t>
  </si>
  <si>
    <t>0.253763</t>
  </si>
  <si>
    <t>WGRYe1+VmZ4qXnPvbmEygA==</t>
  </si>
  <si>
    <t>M000234.WAV</t>
  </si>
  <si>
    <t>reFX003TN9KOyU7xtbnJVg==</t>
  </si>
  <si>
    <t>M000235.WAV</t>
  </si>
  <si>
    <t>0.753865</t>
  </si>
  <si>
    <t>bwxg657keq8f2+PJ5blZdA==</t>
  </si>
  <si>
    <t>M000236.WAV</t>
  </si>
  <si>
    <t>0.507822</t>
  </si>
  <si>
    <t>6klCt5kcHDssXqp0n1BuwA==</t>
  </si>
  <si>
    <t>M000237.WAV</t>
  </si>
  <si>
    <t>0.300027</t>
  </si>
  <si>
    <t>Px0mYhi+O9fKXZrg7hpLLg==</t>
  </si>
  <si>
    <t>M000238.WAV</t>
  </si>
  <si>
    <t>0.81</t>
  </si>
  <si>
    <t>0.493963</t>
  </si>
  <si>
    <t>GuAH8GkXLdRhdPQ2ewCf4w==</t>
  </si>
  <si>
    <t>M000239.WAV</t>
  </si>
  <si>
    <t>0.867</t>
  </si>
  <si>
    <t>0.682821</t>
  </si>
  <si>
    <t>YRV/mbYSsNoOcgvu+580Qg==</t>
  </si>
  <si>
    <t>M000240.WAV</t>
  </si>
  <si>
    <t>0.315247</t>
  </si>
  <si>
    <t>cbiuIStPkK8Jv+942Ep3iw==</t>
  </si>
  <si>
    <t>M000241.WAV</t>
  </si>
  <si>
    <t>r1iC3iACuCXrC9JTcXMmqg==</t>
  </si>
  <si>
    <t>M000242.WAV</t>
  </si>
  <si>
    <t>0.601694</t>
  </si>
  <si>
    <t>UJgam/4Gj9b6UNddaj/vzA==</t>
  </si>
  <si>
    <t>M000243.WAV</t>
  </si>
  <si>
    <t>0.946149</t>
  </si>
  <si>
    <t>PzKC9YPBZN4WRnCZv6SnjA==</t>
  </si>
  <si>
    <t>M000244.WAV</t>
  </si>
  <si>
    <t>0.875</t>
  </si>
  <si>
    <t>0.365563</t>
  </si>
  <si>
    <t>98mkHEp6RwvQUxCbZ79Qzg==</t>
  </si>
  <si>
    <t>M000245.WAV</t>
  </si>
  <si>
    <t>liBv/L3lLbyoMnnEsb6eWA==</t>
  </si>
  <si>
    <t>M000246.WAV</t>
  </si>
  <si>
    <t>0.580323</t>
  </si>
  <si>
    <t>JgbIO1I6baKwIpXHP11Yug==</t>
  </si>
  <si>
    <t>M000247.WAV</t>
  </si>
  <si>
    <t>0.909</t>
  </si>
  <si>
    <t>0.652498</t>
  </si>
  <si>
    <t>xq3ZfIb7DMt5lg8xyX9UsQ==</t>
  </si>
  <si>
    <t>M000248.WAV</t>
  </si>
  <si>
    <t>4hgN5ll5ruXP4hf1U0jl+A==</t>
  </si>
  <si>
    <t>M000249.WAV</t>
  </si>
  <si>
    <t>0.733</t>
  </si>
  <si>
    <t>0.453277</t>
  </si>
  <si>
    <t>Z5VudsyGepcZ3zfHZlj1OA==</t>
  </si>
  <si>
    <t>M000250.WAV</t>
  </si>
  <si>
    <t>Q1j37Y/Hdobgp21O6bJIvw==</t>
  </si>
  <si>
    <t>M000251.WAV</t>
  </si>
  <si>
    <t>0.48</t>
  </si>
  <si>
    <t>0.186573</t>
  </si>
  <si>
    <t>REO0O0CDeRa4cbtq+W/8MQ==</t>
  </si>
  <si>
    <t>M000252.WAV</t>
  </si>
  <si>
    <t>0.471</t>
  </si>
  <si>
    <t>0.270823</t>
  </si>
  <si>
    <t>Qt2aEGv6HmrsLZIudDfykQ==</t>
  </si>
  <si>
    <t>M000253.WAV</t>
  </si>
  <si>
    <t>XegZu7PtfuV5qG9Vo0gnXw==</t>
  </si>
  <si>
    <t>M000254.WAV</t>
  </si>
  <si>
    <t>vk5mtDlzZLumRbeSrMnoMw==</t>
  </si>
  <si>
    <t>M000255.WAV</t>
  </si>
  <si>
    <t>52b9RG6C9gzHaDe3TqfEig==</t>
  </si>
  <si>
    <t>M000256.WAV</t>
  </si>
  <si>
    <t>0.688</t>
  </si>
  <si>
    <t>0.242435</t>
  </si>
  <si>
    <t>PQ7gKZ2NZKvQqbTr10d/UA==</t>
  </si>
  <si>
    <t>M000257.WAV</t>
  </si>
  <si>
    <t>0.27422</t>
  </si>
  <si>
    <t>rMeylUkKCXI5TyMxvD8hBQ==</t>
  </si>
  <si>
    <t>M000258.WAV</t>
  </si>
  <si>
    <t>0.818</t>
  </si>
  <si>
    <t>0.566318</t>
  </si>
  <si>
    <t>yzWAwzf6Gzd6CZpsUSE3aw==</t>
  </si>
  <si>
    <t>M000259.WAV</t>
  </si>
  <si>
    <t>0.275799</t>
  </si>
  <si>
    <t>i3I7li4S67TfgLGhjk1niQ==</t>
  </si>
  <si>
    <t>M000260.WAV</t>
  </si>
  <si>
    <t>vL0mEC9n+dXpyjUHDPBcpg==</t>
  </si>
  <si>
    <t>M000261.WAV</t>
  </si>
  <si>
    <t>0.412</t>
  </si>
  <si>
    <t>0.287753</t>
  </si>
  <si>
    <t>tQHp9NwlHUYkasPCZWEvcQ==</t>
  </si>
  <si>
    <t>M000262.WAV</t>
  </si>
  <si>
    <t>0.298668</t>
  </si>
  <si>
    <t>i0a9R6WpNW4ol5b7lQXoLw==</t>
  </si>
  <si>
    <t>M000263.WAV</t>
  </si>
  <si>
    <t>0.267443</t>
  </si>
  <si>
    <t>oY1jCXsFEbOXRwQpYUk28Q==</t>
  </si>
  <si>
    <t>M000264.WAV</t>
  </si>
  <si>
    <t>0.739</t>
  </si>
  <si>
    <t>0.448358</t>
  </si>
  <si>
    <t>Eptesicus nilssonii SOC</t>
  </si>
  <si>
    <t>mVPKUYRMiXBxK4eWPvDeCw==</t>
  </si>
  <si>
    <t>M000265.WAV</t>
  </si>
  <si>
    <t>9LISiuvGOvSYR6JAME9vnA==</t>
  </si>
  <si>
    <t>M000266.WAV</t>
  </si>
  <si>
    <t>0.579763</t>
  </si>
  <si>
    <t>6K7w8ZVnC97fXVXvP2g+WQ==</t>
  </si>
  <si>
    <t>M000267.WAV</t>
  </si>
  <si>
    <t>0.235822</t>
  </si>
  <si>
    <t>N+OJu4lOVok5/5nhoxnhrw==</t>
  </si>
  <si>
    <t>M000268.WAV</t>
  </si>
  <si>
    <t>+X6q4XH3LK6GJ+9u0d5mPg==</t>
  </si>
  <si>
    <t>M000269.WAV</t>
  </si>
  <si>
    <t>KEb6Fa3cyIdpmblq0dIPjA==</t>
  </si>
  <si>
    <t>M000270.WAV</t>
  </si>
  <si>
    <t>GZJYFxbvGbSF0RoZEOIYng==</t>
  </si>
  <si>
    <t>M000271.WAV</t>
  </si>
  <si>
    <t>68DN93tfuf8u/ixhNpcy0Q==</t>
  </si>
  <si>
    <t>M000272.WAV</t>
  </si>
  <si>
    <t>d4L84IO5YKYrVwhJAaSxwg==</t>
  </si>
  <si>
    <t>M000273.WAV</t>
  </si>
  <si>
    <t>CIx7n34iYFyxS0k/13RJXg==</t>
  </si>
  <si>
    <t>M000274.WAV</t>
  </si>
  <si>
    <t>vL3bPepOBd2EsGbZ1N39Lw==</t>
  </si>
  <si>
    <t>M000275.WAV</t>
  </si>
  <si>
    <t>6aNEang01Pa7NG3s/ZxdsA==</t>
  </si>
  <si>
    <t>M000276.WAV</t>
  </si>
  <si>
    <t>0.910069</t>
  </si>
  <si>
    <t>nlM21WoooHTfCAh6S0IHQQ==</t>
  </si>
  <si>
    <t>M000277.WAV</t>
  </si>
  <si>
    <t>0.909185</t>
  </si>
  <si>
    <t>EoYG368g5GxXxhJ9beImCQ==</t>
  </si>
  <si>
    <t>M000278.WAV</t>
  </si>
  <si>
    <t>0.944</t>
  </si>
  <si>
    <t>0.810115</t>
  </si>
  <si>
    <t>V/V+9x99j2c/TeTiPyBBig==</t>
  </si>
  <si>
    <t>M000279.WAV</t>
  </si>
  <si>
    <t>0.852413</t>
  </si>
  <si>
    <t>yF8IUvhb0/kXwieQMBdYLg==</t>
  </si>
  <si>
    <t>M000280.WAV</t>
  </si>
  <si>
    <t>0.890024</t>
  </si>
  <si>
    <t>TJE3MOCYEP0B8ilrc+Xuxg==</t>
  </si>
  <si>
    <t>M000281.WAV</t>
  </si>
  <si>
    <t>0.870086</t>
  </si>
  <si>
    <t>TZpo2e0Z2KjIc08XV2GTww==</t>
  </si>
  <si>
    <t>M000282.WAV</t>
  </si>
  <si>
    <t>0.918274</t>
  </si>
  <si>
    <t>d0khRmO/QuSTqcRlpFaTpw==</t>
  </si>
  <si>
    <t>M000283.WAV</t>
  </si>
  <si>
    <t>0.771479</t>
  </si>
  <si>
    <t>+lE7uy4D76jn1uhhrwBKZw==</t>
  </si>
  <si>
    <t>M000284.WAV</t>
  </si>
  <si>
    <t>0.872488</t>
  </si>
  <si>
    <t>NUdsNenR8t6GIT2Trf/hvA==</t>
  </si>
  <si>
    <t>M000285.WAV</t>
  </si>
  <si>
    <t>0.864</t>
  </si>
  <si>
    <t>0.518102</t>
  </si>
  <si>
    <t>rsyl7uQE1jAsFv5OuUd58w==</t>
  </si>
  <si>
    <t>M000286.WAV</t>
  </si>
  <si>
    <t>0.866965</t>
  </si>
  <si>
    <t>0oHnKuXC58gpd1j4QSA0Ww==</t>
  </si>
  <si>
    <t>M000287.WAV</t>
  </si>
  <si>
    <t>0.768701</t>
  </si>
  <si>
    <t>Gwpj2IcDXw2jUzA11pMdtA==</t>
  </si>
  <si>
    <t>M000288.WAV</t>
  </si>
  <si>
    <t>0.887228</t>
  </si>
  <si>
    <t>/75AltnAThK8On9+w1W8Sg==</t>
  </si>
  <si>
    <t>M000289.WAV</t>
  </si>
  <si>
    <t>0.846</t>
  </si>
  <si>
    <t>0.659539</t>
  </si>
  <si>
    <t>AamaHB4zWfhT/Dz9la2HxQ==</t>
  </si>
  <si>
    <t>M000290.WAV</t>
  </si>
  <si>
    <t>0.899181</t>
  </si>
  <si>
    <t>ROlrWO80QvmJERcqtpnb0Q==</t>
  </si>
  <si>
    <t>M000291.WAV</t>
  </si>
  <si>
    <t>0.7699</t>
  </si>
  <si>
    <t>1wMYOGSxWs/VmnGzzTiptg==</t>
  </si>
  <si>
    <t>M000292.WAV</t>
  </si>
  <si>
    <t>0.886128</t>
  </si>
  <si>
    <t>EbcC70YksCnERZChe5yqxA==</t>
  </si>
  <si>
    <t>M000293.WAV</t>
  </si>
  <si>
    <t>0.857</t>
  </si>
  <si>
    <t>0.574005</t>
  </si>
  <si>
    <t>bdplP2CwVTuFN/YnB1HGYA==</t>
  </si>
  <si>
    <t>M000294.WAV</t>
  </si>
  <si>
    <t>0.824</t>
  </si>
  <si>
    <t>0.510005</t>
  </si>
  <si>
    <t>daCq0IN10caID7a7mJ5udg==</t>
  </si>
  <si>
    <t>M000295.WAV</t>
  </si>
  <si>
    <t>0.794291</t>
  </si>
  <si>
    <t>0EWPb+NylcrsO3O37/irqQ==</t>
  </si>
  <si>
    <t>M000296.WAV</t>
  </si>
  <si>
    <t>0.785948</t>
  </si>
  <si>
    <t>qJKH1YaLaIJZ9EaXYUQWOA==</t>
  </si>
  <si>
    <t>M000297.WAV</t>
  </si>
  <si>
    <t>0.849822</t>
  </si>
  <si>
    <t>sEKSnQbeTdPNHhWlEUpnjg==</t>
  </si>
  <si>
    <t>M000298.WAV</t>
  </si>
  <si>
    <t>0.831209</t>
  </si>
  <si>
    <t>p+yGMPJvWStTeif3YewS+w==</t>
  </si>
  <si>
    <t>M000299.WAV</t>
  </si>
  <si>
    <t>0.774</t>
  </si>
  <si>
    <t>0.511045</t>
  </si>
  <si>
    <t>CEwr7Kwyhjh/OiHpyt/VvA==</t>
  </si>
  <si>
    <t>M000300.WAV</t>
  </si>
  <si>
    <t>0.682</t>
  </si>
  <si>
    <t>0.387224</t>
  </si>
  <si>
    <t>4HI10nPSSuBi2CQFE6nY9g==</t>
  </si>
  <si>
    <t>M000301.WAV</t>
  </si>
  <si>
    <t>0.924563</t>
  </si>
  <si>
    <t>qXzOa9McotCJv1LOQ/5TxA==</t>
  </si>
  <si>
    <t>M000302.WAV</t>
  </si>
  <si>
    <t>0.766436</t>
  </si>
  <si>
    <t>GLfa6Y0uM17EPQ1M/vocuA==</t>
  </si>
  <si>
    <t>M000303.WAV</t>
  </si>
  <si>
    <t>0.543678</t>
  </si>
  <si>
    <t>VIWCjD2L5N09AhKSKxh7Bg==</t>
  </si>
  <si>
    <t>M000304.WAV</t>
  </si>
  <si>
    <t>0.797274</t>
  </si>
  <si>
    <t>JReBQXLZke6f1biq4Yk6kg==</t>
  </si>
  <si>
    <t>M000305.WAV</t>
  </si>
  <si>
    <t>0.539094</t>
  </si>
  <si>
    <t>KQGfhmnLy5KP7ABkHaA2Qw==</t>
  </si>
  <si>
    <t>M000306.WAV</t>
  </si>
  <si>
    <t>0.941</t>
  </si>
  <si>
    <t>0.755933</t>
  </si>
  <si>
    <t>jmJzkkIboDjQAyp8zP4w9Q==</t>
  </si>
  <si>
    <t>M000307.WAV</t>
  </si>
  <si>
    <t>0.929</t>
  </si>
  <si>
    <t>0.766287</t>
  </si>
  <si>
    <t>X5hPm0qzY0nIunxsjriYyg==</t>
  </si>
  <si>
    <t>M000308.WAV</t>
  </si>
  <si>
    <t>0.781018</t>
  </si>
  <si>
    <t>xy1PIO6YG8SFINO4EZEZGQ==</t>
  </si>
  <si>
    <t>M000309.WAV</t>
  </si>
  <si>
    <t>0.963</t>
  </si>
  <si>
    <t>0.803262</t>
  </si>
  <si>
    <t>UE3jBFNrMcP/nIUQS4gWCQ==</t>
  </si>
  <si>
    <t>M000310.WAV</t>
  </si>
  <si>
    <t>0.895296</t>
  </si>
  <si>
    <t>gNy8LnTsE0CcwIWL7J1aYg==</t>
  </si>
  <si>
    <t>M000311.WAV</t>
  </si>
  <si>
    <t>0.727134</t>
  </si>
  <si>
    <t>+wRWHETOP1JKzmDKMBXBJQ==</t>
  </si>
  <si>
    <t>M000312.WAV</t>
  </si>
  <si>
    <t>0.803886</t>
  </si>
  <si>
    <t>HdhpSh0KGuqkihWhjW1Guw==</t>
  </si>
  <si>
    <t>M000313.WAV</t>
  </si>
  <si>
    <t>0.860399</t>
  </si>
  <si>
    <t>Vc7ICKr7t2ZS8GEhi7isgQ==</t>
  </si>
  <si>
    <t>M000314.WAV</t>
  </si>
  <si>
    <t>0.898371</t>
  </si>
  <si>
    <t>oD6P2Q2kGGsL3YOuSa5SRQ==</t>
  </si>
  <si>
    <t>M000315.WAV</t>
  </si>
  <si>
    <t>pBOi7L6Jcls0Vtwg2Q+Hxw==</t>
  </si>
  <si>
    <t>M000316.WAV</t>
  </si>
  <si>
    <t>0.93194</t>
  </si>
  <si>
    <t>uRUr20+JX9FX3B1CEVAjWg==</t>
  </si>
  <si>
    <t>M000317.WAV</t>
  </si>
  <si>
    <t>0.428453</t>
  </si>
  <si>
    <t>rQzM/kIlxo7VWqupDwj7vQ==</t>
  </si>
  <si>
    <t>M000318.WAV</t>
  </si>
  <si>
    <t>WjkXM0z5W/4HMrxcO7PERg==</t>
  </si>
  <si>
    <t>M000319.WAV</t>
  </si>
  <si>
    <t>jZnQHmPDBVCy0ct/1zMoCg==</t>
  </si>
  <si>
    <t>M000320.WAV</t>
  </si>
  <si>
    <t>V2BwkQcy1CSqX6KJUFo2eQ==</t>
  </si>
  <si>
    <t>M000321.WAV</t>
  </si>
  <si>
    <t>+WQJaOsKnOgwnyIOxWNhzw==</t>
  </si>
  <si>
    <t>M000322.WAV</t>
  </si>
  <si>
    <t>5pyXDyhXJTSutPYt7k9UEA==</t>
  </si>
  <si>
    <t>M000323.WAV</t>
  </si>
  <si>
    <t>0.958</t>
  </si>
  <si>
    <t>0.825027</t>
  </si>
  <si>
    <t>8E+OC5eIHQfoyhPXzkLwKQ==</t>
  </si>
  <si>
    <t>M000324.WAV</t>
  </si>
  <si>
    <t>RPLXxEm8vmycLCYMMXM5UQ==</t>
  </si>
  <si>
    <t>M000325.WAV</t>
  </si>
  <si>
    <t>rSPdIvq65hNV9OAE32KIeA==</t>
  </si>
  <si>
    <t>M000326.WAV</t>
  </si>
  <si>
    <t>0.776267</t>
  </si>
  <si>
    <t>6uoxLINePLG/VYD+WNHwgA==</t>
  </si>
  <si>
    <t>M000327.WAV</t>
  </si>
  <si>
    <t>0.514821</t>
  </si>
  <si>
    <t>XJvw+vy1cCzVGw8cJMfqoQ==</t>
  </si>
  <si>
    <t>M000328.WAV</t>
  </si>
  <si>
    <t>0.902368</t>
  </si>
  <si>
    <t>tVkppA0PWHMW336qT6k0QQ==</t>
  </si>
  <si>
    <t>M000329.WAV</t>
  </si>
  <si>
    <t>0.740257</t>
  </si>
  <si>
    <t>PA4HoLjmt9/Iby4xgDnzxA==</t>
  </si>
  <si>
    <t>M000330.WAV</t>
  </si>
  <si>
    <t>0.261128</t>
  </si>
  <si>
    <t>Q4M3MoJ4GlxantEDRDqWNg==</t>
  </si>
  <si>
    <t>M000331.WAV</t>
  </si>
  <si>
    <t>0.456289</t>
  </si>
  <si>
    <t>nwRdbPtWgPZ4JCpBm8xM9A==</t>
  </si>
  <si>
    <t>M000332.WAV</t>
  </si>
  <si>
    <t>0.888278</t>
  </si>
  <si>
    <t>uKTnQc6zrtlDTmu4abD9ug==</t>
  </si>
  <si>
    <t>M000333.WAV</t>
  </si>
  <si>
    <t>0.864893</t>
  </si>
  <si>
    <t>oNO/Nvg/Rvb8o8OTL0qcOw==</t>
  </si>
  <si>
    <t>M000334.WAV</t>
  </si>
  <si>
    <t>0.920764</t>
  </si>
  <si>
    <t>mQ+XcaiudzL/Q5US+WBc8g==</t>
  </si>
  <si>
    <t>M000335.WAV</t>
  </si>
  <si>
    <t>0.628951</t>
  </si>
  <si>
    <t>zHEfgZgG9k/hX8rzWqoczQ==</t>
  </si>
  <si>
    <t>M000336.WAV</t>
  </si>
  <si>
    <t>0.566146</t>
  </si>
  <si>
    <t>nkR8YS7Iaay/vNDMpXwQ8g==</t>
  </si>
  <si>
    <t>M000337.WAV</t>
  </si>
  <si>
    <t>0.896553</t>
  </si>
  <si>
    <t>7MY3mrEZi2HohXwT1DBIPw==</t>
  </si>
  <si>
    <t>M000338.WAV</t>
  </si>
  <si>
    <t>xF8E59GAuzyERa76CERjFA==</t>
  </si>
  <si>
    <t>M000339.WAV</t>
  </si>
  <si>
    <t>Y441vkxeigL/JhZxyc8sWA==</t>
  </si>
  <si>
    <t>M000340.WAV</t>
  </si>
  <si>
    <t>KQGZr0gykrb5CmfPuO8Bnw==</t>
  </si>
  <si>
    <t>M000341.WAV</t>
  </si>
  <si>
    <t>aaA6uRedFWrpOnYK/NhXCA==</t>
  </si>
  <si>
    <t>M000342.WAV</t>
  </si>
  <si>
    <t>0.348885</t>
  </si>
  <si>
    <t>+E/Y1dOZ+HUSDlzQuAI2Dw==</t>
  </si>
  <si>
    <t>M000343.WAV</t>
  </si>
  <si>
    <t>vk1PqoS8hXgaFNDR8wPooA==</t>
  </si>
  <si>
    <t>M000344.WAV</t>
  </si>
  <si>
    <t>W7peiMR+leBJSspterNsoA==</t>
  </si>
  <si>
    <t>M000345.WAV</t>
  </si>
  <si>
    <t>9/udSp1Xry0Hw3sD+1yR4w==</t>
  </si>
  <si>
    <t>M000346.WAV</t>
  </si>
  <si>
    <t>mLcJZitYVWeai9iEdLBTag==</t>
  </si>
  <si>
    <t>M000347.WAV</t>
  </si>
  <si>
    <t>Ej0nyDaKskDtIqJqkBjDmg==</t>
  </si>
  <si>
    <t>M000348.WAV</t>
  </si>
  <si>
    <t>icNwp1OJc+Yxc3HbqJPPTA==</t>
  </si>
  <si>
    <t>M000349.WAV</t>
  </si>
  <si>
    <t>x2GafmOWy3D902jXdCyonA==</t>
  </si>
  <si>
    <t>M000350.WAV</t>
  </si>
  <si>
    <t>1RsU2X5NQBISjftCEm/Uxw==</t>
  </si>
  <si>
    <t>M000351.WAV</t>
  </si>
  <si>
    <t>F03kLlNPH4VwWAKyEvL4Vw==</t>
  </si>
  <si>
    <t>M000352.WAV</t>
  </si>
  <si>
    <t>OjsJU3oKylGPabdlNv6vhA==</t>
  </si>
  <si>
    <t>M000353.WAV</t>
  </si>
  <si>
    <t>zeUxQlNoBXZTZZdEOi0xnA==</t>
  </si>
  <si>
    <t>M000354.WAV</t>
  </si>
  <si>
    <t>0.765</t>
  </si>
  <si>
    <t>0.519196</t>
  </si>
  <si>
    <t>Pwv7X3vDXCZ0HWX43u21OQ==</t>
  </si>
  <si>
    <t>M000355.WAV</t>
  </si>
  <si>
    <t>77845EkAr3aFzrMCPqDtHA==</t>
  </si>
  <si>
    <t>M000356.WAV</t>
  </si>
  <si>
    <t>0.300368</t>
  </si>
  <si>
    <t>6emIlhhqAQURWcArKVYHBg==</t>
  </si>
  <si>
    <t>M000357.WAV</t>
  </si>
  <si>
    <t>0.634257</t>
  </si>
  <si>
    <t>/DbwFWHkdUgDVPvidVVZAw==</t>
  </si>
  <si>
    <t>M000358.WAV</t>
  </si>
  <si>
    <t>0.445151</t>
  </si>
  <si>
    <t>5q/dhRzW59StRMyenh5xmg==</t>
  </si>
  <si>
    <t>M000359.WAV</t>
  </si>
  <si>
    <t>Plecotus auritus SOC</t>
  </si>
  <si>
    <t>9mWi6PnGKsroq6jphEBHdA==</t>
  </si>
  <si>
    <t>M000360.WAV</t>
  </si>
  <si>
    <t>MYOMYO</t>
  </si>
  <si>
    <t>0.38</t>
  </si>
  <si>
    <t>0.195917</t>
  </si>
  <si>
    <t>0rzM9C4rT840quJT6Cv98g==</t>
  </si>
  <si>
    <t>M000361.WAV</t>
  </si>
  <si>
    <t>0.873381</t>
  </si>
  <si>
    <t>cXxVpJiQPsnkmc7B/fq1og==</t>
  </si>
  <si>
    <t>M000362.WAV</t>
  </si>
  <si>
    <t>0.550793</t>
  </si>
  <si>
    <t>NdwrdryZJKQCyNlsqsMrEA==</t>
  </si>
  <si>
    <t>M000363.WAV</t>
  </si>
  <si>
    <t>0.174128</t>
  </si>
  <si>
    <t>BuUZUzYN5ZQ+59vfPmK2rA==</t>
  </si>
  <si>
    <t>M000364.WAV</t>
  </si>
  <si>
    <t>0.773</t>
  </si>
  <si>
    <t>0.60083</t>
  </si>
  <si>
    <t>X5Mg20Vbr5nIs33YEWXgaw==</t>
  </si>
  <si>
    <t>M000365.WAV</t>
  </si>
  <si>
    <t>0.531188</t>
  </si>
  <si>
    <t>Strunbn1EMRZ9JvCkihMlw==</t>
  </si>
  <si>
    <t>M000366.WAV</t>
  </si>
  <si>
    <t>0.931</t>
  </si>
  <si>
    <t>0.769417</t>
  </si>
  <si>
    <t>jpBfCf5jjRhrJ3ueF+s+PA==</t>
  </si>
  <si>
    <t>M000367.WAV</t>
  </si>
  <si>
    <t>0.645571</t>
  </si>
  <si>
    <t>rFE5pXw4+J+SoPggWPQAqQ==</t>
  </si>
  <si>
    <t>M000368.WAV</t>
  </si>
  <si>
    <t>0.584739</t>
  </si>
  <si>
    <t>U39nAWGZYL1jDA8DV3TXQw==</t>
  </si>
  <si>
    <t>M000369.WAV</t>
  </si>
  <si>
    <t>0.892522</t>
  </si>
  <si>
    <t>Lo+KPfcgbUXw7Q02x516Ag==</t>
  </si>
  <si>
    <t>M000370.WAV</t>
  </si>
  <si>
    <t>0.962</t>
  </si>
  <si>
    <t>0.83107</t>
  </si>
  <si>
    <t>+Y7LmElDHV6qdnJnLuBAgw==</t>
  </si>
  <si>
    <t>M000371.WAV</t>
  </si>
  <si>
    <t>0.777589</t>
  </si>
  <si>
    <t>Bkn4Kpcxux9UNk3PSXabxQ==</t>
  </si>
  <si>
    <t>M000372.WAV</t>
  </si>
  <si>
    <t>0.229101</t>
  </si>
  <si>
    <t>fNU4UOD58o7sF9+ztPmQZg==</t>
  </si>
  <si>
    <t>M000373.WAV</t>
  </si>
  <si>
    <t>0.681387</t>
  </si>
  <si>
    <t>VurO5KbxvkgdqGxdBUYIkA==</t>
  </si>
  <si>
    <t>M000374.WAV</t>
  </si>
  <si>
    <t>0.618468</t>
  </si>
  <si>
    <t>/LFpZ24Zo8cixe5WTUJxRg==</t>
  </si>
  <si>
    <t>M000375.WAV</t>
  </si>
  <si>
    <t>0.751098</t>
  </si>
  <si>
    <t>h8bgyP3ismVeLMTI0TF1Eg==</t>
  </si>
  <si>
    <t>M000376.WAV</t>
  </si>
  <si>
    <t>0.479751</t>
  </si>
  <si>
    <t>Xe2wHf8pRpuh1y5gLg/o/g==</t>
  </si>
  <si>
    <t>M000377.WAV</t>
  </si>
  <si>
    <t>89VOlEvLzfsc0QVCKaXEQQ==</t>
  </si>
  <si>
    <t>M000378.WAV</t>
  </si>
  <si>
    <t>0.660401</t>
  </si>
  <si>
    <t>2/sQiJcpiBWnt0Lu4D0s9g==</t>
  </si>
  <si>
    <t>M000379.WAV</t>
  </si>
  <si>
    <t>0.854648</t>
  </si>
  <si>
    <t>X8aWYT+VtjNCAYvTykserg==</t>
  </si>
  <si>
    <t>M000380.WAV</t>
  </si>
  <si>
    <t>0.684</t>
  </si>
  <si>
    <t>0.410721</t>
  </si>
  <si>
    <t>HQ7nxa7gAbkiMn2YcbNn0A==</t>
  </si>
  <si>
    <t>M000381.WAV</t>
  </si>
  <si>
    <t>0.708041</t>
  </si>
  <si>
    <t>W6O0Hi375L12Mnyv5H2uEw==</t>
  </si>
  <si>
    <t>M000382.WAV</t>
  </si>
  <si>
    <t>0.882</t>
  </si>
  <si>
    <t>0.684578</t>
  </si>
  <si>
    <t>+mft/om20GBCUX9juyGRKA==</t>
  </si>
  <si>
    <t>M000383.WAV</t>
  </si>
  <si>
    <t>0.693885</t>
  </si>
  <si>
    <t>jibECaq/nLUZqyq1N8/8XA==</t>
  </si>
  <si>
    <t>M000384.WAV</t>
  </si>
  <si>
    <t>0.727</t>
  </si>
  <si>
    <t>0.459639</t>
  </si>
  <si>
    <t>Q/xsbDJ8mwJpYli+aF2taw==</t>
  </si>
  <si>
    <t>M000385.WAV</t>
  </si>
  <si>
    <t>0.895</t>
  </si>
  <si>
    <t>0.833388</t>
  </si>
  <si>
    <t>9Nk+zITpDMNElQAX35xOsQ==</t>
  </si>
  <si>
    <t>M000386.WAV</t>
  </si>
  <si>
    <t>0.535491</t>
  </si>
  <si>
    <t>0GUeUV0SOS9+KYoK4eff2A==</t>
  </si>
  <si>
    <t>M000387.WAV</t>
  </si>
  <si>
    <t>0.362133</t>
  </si>
  <si>
    <t>3n3yc+9qk7uhAxMQuqkwLA==</t>
  </si>
  <si>
    <t>M000388.WAV</t>
  </si>
  <si>
    <t>0.579</t>
  </si>
  <si>
    <t>0.272336</t>
  </si>
  <si>
    <t>Eptesicus nilssonii SOC, Eptesicus nilssonii FOD</t>
  </si>
  <si>
    <t>gdtSO5pDjj1wtViCFHFrsg==</t>
  </si>
  <si>
    <t>M000389.WAV</t>
  </si>
  <si>
    <t>0.757481</t>
  </si>
  <si>
    <t>Zq2a4Ae/Ow10v3maG6h2Nw==</t>
  </si>
  <si>
    <t>M000390.WAV</t>
  </si>
  <si>
    <t>0.608397</t>
  </si>
  <si>
    <t>fV3Bs5+wchUDDnreOygMgQ==</t>
  </si>
  <si>
    <t>M000391.WAV</t>
  </si>
  <si>
    <t>0.455802</t>
  </si>
  <si>
    <t>oIXOFXfC7jH1qs32hTED5Q==</t>
  </si>
  <si>
    <t>M000392.WAV</t>
  </si>
  <si>
    <t>0.350185</t>
  </si>
  <si>
    <t>oWc7U6MPpc3Gewwh+g/hXg==</t>
  </si>
  <si>
    <t>M000393.WAV</t>
  </si>
  <si>
    <t>0.835842</t>
  </si>
  <si>
    <t>fzMMGQAe997FB7mMjV6Glw==</t>
  </si>
  <si>
    <t>M000394.WAV</t>
  </si>
  <si>
    <t>0.478993</t>
  </si>
  <si>
    <t>hUpFOPsuNV+ZedusOzXxGg==</t>
  </si>
  <si>
    <t>M000395.WAV</t>
  </si>
  <si>
    <t>0.539486</t>
  </si>
  <si>
    <t>VFFjdKgDi1J55CFicmZOUA==</t>
  </si>
  <si>
    <t>M000396.WAV</t>
  </si>
  <si>
    <t>0.667262</t>
  </si>
  <si>
    <t>0F2fLNigmctNHELGaUyyYg==</t>
  </si>
  <si>
    <t>M000397.WAV</t>
  </si>
  <si>
    <t>0.614125</t>
  </si>
  <si>
    <t>5wQ9QGKc0hE0seZKnzMD5A==</t>
  </si>
  <si>
    <t>M000398.WAV</t>
  </si>
  <si>
    <t>0.577763</t>
  </si>
  <si>
    <t>xW3kCe4kx06tj7EgBs0OiA==</t>
  </si>
  <si>
    <t>M000399.WAV</t>
  </si>
  <si>
    <t>wet1YaIcHsyT2o533JfUyA==</t>
  </si>
  <si>
    <t>M000400.WAV</t>
  </si>
  <si>
    <t>0.864415</t>
  </si>
  <si>
    <t>pQSW9tPMOTbL+8AQkEgJyw==</t>
  </si>
  <si>
    <t>M000401.WAV</t>
  </si>
  <si>
    <t>0.796962</t>
  </si>
  <si>
    <t>OShwwkhFnHNr5XyZpZ566Q==</t>
  </si>
  <si>
    <t>M000402.WAV</t>
  </si>
  <si>
    <t>0.429</t>
  </si>
  <si>
    <t>0.221735</t>
  </si>
  <si>
    <t>cZ3/zEVUr7uBOTdtn8jSXA==</t>
  </si>
  <si>
    <t>M000403.WAV</t>
  </si>
  <si>
    <t>0.228267</t>
  </si>
  <si>
    <t>DsKMyjdeVEVsOiLlSkSrOg==</t>
  </si>
  <si>
    <t>M000404.WAV</t>
  </si>
  <si>
    <t>EmQQa1BDsjX1U+21zojkFQ==</t>
  </si>
  <si>
    <t>M000405.WAV</t>
  </si>
  <si>
    <t>0.769</t>
  </si>
  <si>
    <t>0.514639</t>
  </si>
  <si>
    <t>aj+LrosqCIbH8fmgDthwxg==</t>
  </si>
  <si>
    <t>M000406.WAV</t>
  </si>
  <si>
    <t>0.383509</t>
  </si>
  <si>
    <t>ziXzIvkhJJBh6J+nY7G3gA==</t>
  </si>
  <si>
    <t>M000407.WAV</t>
  </si>
  <si>
    <t>0.463274</t>
  </si>
  <si>
    <t>cwVM6R0eGkltuu2eHfcNNg==</t>
  </si>
  <si>
    <t>M000408.WAV</t>
  </si>
  <si>
    <t>0.32311</t>
  </si>
  <si>
    <t>e6Rvyvr9kQB5W+42juX7ng==</t>
  </si>
  <si>
    <t>M000409.WAV</t>
  </si>
  <si>
    <t>aFvweb1QIEELi/AKNKAG+g==</t>
  </si>
  <si>
    <t>M000410.WAV</t>
  </si>
  <si>
    <t>0.345567</t>
  </si>
  <si>
    <t>Mmw53xiTIFnXfqCZlmezug==</t>
  </si>
  <si>
    <t>M000411.WAV</t>
  </si>
  <si>
    <t>0.896128</t>
  </si>
  <si>
    <t>2iHTdrESIju9Ial4dUxxlg==</t>
  </si>
  <si>
    <t>M000412.WAV</t>
  </si>
  <si>
    <t>0.622222</t>
  </si>
  <si>
    <t>osWGJyZ3Xe3oHvgRa3Gd5w==</t>
  </si>
  <si>
    <t>M000413.WAV</t>
  </si>
  <si>
    <t>0.957</t>
  </si>
  <si>
    <t>0.771339</t>
  </si>
  <si>
    <t>m8lWEzNkqYEDQgskWRLYSw==</t>
  </si>
  <si>
    <t>M000414.WAV</t>
  </si>
  <si>
    <t>0.904391</t>
  </si>
  <si>
    <t>hepIrqX5YE01JGXgDFvRQw==</t>
  </si>
  <si>
    <t>M000415.WAV</t>
  </si>
  <si>
    <t>OvlRRpq7Y1dXvFTHlBUSNQ==</t>
  </si>
  <si>
    <t>M000416.WAV</t>
  </si>
  <si>
    <t>0.909981</t>
  </si>
  <si>
    <t>cIDrxUMTSGV049g5Hg1ObA==</t>
  </si>
  <si>
    <t>M000417.WAV</t>
  </si>
  <si>
    <t>0.812</t>
  </si>
  <si>
    <t>0.656914</t>
  </si>
  <si>
    <t>Dt8i8LH3oiudEP5pPSalnQ==</t>
  </si>
  <si>
    <t>M000418.WAV</t>
  </si>
  <si>
    <t>0.653143</t>
  </si>
  <si>
    <t>xi+bHoP+rLln5gHXlpYtCg==</t>
  </si>
  <si>
    <t>M000419.WAV</t>
  </si>
  <si>
    <t>0.303719</t>
  </si>
  <si>
    <t>wEbkwQLjAVOAJS/JEhpAog==</t>
  </si>
  <si>
    <t>M000420.WAV</t>
  </si>
  <si>
    <t>rfCpIgiWQALEwjmG6tWUiA==</t>
  </si>
  <si>
    <t>M000421.WAV</t>
  </si>
  <si>
    <t>f9sL53p+xTTAL2jxPxl7JA==</t>
  </si>
  <si>
    <t>M000422.WAV</t>
  </si>
  <si>
    <t>0.792</t>
  </si>
  <si>
    <t>0.500076</t>
  </si>
  <si>
    <t>zR9HMo0p8XponExsrV5Zhg==</t>
  </si>
  <si>
    <t>M000423.WAV</t>
  </si>
  <si>
    <t>0.379275</t>
  </si>
  <si>
    <t>/BCbPrDVZ/FwU+gU6DNEyQ==</t>
  </si>
  <si>
    <t>M000424.WAV</t>
  </si>
  <si>
    <t>0.420445</t>
  </si>
  <si>
    <t>KFbNJ4wkDvy7odTyrRLl0g==</t>
  </si>
  <si>
    <t>M000425.WAV</t>
  </si>
  <si>
    <t>0.547859</t>
  </si>
  <si>
    <t>w5YQIRKTF/cYX/aoPJ0wlA==</t>
  </si>
  <si>
    <t>M000426.WAV</t>
  </si>
  <si>
    <t>0.571</t>
  </si>
  <si>
    <t>0.19887</t>
  </si>
  <si>
    <t>vG7hDhdRd4k8Qkxifzx/HA==</t>
  </si>
  <si>
    <t>M000427.WAV</t>
  </si>
  <si>
    <t>0.278069</t>
  </si>
  <si>
    <t>gEgw/FcFHr9NCt5mqEhTrw==</t>
  </si>
  <si>
    <t>M000428.WAV</t>
  </si>
  <si>
    <t>0.430287</t>
  </si>
  <si>
    <t>GQtgMwP5meGg+ICviYtQhA==</t>
  </si>
  <si>
    <t>M000429.WAV</t>
  </si>
  <si>
    <t>0.380078</t>
  </si>
  <si>
    <t>AOkCjfnvvn7Hg9GvSOD7HQ==</t>
  </si>
  <si>
    <t>M000430.WAV</t>
  </si>
  <si>
    <t>vHftZlOeFR8DTEW3G7CcCQ==</t>
  </si>
  <si>
    <t>M000431.WAV</t>
  </si>
  <si>
    <t>0.13739</t>
  </si>
  <si>
    <t>tYRBPxQ77i0UY5zjXjhffw==</t>
  </si>
  <si>
    <t>M000432.WAV</t>
  </si>
  <si>
    <t>0.594972</t>
  </si>
  <si>
    <t>lKXm4kiJnjSYe0wSOJPruA==</t>
  </si>
  <si>
    <t>M000433.WAV</t>
  </si>
  <si>
    <t>0.505552</t>
  </si>
  <si>
    <t>z0cTth4+A5bY357F3dpMYA==</t>
  </si>
  <si>
    <t>M000434.WAV</t>
  </si>
  <si>
    <t>0.556</t>
  </si>
  <si>
    <t>0.174431</t>
  </si>
  <si>
    <t>6scdnt3yxzzjRgIbUUMx2Q==</t>
  </si>
  <si>
    <t>M000435.WAV</t>
  </si>
  <si>
    <t>0.447397</t>
  </si>
  <si>
    <t>jSrK6qsyt+k6pmJfdUxjyA==</t>
  </si>
  <si>
    <t>M000436.WAV</t>
  </si>
  <si>
    <t>0.871474</t>
  </si>
  <si>
    <t>agU5+xgCFuD/UiMQ27QpiA==</t>
  </si>
  <si>
    <t>M000437.WAV</t>
  </si>
  <si>
    <t>0.605081</t>
  </si>
  <si>
    <t>SBNce9krEjm2NnqikprbbQ==</t>
  </si>
  <si>
    <t>M000438.WAV</t>
  </si>
  <si>
    <t>0.611</t>
  </si>
  <si>
    <t>0.322378</t>
  </si>
  <si>
    <t>Eptesicus nilssonii FOD, Eptesicus nilssonii SOC</t>
  </si>
  <si>
    <t>TJSwBwldTm3MIz3bU2Bv1A==</t>
  </si>
  <si>
    <t>M000439.WAV</t>
  </si>
  <si>
    <t>0.935509</t>
  </si>
  <si>
    <t>47WG9rKTefS2dzGYF/Yy3Q==</t>
  </si>
  <si>
    <t>M000440.WAV</t>
  </si>
  <si>
    <t>0.289694</t>
  </si>
  <si>
    <t>BpUYcSJdao9QyRLUp/WeZw==</t>
  </si>
  <si>
    <t>M000441.WAV</t>
  </si>
  <si>
    <t>EDDkd7VBT10xHSK98X3Nvw==</t>
  </si>
  <si>
    <t>M000442.WAV</t>
  </si>
  <si>
    <t>pWyyOoAGrB+aN5o4L4mc2w==</t>
  </si>
  <si>
    <t>M000443.WAV</t>
  </si>
  <si>
    <t>0.599188</t>
  </si>
  <si>
    <t>POc19xzCJw7oaDo1Sx4FMQ==</t>
  </si>
  <si>
    <t>M000444.WAV</t>
  </si>
  <si>
    <t>0.789</t>
  </si>
  <si>
    <t>0.530913</t>
  </si>
  <si>
    <t>g6uYoadpybAQcrBKD6zLpw==</t>
  </si>
  <si>
    <t>M000445.WAV</t>
  </si>
  <si>
    <t>0.722</t>
  </si>
  <si>
    <t>0.476067</t>
  </si>
  <si>
    <t>UXjbVRopgbFTvnm+OS7VKQ==</t>
  </si>
  <si>
    <t>M000446.WAV</t>
  </si>
  <si>
    <t>sXacHaVd1KvhI0HnTblt0w==</t>
  </si>
  <si>
    <t>M000447.WAV</t>
  </si>
  <si>
    <t>0.70707</t>
  </si>
  <si>
    <t>zM6xxbhacP0FtbPZLG3W3w==</t>
  </si>
  <si>
    <t>M000448.WAV</t>
  </si>
  <si>
    <t>0.706</t>
  </si>
  <si>
    <t>0.506198</t>
  </si>
  <si>
    <t>3hW1gIT0FwzJIz8iZslkNg==</t>
  </si>
  <si>
    <t>M000449.WAV</t>
  </si>
  <si>
    <t>Lbx3Dxud9mPSh+EWS2KP3g==</t>
  </si>
  <si>
    <t>M000450.WAV</t>
  </si>
  <si>
    <t>0.68</t>
  </si>
  <si>
    <t>0.359868</t>
  </si>
  <si>
    <t>Xhvikl0Z9VqdSbbaEcbJrg==</t>
  </si>
  <si>
    <t>M000451.WAV</t>
  </si>
  <si>
    <t>0.591999</t>
  </si>
  <si>
    <t>hBBoCSZetRqBo+c+SIzqBQ==</t>
  </si>
  <si>
    <t>M000452.WAV</t>
  </si>
  <si>
    <t>0.299265</t>
  </si>
  <si>
    <t>OzYuuZi/jJse5KMiruDs6Q==</t>
  </si>
  <si>
    <t>M000453.WAV</t>
  </si>
  <si>
    <t>9nHOpCbjbYTOQyL4Vg1nVA==</t>
  </si>
  <si>
    <t>M000454.WAV</t>
  </si>
  <si>
    <t>0.387366</t>
  </si>
  <si>
    <t>Pg+v0Oj+qDnnsUR4eeXLKg==</t>
  </si>
  <si>
    <t>M000455.WAV</t>
  </si>
  <si>
    <t>0.250126</t>
  </si>
  <si>
    <t>jyFWQxDRfG9fq1FS193R7w==</t>
  </si>
  <si>
    <t>M000456.WAV</t>
  </si>
  <si>
    <t>LVFSH9zXrAt3RAusVPxm/w==</t>
  </si>
  <si>
    <t>M000457.WAV</t>
  </si>
  <si>
    <t>0.502174</t>
  </si>
  <si>
    <t>gGLGDFQm5hd4LxjDibWIcQ==</t>
  </si>
  <si>
    <t>M000458.WAV</t>
  </si>
  <si>
    <t>0.287989</t>
  </si>
  <si>
    <t>A/IwS+9mIW0URpM0xv/Sbg==</t>
  </si>
  <si>
    <t>M000459.WAV</t>
  </si>
  <si>
    <t>0.235044</t>
  </si>
  <si>
    <t>jrX/g+NgFOHY0EauWsviAQ==</t>
  </si>
  <si>
    <t>M000460.WAV</t>
  </si>
  <si>
    <t>BkmKoWnqB0qhHWyElpXe5A==</t>
  </si>
  <si>
    <t>M000461.WAV</t>
  </si>
  <si>
    <t>0.277179</t>
  </si>
  <si>
    <t>iBPwjl2TKCNjixDH9m0uoA==</t>
  </si>
  <si>
    <t>M000462.WAV</t>
  </si>
  <si>
    <t>0.5513</t>
  </si>
  <si>
    <t>OeDFudvO36J8nrEOaRmmOg==</t>
  </si>
  <si>
    <t>M000463.WAV</t>
  </si>
  <si>
    <t>0.290923</t>
  </si>
  <si>
    <t>8iVFlpoeR5rzDyx+kUkBZA==</t>
  </si>
  <si>
    <t>M000464.WAV</t>
  </si>
  <si>
    <t>0.820939</t>
  </si>
  <si>
    <t>Z/dqNbCE3GvsOs9BtL/y3Q==</t>
  </si>
  <si>
    <t>M000465.WAV</t>
  </si>
  <si>
    <t>0.87</t>
  </si>
  <si>
    <t>0.552739</t>
  </si>
  <si>
    <t>NuDz7bAoz4MNie/ov2mMFw==</t>
  </si>
  <si>
    <t>M000466.WAV</t>
  </si>
  <si>
    <t>0.787897</t>
  </si>
  <si>
    <t>uEHXxr/t8VLpiNdKw/BM/A==</t>
  </si>
  <si>
    <t>M000467.WAV</t>
  </si>
  <si>
    <t>0.260793</t>
  </si>
  <si>
    <t>wk6p8GdYCf7aa2jf+A9mkA==</t>
  </si>
  <si>
    <t>M000468.WAV</t>
  </si>
  <si>
    <t>0.904916</t>
  </si>
  <si>
    <t>nsGCP4eagu+m4cE0VYqo3w==</t>
  </si>
  <si>
    <t>M000469.WAV</t>
  </si>
  <si>
    <t>0.303606</t>
  </si>
  <si>
    <t>/f1rj0sKfYABEoxLEXAL9Q==</t>
  </si>
  <si>
    <t>M000470.WAV</t>
  </si>
  <si>
    <t>0.909983</t>
  </si>
  <si>
    <t>icMb/S8+FHOiyViFk95rsg==</t>
  </si>
  <si>
    <t>M000471.WAV</t>
  </si>
  <si>
    <t>0.499581</t>
  </si>
  <si>
    <t>BjSrjkj8HS794RWsvTwEBA==</t>
  </si>
  <si>
    <t>M000472.WAV</t>
  </si>
  <si>
    <t>0.805201</t>
  </si>
  <si>
    <t>AOMw4xA+YoejW5YuA7ZkvQ==</t>
  </si>
  <si>
    <t>M000473.WAV</t>
  </si>
  <si>
    <t>0.952592</t>
  </si>
  <si>
    <t>4FUYlxJTT7oaQWlSoAvfTQ==</t>
  </si>
  <si>
    <t>M000474.WAV</t>
  </si>
  <si>
    <t>0.933</t>
  </si>
  <si>
    <t>0.791504</t>
  </si>
  <si>
    <t>O7PdGYqk0WBGUfr1nRjjUw==</t>
  </si>
  <si>
    <t>M000475.WAV</t>
  </si>
  <si>
    <t>MrTbykpxcObA06GFTW3hQQ==</t>
  </si>
  <si>
    <t>M000476.WAV</t>
  </si>
  <si>
    <t>0.733997</t>
  </si>
  <si>
    <t>TZOvSCeZ8p0CHt1mWq+FKw==</t>
  </si>
  <si>
    <t>M000477.WAV</t>
  </si>
  <si>
    <t>0.569658</t>
  </si>
  <si>
    <t>wOSfmF5hM3adTCDWVlKABQ==</t>
  </si>
  <si>
    <t>M000478.WAV</t>
  </si>
  <si>
    <t>0.856563</t>
  </si>
  <si>
    <t>EgLNUEAjxDwjg0wSZthDEQ==</t>
  </si>
  <si>
    <t>M000479.WAV</t>
  </si>
  <si>
    <t>0.907258</t>
  </si>
  <si>
    <t>Ku125mzwYe4m8Oozlp33vQ==</t>
  </si>
  <si>
    <t>M000480.WAV</t>
  </si>
  <si>
    <t>0.896159</t>
  </si>
  <si>
    <t>mNBSFBEYK3mHffVDle5r1Q==</t>
  </si>
  <si>
    <t>M000481.WAV</t>
  </si>
  <si>
    <t>0.883837</t>
  </si>
  <si>
    <t>LwXYHSxoDNnJ8Qa2GbGbwA==</t>
  </si>
  <si>
    <t>M000482.WAV</t>
  </si>
  <si>
    <t>0.783</t>
  </si>
  <si>
    <t>0.73649</t>
  </si>
  <si>
    <t>vL0bAipPKUgKkL9dZwxRMw==</t>
  </si>
  <si>
    <t>M000483.WAV</t>
  </si>
  <si>
    <t>0.903702</t>
  </si>
  <si>
    <t>E5D+QwA4eq8zJRzB4syHAg==</t>
  </si>
  <si>
    <t>M000484.WAV</t>
  </si>
  <si>
    <t>2kXuGPt95BvMfXtV7AzAyA==</t>
  </si>
  <si>
    <t>M000485.WAV</t>
  </si>
  <si>
    <t>U7Y2m7+CBMeAB7jVvapLEQ==</t>
  </si>
  <si>
    <t>M000486.WAV</t>
  </si>
  <si>
    <t>S/Lo3wwBZhXneJbwuAbD/A==</t>
  </si>
  <si>
    <t>M000487.WAV</t>
  </si>
  <si>
    <t>fNQ+T8TnhHnPae/V7Z4ONw==</t>
  </si>
  <si>
    <t>M000488.WAV</t>
  </si>
  <si>
    <t>nmvIH4tah/7Sj+Fsa9oCyw==</t>
  </si>
  <si>
    <t>M000489.WAV</t>
  </si>
  <si>
    <t>fI2uhIhBXaTU84ihDGmZhA==</t>
  </si>
  <si>
    <t>M000490.WAV</t>
  </si>
  <si>
    <t>2MihXlwV14w0+2/iJ7Hgdw==</t>
  </si>
  <si>
    <t>M000491.WAV</t>
  </si>
  <si>
    <t>ykzXolDiUqCuyUT1KyKDBQ==</t>
  </si>
  <si>
    <t>M000492.WAV</t>
  </si>
  <si>
    <t>4exHb2FR9sb/laAT2zo9BA==</t>
  </si>
  <si>
    <t>M000493.WAV</t>
  </si>
  <si>
    <t>HOaONhihcOPhIsU72+uy3Q==</t>
  </si>
  <si>
    <t>M000494.WAV</t>
  </si>
  <si>
    <t>xYX5DCQxKZ+ptA+wIMGLhQ==</t>
  </si>
  <si>
    <t>M000495.WAV</t>
  </si>
  <si>
    <t>z5VGqlpFxCtpnPbG54KI2Q==</t>
  </si>
  <si>
    <t>M000496.WAV</t>
  </si>
  <si>
    <t>LxWFZK9Eh06nfjnRU2ZcFQ==</t>
  </si>
  <si>
    <t>M000497.WAV</t>
  </si>
  <si>
    <t>1bIXEVrNebo8dkzHucvi0g==</t>
  </si>
  <si>
    <t>M000498.WAV</t>
  </si>
  <si>
    <t>YXXhCeItWrU7iBPQdjo+KA==</t>
  </si>
  <si>
    <t>M000499.WAV</t>
  </si>
  <si>
    <t>NhHSeSxQEaZwlu22UdHWpg==</t>
  </si>
  <si>
    <t>M000500.WAV</t>
  </si>
  <si>
    <t>JtrjYYtefo921m1Eg1qMbQ==</t>
  </si>
  <si>
    <t>M000501.WAV</t>
  </si>
  <si>
    <t>+HAvciBdWToEudo/PZnJHg==</t>
  </si>
  <si>
    <t>M000502.WAV</t>
  </si>
  <si>
    <t>+Wv65WqBTxP0imAtKgxd9Q==</t>
  </si>
  <si>
    <t>M000503.WAV</t>
  </si>
  <si>
    <t>X1hkjScPFHI3y5abu8x1Lw==</t>
  </si>
  <si>
    <t>M000504.WAV</t>
  </si>
  <si>
    <t>YWHyl9iNC6R9vvR2jpAE7A==</t>
  </si>
  <si>
    <t>M000505.WAV</t>
  </si>
  <si>
    <t>XzGsRhaA+dSiIAIe9PnZdQ==</t>
  </si>
  <si>
    <t>M000506.WAV</t>
  </si>
  <si>
    <t>hOCC8VgVwHFI3mtVgs7YhQ==</t>
  </si>
  <si>
    <t>M000507.WAV</t>
  </si>
  <si>
    <t>uns7v88VT9t9DL2nvyLWyw==</t>
  </si>
  <si>
    <t>M000508.WAV</t>
  </si>
  <si>
    <t>W/b8ZbEsQr1ufNlUn6uWSw==</t>
  </si>
  <si>
    <t>M000509.WAV</t>
  </si>
  <si>
    <t>QyDD2nuST424jNgjIAnZiA==</t>
  </si>
  <si>
    <t>M000510.WAV</t>
  </si>
  <si>
    <t>jryCq/axlzuk17vswAxfsQ==</t>
  </si>
  <si>
    <t>M000511.WAV</t>
  </si>
  <si>
    <t>JUllI11DoPp6SR7OKco4kA==</t>
  </si>
  <si>
    <t>M000512.WAV</t>
  </si>
  <si>
    <t>PeVlrKZi6rK6Be5c+d+SxA==</t>
  </si>
  <si>
    <t>M000513.WAV</t>
  </si>
  <si>
    <t>oIHZ0yk2e1ojoyGjUnMKbQ==</t>
  </si>
  <si>
    <t>M000514.WAV</t>
  </si>
  <si>
    <t>CFvNwQCGWjq+1KMR+56Ihg==</t>
  </si>
  <si>
    <t>M000515.WAV</t>
  </si>
  <si>
    <t>9agag4kj+LUd4/7kfX75rQ==</t>
  </si>
  <si>
    <t>M000516.WAV</t>
  </si>
  <si>
    <t>DuKDZxj3lb4mbuYmvJpo0Q==</t>
  </si>
  <si>
    <t>M000517.WAV</t>
  </si>
  <si>
    <t>e0tAfxG3YPNRpA49enyi/A==</t>
  </si>
  <si>
    <t>M000518.WAV</t>
  </si>
  <si>
    <t>bZEka0qlvbkCIydo8ZmScQ==</t>
  </si>
  <si>
    <t>M000519.WAV</t>
  </si>
  <si>
    <t>U54oFFwwiITWfoyzA2/c3g==</t>
  </si>
  <si>
    <t>M000520.WAV</t>
  </si>
  <si>
    <t>lwxqjN9ofcJQ2c4qLVC2Gg==</t>
  </si>
  <si>
    <t>M000521.WAV</t>
  </si>
  <si>
    <t>kKFrzMmPX5dqhTUMr3n4ew==</t>
  </si>
  <si>
    <t>M000522.WAV</t>
  </si>
  <si>
    <t>wQNN721a+9wFeiikAQ+h+A==</t>
  </si>
  <si>
    <t>M000523.WAV</t>
  </si>
  <si>
    <t>bg8K9J9CN4+6Pxigsi55hg==</t>
  </si>
  <si>
    <t>M000524.WAV</t>
  </si>
  <si>
    <t>FpHds9tE2cQSCdGCOq3GGQ==</t>
  </si>
  <si>
    <t>M000525.WAV</t>
  </si>
  <si>
    <t>0.303424</t>
  </si>
  <si>
    <t>IAE16YVLTXpPfaqMjQqZ9g==</t>
  </si>
  <si>
    <t>M000526.WAV</t>
  </si>
  <si>
    <t>0.871</t>
  </si>
  <si>
    <t>0.615451</t>
  </si>
  <si>
    <t>yvVNM1TNYf06CFADATRgDg==</t>
  </si>
  <si>
    <t>M000527.WAV</t>
  </si>
  <si>
    <t>0.508416</t>
  </si>
  <si>
    <t>dPuA/yVgPgsgWJO32/IhsQ==</t>
  </si>
  <si>
    <t>M000528.WAV</t>
  </si>
  <si>
    <t>0.615</t>
  </si>
  <si>
    <t>0.298893</t>
  </si>
  <si>
    <t>uwQv5Mx2UVvsfaSHoYJ9GA==</t>
  </si>
  <si>
    <t>M000529.WAV</t>
  </si>
  <si>
    <t>0.831639</t>
  </si>
  <si>
    <t>fIeEEGg5MJtlIDUP6Yumhw==</t>
  </si>
  <si>
    <t>M000530.WAV</t>
  </si>
  <si>
    <t>/KdxW0FvuFrwW0XxkIU7CA==</t>
  </si>
  <si>
    <t>M000531.WAV</t>
  </si>
  <si>
    <t>ge7bEJKyw9DXNpSz5ZRJBQ==</t>
  </si>
  <si>
    <t>M000532.WAV</t>
  </si>
  <si>
    <t>1x3dKtRXmzGPHkej0xAn3w==</t>
  </si>
  <si>
    <t>M000533.WAV</t>
  </si>
  <si>
    <t>5gIdibTMp2aVZsTV4xUlSg==</t>
  </si>
  <si>
    <t>M000534.WAV</t>
  </si>
  <si>
    <t>0.719428</t>
  </si>
  <si>
    <t>RlZlT0K6ybylMywS5x7y9g==</t>
  </si>
  <si>
    <t>M000535.WAV</t>
  </si>
  <si>
    <t>c4Q40HYeJqPWPgnjKeg2UA==</t>
  </si>
  <si>
    <t>M000536.WAV</t>
  </si>
  <si>
    <t>wkeRK5HmY68WrosNwKJqaw==</t>
  </si>
  <si>
    <t>M000537.WAV</t>
  </si>
  <si>
    <t>s8GBRKtp9WF+JJ1G4akc1g==</t>
  </si>
  <si>
    <t>M000538.WAV</t>
  </si>
  <si>
    <t>0.728591</t>
  </si>
  <si>
    <t>gSLtGRUPcgz27vOD2q7aDQ==</t>
  </si>
  <si>
    <t>M000539.WAV</t>
  </si>
  <si>
    <t>0.331321</t>
  </si>
  <si>
    <t>H/6GeZXuDHHPPf66JjCr4g==</t>
  </si>
  <si>
    <t>M000540.WAV</t>
  </si>
  <si>
    <t>0.7</t>
  </si>
  <si>
    <t>0.334082</t>
  </si>
  <si>
    <t>rHoT0URI5Ny8JtkSdKmSsw==</t>
  </si>
  <si>
    <t>M000541.WAV</t>
  </si>
  <si>
    <t>0.238587</t>
  </si>
  <si>
    <t>GgdL/BmTlNTPvYyQksxFfg==</t>
  </si>
  <si>
    <t>M000542.WAV</t>
  </si>
  <si>
    <t>0.21716</t>
  </si>
  <si>
    <t>Q14jISaNd5gtLyioptcMgg==</t>
  </si>
  <si>
    <t>M000543.WAV</t>
  </si>
  <si>
    <t>0.270111</t>
  </si>
  <si>
    <t>h12TvMKOsx5eu5dLbch4vA==</t>
  </si>
  <si>
    <t>M000544.WAV</t>
  </si>
  <si>
    <t>JDD40hfSlGKduesr8I6+eQ==</t>
  </si>
  <si>
    <t>M000545.WAV</t>
  </si>
  <si>
    <t>0.762</t>
  </si>
  <si>
    <t>0.429001</t>
  </si>
  <si>
    <t>MsefD0ultN6vij6bUni09w==</t>
  </si>
  <si>
    <t>M000546.WAV</t>
  </si>
  <si>
    <t>0.230063</t>
  </si>
  <si>
    <t>ilLe9NU02n+/1eVbeQf+iQ==</t>
  </si>
  <si>
    <t>M000547.WAV</t>
  </si>
  <si>
    <t>iWe9BnzdZ4UMFCrQb1ADuA==</t>
  </si>
  <si>
    <t>M000548.WAV</t>
  </si>
  <si>
    <t>0.643</t>
  </si>
  <si>
    <t>0.447369</t>
  </si>
  <si>
    <t>DTLTEfGDbjQhZK91YLbz1g==</t>
  </si>
  <si>
    <t>M000549.WAV</t>
  </si>
  <si>
    <t>0.329375</t>
  </si>
  <si>
    <t>/3V6ZYt31TPg9RjNv+CU6Q==</t>
  </si>
  <si>
    <t>M000550.WAV</t>
  </si>
  <si>
    <t>0.299592</t>
  </si>
  <si>
    <t>Jz6VaP5gR3lzkdSmR3WsjQ==</t>
  </si>
  <si>
    <t>M000551.WAV</t>
  </si>
  <si>
    <t>0.467</t>
  </si>
  <si>
    <t>0.233782</t>
  </si>
  <si>
    <t>eQfeUSLG8V4KnYEcQJgmvA==</t>
  </si>
  <si>
    <t>M000552.WAV</t>
  </si>
  <si>
    <t>0.252447</t>
  </si>
  <si>
    <t>rkGu6mloV+4FFAFqCUgoDw==</t>
  </si>
  <si>
    <t>M000553.WAV</t>
  </si>
  <si>
    <t>0.395754</t>
  </si>
  <si>
    <t>vLFID8hOh/sOQO+T+77WOQ==</t>
  </si>
  <si>
    <t>M000554.WAV</t>
  </si>
  <si>
    <t>0.231412</t>
  </si>
  <si>
    <t>0X1p/7wEPZUQ6o1mJLSf1Q==</t>
  </si>
  <si>
    <t>M000555.WAV</t>
  </si>
  <si>
    <t>0.66082</t>
  </si>
  <si>
    <t>hgzFFuiLI3yQAYWuwmq2gw==</t>
  </si>
  <si>
    <t>M000556.WAV</t>
  </si>
  <si>
    <t>0.385556</t>
  </si>
  <si>
    <t>31C3UunpXkOG90af8YmY5w==</t>
  </si>
  <si>
    <t>M000557.WAV</t>
  </si>
  <si>
    <t>0.372654</t>
  </si>
  <si>
    <t>G752LNZLjFTuCsYFGYXs3Q==</t>
  </si>
  <si>
    <t>M000558.WAV</t>
  </si>
  <si>
    <t>A9f0XZNCKqTEunnh4fRpNg==</t>
  </si>
  <si>
    <t>M000559.WAV</t>
  </si>
  <si>
    <t>WYeSdBJPkkxk07uk6xiRqw==</t>
  </si>
  <si>
    <t>M000560.WAV</t>
  </si>
  <si>
    <t>bhmDMHl3ABL5aK2wMbtnWg==</t>
  </si>
  <si>
    <t>M000561.WAV</t>
  </si>
  <si>
    <t>g9e/C4V+PtxKgCnV31COjA==</t>
  </si>
  <si>
    <t>M000562.WAV</t>
  </si>
  <si>
    <t>0EoAAT61+kQ2cbaFA/JNLQ==</t>
  </si>
  <si>
    <t>M000563.WAV</t>
  </si>
  <si>
    <t>3aC0MZ/lNkZ03wvw95+1BA==</t>
  </si>
  <si>
    <t>M000564.WAV</t>
  </si>
  <si>
    <t>0.388221</t>
  </si>
  <si>
    <t>WeIgeXktgvwPqvN5oTwGoQ==</t>
  </si>
  <si>
    <t>M000565.WAV</t>
  </si>
  <si>
    <t>0.29163</t>
  </si>
  <si>
    <t>D/g4qF3pQ9OKZ6L8lqP0bA==</t>
  </si>
  <si>
    <t>M000566.WAV</t>
  </si>
  <si>
    <t>0.470651</t>
  </si>
  <si>
    <t>y7gy6q+8SsL4daDZUjmv4Q==</t>
  </si>
  <si>
    <t>M000567.WAV</t>
  </si>
  <si>
    <t>0.344044</t>
  </si>
  <si>
    <t>t1pBhKS9eS81Yf0ovvQ7lg==</t>
  </si>
  <si>
    <t>M000568.WAV</t>
  </si>
  <si>
    <t>0.19216</t>
  </si>
  <si>
    <t>ehgv4U1l8ql5OOLvSk6Y6w==</t>
  </si>
  <si>
    <t>M000569.WAV</t>
  </si>
  <si>
    <t>Isl4cdexaPDgyvwxmqYjvA==</t>
  </si>
  <si>
    <t>M000570.WAV</t>
  </si>
  <si>
    <t>LHW0pDE0oIfXQq0FLfSLSQ==</t>
  </si>
  <si>
    <t>M000571.WAV</t>
  </si>
  <si>
    <t>0.312254</t>
  </si>
  <si>
    <t>M2aaxlvKmnCRqSrul4dDLQ==</t>
  </si>
  <si>
    <t>M000572.WAV</t>
  </si>
  <si>
    <t>0.304159</t>
  </si>
  <si>
    <t>tsVUSHiolhdTJqBHZv+pnw==</t>
  </si>
  <si>
    <t>M000573.WAV</t>
  </si>
  <si>
    <t>0.30302</t>
  </si>
  <si>
    <t>A7ouvCi2xeNcweIY1SrWAA==</t>
  </si>
  <si>
    <t>M000574.WAV</t>
  </si>
  <si>
    <t>0.266009</t>
  </si>
  <si>
    <t>zktUk93weah4+3OP6rcLgw==</t>
  </si>
  <si>
    <t>M000575.WAV</t>
  </si>
  <si>
    <t>0.532223</t>
  </si>
  <si>
    <t>KMAoB1bELm3maWoDf5Ye8g==</t>
  </si>
  <si>
    <t>M000576.WAV</t>
  </si>
  <si>
    <t>0.734358</t>
  </si>
  <si>
    <t>OKKdS5NWn7XlgUYqlXipvw==</t>
  </si>
  <si>
    <t>M000577.WAV</t>
  </si>
  <si>
    <t>0.902</t>
  </si>
  <si>
    <t>0.578861</t>
  </si>
  <si>
    <t>828F5f3bwuTCyVnGopNu1g==</t>
  </si>
  <si>
    <t>M000578.WAV</t>
  </si>
  <si>
    <t>0.472661</t>
  </si>
  <si>
    <t>iaa3SGOBgSLDNN1Bdb+dpw==</t>
  </si>
  <si>
    <t>M000579.WAV</t>
  </si>
  <si>
    <t>0.394173</t>
  </si>
  <si>
    <t>hg/Zx7gpup0dqp22p3araA==</t>
  </si>
  <si>
    <t>M000580.WAV</t>
  </si>
  <si>
    <t>0.852</t>
  </si>
  <si>
    <t>0.535538</t>
  </si>
  <si>
    <t>kjIFxR1DuxLb/C1agTOLQA==</t>
  </si>
  <si>
    <t>M000581.WAV</t>
  </si>
  <si>
    <t>0.543274</t>
  </si>
  <si>
    <t>+fWXBOA9TyNjkygHX7tO0g==</t>
  </si>
  <si>
    <t>M000582.WAV</t>
  </si>
  <si>
    <t>0.616988</t>
  </si>
  <si>
    <t>iyTB0cEntbpuHJ08QN/fCw==</t>
  </si>
  <si>
    <t>M000583.WAV</t>
  </si>
  <si>
    <t>9mn0M4KCzZ+GcWdw0syI+w==</t>
  </si>
  <si>
    <t>M000584.WAV</t>
  </si>
  <si>
    <t>0.683792</t>
  </si>
  <si>
    <t>qqOFwebwNY0Cj0xZ65KCEA==</t>
  </si>
  <si>
    <t>M000585.WAV</t>
  </si>
  <si>
    <t>jTBl8wCPTZHdLUMNKQLPDA==</t>
  </si>
  <si>
    <t>M000586.WAV</t>
  </si>
  <si>
    <t>0.769643</t>
  </si>
  <si>
    <t>z1vo2v3de5BqEIrjBeLKzg==</t>
  </si>
  <si>
    <t>M000587.WAV</t>
  </si>
  <si>
    <t>0.342975</t>
  </si>
  <si>
    <t>VaYCCaO36VWFNaAGD6ONpg==</t>
  </si>
  <si>
    <t>M000588.WAV</t>
  </si>
  <si>
    <t>0.480516</t>
  </si>
  <si>
    <t>5lYnjZMsYM9hFlwEPhpsGg==</t>
  </si>
  <si>
    <t>M000589.WAV</t>
  </si>
  <si>
    <t>0.836222</t>
  </si>
  <si>
    <t>X58fdhbKELUUAu2dkZ0GGA==</t>
  </si>
  <si>
    <t>M000590.WAV</t>
  </si>
  <si>
    <t>0.609215</t>
  </si>
  <si>
    <t>7Z9+CNXh27jOiHttyKwUAg==</t>
  </si>
  <si>
    <t>M000591.WAV</t>
  </si>
  <si>
    <t>0.572387</t>
  </si>
  <si>
    <t>71pkSR+CmVt0ORk9Haxz5w==</t>
  </si>
  <si>
    <t>M000592.WAV</t>
  </si>
  <si>
    <t>0.184965</t>
  </si>
  <si>
    <t>1gu9HRCTRC2NlnHbWM5dlw==</t>
  </si>
  <si>
    <t>M000593.WAV</t>
  </si>
  <si>
    <t>0.302482</t>
  </si>
  <si>
    <t>ZYfWTd1QtnW0WIIv0b1w2Q==</t>
  </si>
  <si>
    <t>M000594.WAV</t>
  </si>
  <si>
    <t>0.24125</t>
  </si>
  <si>
    <t>kI/HAAkP4+0Bts5XHDt84g==</t>
  </si>
  <si>
    <t>M000595.WAV</t>
  </si>
  <si>
    <t>0.451356</t>
  </si>
  <si>
    <t>prhw310gws7PsBikv5qBpQ==</t>
  </si>
  <si>
    <t>M000596.WAV</t>
  </si>
  <si>
    <t>0.475538</t>
  </si>
  <si>
    <t>53cFMjWLkC3Z22az4qoGiQ==</t>
  </si>
  <si>
    <t>M000597.WAV</t>
  </si>
  <si>
    <t>YrN+MlXZrcig3qbRFRlBmg==</t>
  </si>
  <si>
    <t>M000598.WAV</t>
  </si>
  <si>
    <t>mwToisN8+9oKw8FtWBXkuQ==</t>
  </si>
  <si>
    <t>M000599.WAV</t>
  </si>
  <si>
    <t>0.226742</t>
  </si>
  <si>
    <t>gkklMCMYOfEQ7anNjOtF6Q==</t>
  </si>
  <si>
    <t>M000600.WAV</t>
  </si>
  <si>
    <t>oY5rrx6okGj9sYO35VVMsw==</t>
  </si>
  <si>
    <t>M000601.WAV</t>
  </si>
  <si>
    <t>0.253787</t>
  </si>
  <si>
    <t>8c1dKY34isgNLt7vPBosGQ==</t>
  </si>
  <si>
    <t>M000602.WAV</t>
  </si>
  <si>
    <t>0.305321</t>
  </si>
  <si>
    <t>DgMpeXGCBIZs1D1uepxV6w==</t>
  </si>
  <si>
    <t>M000603.WAV</t>
  </si>
  <si>
    <t>0.405277</t>
  </si>
  <si>
    <t>Mfm0fwu0lDdl1YyeRT8ytQ==</t>
  </si>
  <si>
    <t>M000604.WAV</t>
  </si>
  <si>
    <t>0.218136</t>
  </si>
  <si>
    <t>SVsPwE5cPkO75IQqLXK+2Q==</t>
  </si>
  <si>
    <t>M000605.WAV</t>
  </si>
  <si>
    <t>6/wqBAmlv/GReWkfamAGgw==</t>
  </si>
  <si>
    <t>M000606.WAV</t>
  </si>
  <si>
    <t>n3sC25wo1DwtA/bAeyfEQA==</t>
  </si>
  <si>
    <t>M000607.WAV</t>
  </si>
  <si>
    <t>oC6EY/v/A255whU2WJXwPA==</t>
  </si>
  <si>
    <t>M000608.WAV</t>
  </si>
  <si>
    <t>0.37717</t>
  </si>
  <si>
    <t>kyZFh8yVWFcs6Is2YbyTvw==</t>
  </si>
  <si>
    <t>M000609.WAV</t>
  </si>
  <si>
    <t>0.32567</t>
  </si>
  <si>
    <t>IBg1M55JkYZWrIttUaJZwQ==</t>
  </si>
  <si>
    <t>M000610.WAV</t>
  </si>
  <si>
    <t>0.35</t>
  </si>
  <si>
    <t>0.170431</t>
  </si>
  <si>
    <t>wkkZcdKLOhk0YaEI8ndUMA==</t>
  </si>
  <si>
    <t>M000611.WAV</t>
  </si>
  <si>
    <t>0.399323</t>
  </si>
  <si>
    <t>LgjEjQs5xebSHe1OJT7lpw==</t>
  </si>
  <si>
    <t>M000612.WAV</t>
  </si>
  <si>
    <t>SWMIbPD5aS7qfTMsM6KHug==</t>
  </si>
  <si>
    <t>M000613.WAV</t>
  </si>
  <si>
    <t>0.351467</t>
  </si>
  <si>
    <t>DpjW+aRJPbS5lt6Gwba4RA==</t>
  </si>
  <si>
    <t>M000614.WAV</t>
  </si>
  <si>
    <t>0.37552</t>
  </si>
  <si>
    <t>aOeeJLDzAFIge1DzRkpnug==</t>
  </si>
  <si>
    <t>M000615.WAV</t>
  </si>
  <si>
    <t>0.601651</t>
  </si>
  <si>
    <t>Sr0TpS3xcqN4H7Dg3eOf9w==</t>
  </si>
  <si>
    <t>M000616.WAV</t>
  </si>
  <si>
    <t>0.328488</t>
  </si>
  <si>
    <t>i/DpqlOtEVDmq72TpE6WvA==</t>
  </si>
  <si>
    <t>M000617.WAV</t>
  </si>
  <si>
    <t>QDJ1OrYnw0re65EFSOQB2Q==</t>
  </si>
  <si>
    <t>M000618.WAV</t>
  </si>
  <si>
    <t>0.279873</t>
  </si>
  <si>
    <t>sAgoO96TFvb+GV4IvTscag==</t>
  </si>
  <si>
    <t>M000619.WAV</t>
  </si>
  <si>
    <t>0.24913</t>
  </si>
  <si>
    <t>CuFBaDB6+pgdlQaNTWbfZg==</t>
  </si>
  <si>
    <t>M000620.WAV</t>
  </si>
  <si>
    <t>0.501547</t>
  </si>
  <si>
    <t>K40SrGTR7arRUP4Ibtg00w==</t>
  </si>
  <si>
    <t>M000621.WAV</t>
  </si>
  <si>
    <t>0.576074</t>
  </si>
  <si>
    <t>AWgArxIi/taUvXDLFp3svA==</t>
  </si>
  <si>
    <t>M000622.WAV</t>
  </si>
  <si>
    <t>vV4nmc8vCQwqZ+BAJssPrA==</t>
  </si>
  <si>
    <t>M000623.WAV</t>
  </si>
  <si>
    <t>qJHkUkzz/g0jTRgLwCs+Og==</t>
  </si>
  <si>
    <t>M000624.WAV</t>
  </si>
  <si>
    <t>TqIjlpgmUceKHZfqC2bbwA==</t>
  </si>
  <si>
    <t>M000625.WAV</t>
  </si>
  <si>
    <t>JDkCVvWrPXh+zAtD/eligg==</t>
  </si>
  <si>
    <t>M000626.WAV</t>
  </si>
  <si>
    <t>Y/VmRbosI8PrQGX+oP5k6w==</t>
  </si>
  <si>
    <t>M000627.WAV</t>
  </si>
  <si>
    <t>7DhvXS7Ra4ncAeTDT4+FtA==</t>
  </si>
  <si>
    <t>M000628.WAV</t>
  </si>
  <si>
    <t>4cCVQJ2OqkdjAmSl8cZveQ==</t>
  </si>
  <si>
    <t>M000629.WAV</t>
  </si>
  <si>
    <t>CDO+aDqFGj7YvLQlVW1nbA==</t>
  </si>
  <si>
    <t>M000630.WAV</t>
  </si>
  <si>
    <t>k6Qy3Yul5ZZtaiPxyPAyFQ==</t>
  </si>
  <si>
    <t>M000631.WAV</t>
  </si>
  <si>
    <t>eV/1djNMZHheyAd1NmZwmQ==</t>
  </si>
  <si>
    <t>M000632.WAV</t>
  </si>
  <si>
    <t>HemQ84Y1RCC+eJ562uaBRA==</t>
  </si>
  <si>
    <t>M000633.WAV</t>
  </si>
  <si>
    <t>kmu9f1mnIHCQx00W2ycdBw==</t>
  </si>
  <si>
    <t>M000634.WAV</t>
  </si>
  <si>
    <t>BVxdyF17t3t35fZmpy3Fgw==</t>
  </si>
  <si>
    <t>M000635.WAV</t>
  </si>
  <si>
    <t>80W+0wNjk9XxnSul+bqNmQ==</t>
  </si>
  <si>
    <t>M000636.WAV</t>
  </si>
  <si>
    <t>inzEvV9QaR1r/wneeyVE8w==</t>
  </si>
  <si>
    <t>M000637.WAV</t>
  </si>
  <si>
    <t>sjIGMkQU9+nmca37FmdZ+Q==</t>
  </si>
  <si>
    <t>M000638.WAV</t>
  </si>
  <si>
    <t>wmt5c2wgO9mtPC8lLLZbhg==</t>
  </si>
  <si>
    <t>M000639.WAV</t>
  </si>
  <si>
    <t>Isuzz+rCCO40j/1GxCNL+g==</t>
  </si>
  <si>
    <t>M000640.WAV</t>
  </si>
  <si>
    <t>fyOGmlTz1WXlSJpt2sdu8A==</t>
  </si>
  <si>
    <t>M000641.WAV</t>
  </si>
  <si>
    <t>Cobn+6XBiJBckYOZhS7mgA==</t>
  </si>
  <si>
    <t>M000642.WAV</t>
  </si>
  <si>
    <t>e6IdwjDUgT5I7ZGHdNf7gw==</t>
  </si>
  <si>
    <t>M000643.WAV</t>
  </si>
  <si>
    <t>t/34rnzdY/YJk8gyXZ/2+w==</t>
  </si>
  <si>
    <t>M000644.WAV</t>
  </si>
  <si>
    <t>nt6JqEfFhBQLM6JfmY/ybg==</t>
  </si>
  <si>
    <t>M000645.WAV</t>
  </si>
  <si>
    <t>MWJeNTfrHs5xGrsmJt1gIw==</t>
  </si>
  <si>
    <t>M000646.WAV</t>
  </si>
  <si>
    <t>z9NZplfS8yUM69mTPNDTtg==</t>
  </si>
  <si>
    <t>M000647.WAV</t>
  </si>
  <si>
    <t>9mr2dtQzDglo7xI75QxfkA==</t>
  </si>
  <si>
    <t>M000648.WAV</t>
  </si>
  <si>
    <t>+svNj01j7fZRQo21DFhD/w==</t>
  </si>
  <si>
    <t>M000649.WAV</t>
  </si>
  <si>
    <t>B9uOfWL7LFYohqJXh82JvQ==</t>
  </si>
  <si>
    <t>M000650.WAV</t>
  </si>
  <si>
    <t>FSC35FC+ECovwkUtzAA4nw==</t>
  </si>
  <si>
    <t>M000651.WAV</t>
  </si>
  <si>
    <t>HnT+2if2Bw1E1+vod7G4+w==</t>
  </si>
  <si>
    <t>M000652.WAV</t>
  </si>
  <si>
    <t>bTMLK15FnJyx+7sqX/YOVw==</t>
  </si>
  <si>
    <t>M000653.WAV</t>
  </si>
  <si>
    <t>xaSWoVwgZThIXp3A9MVX8g==</t>
  </si>
  <si>
    <t>M000654.WAV</t>
  </si>
  <si>
    <t>WtNa7hFx+lzjBvOhpp6wpQ==</t>
  </si>
  <si>
    <t>M000655.WAV</t>
  </si>
  <si>
    <t>EHH5dHcz+HHfd6zY/XdeCA==</t>
  </si>
  <si>
    <t>M000656.WAV</t>
  </si>
  <si>
    <t>W6eG0cIqLOlDYLkXLcWNjQ==</t>
  </si>
  <si>
    <t>M000657.WAV</t>
  </si>
  <si>
    <t>gASlLOgxLmulqDCan2oBcQ==</t>
  </si>
  <si>
    <t>M000658.WAV</t>
  </si>
  <si>
    <t>lhT7V2+Ds5n2HrevvLy47w==</t>
  </si>
  <si>
    <t>M000659.WAV</t>
  </si>
  <si>
    <t>GURWIhc15LWqp5nnQvtYwQ==</t>
  </si>
  <si>
    <t>M000660.WAV</t>
  </si>
  <si>
    <t>emOtMxIkz+IUzc4BjTx37A==</t>
  </si>
  <si>
    <t>M000661.WAV</t>
  </si>
  <si>
    <t>8konvO8/L+J2ywhB2H3+Sg==</t>
  </si>
  <si>
    <t>M000662.WAV</t>
  </si>
  <si>
    <t>1hA8Q48+22KPocERvK1SeA==</t>
  </si>
  <si>
    <t>M000663.WAV</t>
  </si>
  <si>
    <t>EAVYdq3zaM5XV2CIXnTRgw==</t>
  </si>
  <si>
    <t>M000664.WAV</t>
  </si>
  <si>
    <t>YkitCvyxmHA9llI9evo+gg==</t>
  </si>
  <si>
    <t>M000665.WAV</t>
  </si>
  <si>
    <t>yhYoZj/eTUgnkvn6h6F6AQ==</t>
  </si>
  <si>
    <t>M000666.WAV</t>
  </si>
  <si>
    <t>L9kWKiW//siKzz/eLdvrNA==</t>
  </si>
  <si>
    <t>M000667.WAV</t>
  </si>
  <si>
    <t>dl8p+1BJ3UFQJr+t2xdX2A==</t>
  </si>
  <si>
    <t>M000668.WAV</t>
  </si>
  <si>
    <t>swekQjnR9LvKR0zjaALVZQ==</t>
  </si>
  <si>
    <t>M000669.WAV</t>
  </si>
  <si>
    <t>fXu2PGfXDV52VR0AOwCAmA==</t>
  </si>
  <si>
    <t>M000670.WAV</t>
  </si>
  <si>
    <t>zQg1YQi0OlICbyO6VyHR8A==</t>
  </si>
  <si>
    <t>M000671.WAV</t>
  </si>
  <si>
    <t>SZ+cNZHijXcLkYLwizjuIg==</t>
  </si>
  <si>
    <t>M000672.WAV</t>
  </si>
  <si>
    <t>1thQlpiSgelL4XOSYx9bzg==</t>
  </si>
  <si>
    <t>M000673.WAV</t>
  </si>
  <si>
    <t>CofoT68CLON7TOewS+TMxg==</t>
  </si>
  <si>
    <t>M000674.WAV</t>
  </si>
  <si>
    <t>JbuvXuVl8fBw7oyOlUSqXw==</t>
  </si>
  <si>
    <t>M000675.WAV</t>
  </si>
  <si>
    <t>5pCtx+46BSL1SWdmh4duvA==</t>
  </si>
  <si>
    <t>M000676.WAV</t>
  </si>
  <si>
    <t>K6gvuB8ntVLMhrUGyVVDVw==</t>
  </si>
  <si>
    <t>M000677.WAV</t>
  </si>
  <si>
    <t>vj8naSjy+lJ+7NM7AIyk3A==</t>
  </si>
  <si>
    <t>M000678.WAV</t>
  </si>
  <si>
    <t>Fsc8MeDSuzHhkn8eQZVVDQ==</t>
  </si>
  <si>
    <t>M000679.WAV</t>
  </si>
  <si>
    <t>JL3ze5IPnaM9IeH2xR+E6g==</t>
  </si>
  <si>
    <t>M000680.WAV</t>
  </si>
  <si>
    <t>/D/c1dJM6Y2+7brEZSBJag==</t>
  </si>
  <si>
    <t>M000681.WAV</t>
  </si>
  <si>
    <t>wbSXlKYJDZU2GThc4bUFuA==</t>
  </si>
  <si>
    <t>M000682.WAV</t>
  </si>
  <si>
    <t>TR/LTq+unFcAx3i6vip9Bg==</t>
  </si>
  <si>
    <t>M000683.WAV</t>
  </si>
  <si>
    <t>eTpeR19VlV63zkwI7SkwIQ==</t>
  </si>
  <si>
    <t>M000684.WAV</t>
  </si>
  <si>
    <t>qZiakvyIiNjpvTO829Ua3Q==</t>
  </si>
  <si>
    <t>M000685.WAV</t>
  </si>
  <si>
    <t>N/NATzTcfZHi/h97P3nlug==</t>
  </si>
  <si>
    <t>M000686.WAV</t>
  </si>
  <si>
    <t>Y7BjhkuqoCBYE5U2h8e5iQ==</t>
  </si>
  <si>
    <t>M000687.WAV</t>
  </si>
  <si>
    <t>cSfSAcPn6pp5QwMPGitRvQ==</t>
  </si>
  <si>
    <t>M000688.WAV</t>
  </si>
  <si>
    <t>HCaXk8MlAyi4P7o6BhB8xA==</t>
  </si>
  <si>
    <t>M000689.WAV</t>
  </si>
  <si>
    <t>jL2j/N4mXRPsMfRFQvnq5A==</t>
  </si>
  <si>
    <t>M000690.WAV</t>
  </si>
  <si>
    <t>8E2tFZMe3vzgIDvFFrZMoA==</t>
  </si>
  <si>
    <t>M000691.WAV</t>
  </si>
  <si>
    <t>aypq0Lax9f3qfV385e/N6g==</t>
  </si>
  <si>
    <t>M000692.WAV</t>
  </si>
  <si>
    <t>Y3rH/BA4WZrAOVzHTmTmvw==</t>
  </si>
  <si>
    <t>M000693.WAV</t>
  </si>
  <si>
    <t>JOEhM1HSoEZSNJJaB0akCA==</t>
  </si>
  <si>
    <t>M000694.WAV</t>
  </si>
  <si>
    <t>FUW6cpKwwRObBQKJyXG5Xg==</t>
  </si>
  <si>
    <t>M000695.WAV</t>
  </si>
  <si>
    <t>MtC0bwfhA0q/Ecy4Gf6Z1Q==</t>
  </si>
  <si>
    <t>M000696.WAV</t>
  </si>
  <si>
    <t>g5sExJCsEtDk4GE+ucfhAQ==</t>
  </si>
  <si>
    <t>M000697.WAV</t>
  </si>
  <si>
    <t>Ko+Cp68tma30pYejGTTWlg==</t>
  </si>
  <si>
    <t>M000698.WAV</t>
  </si>
  <si>
    <t>pzJ9VOwu+5OkIivCsNPXIA==</t>
  </si>
  <si>
    <t>M000699.WAV</t>
  </si>
  <si>
    <t>drWviDsoRUnga8MfMEodXQ==</t>
  </si>
  <si>
    <t>M000700.WAV</t>
  </si>
  <si>
    <t>iT6oRVx9Wiw9mgzqALPCtA==</t>
  </si>
  <si>
    <t>M000701.WAV</t>
  </si>
  <si>
    <t>CAAWY/SjsT/ajVQPZ94xVQ==</t>
  </si>
  <si>
    <t>M000702.WAV</t>
  </si>
  <si>
    <t>cVzsCu0IDuDFJ5omF6HjcA==</t>
  </si>
  <si>
    <t>M000703.WAV</t>
  </si>
  <si>
    <t>u4ht0QgEugJqQWiFvkDyvg==</t>
  </si>
  <si>
    <t>M000704.WAV</t>
  </si>
  <si>
    <t>D398yAMaCjpjAjc7bnLF7A==</t>
  </si>
  <si>
    <t>M000705.WAV</t>
  </si>
  <si>
    <t>lpWETFPffrugVZRKaHZSSg==</t>
  </si>
  <si>
    <t>M000706.WAV</t>
  </si>
  <si>
    <t>+/mFhmvbDrLnW12OxsttxQ==</t>
  </si>
  <si>
    <t>M000707.WAV</t>
  </si>
  <si>
    <t>F1No+v3rhhkvbyYiOm091w==</t>
  </si>
  <si>
    <t>M000708.WAV</t>
  </si>
  <si>
    <t>iaj1k4c5nQNNTzZ7CE2uLg==</t>
  </si>
  <si>
    <t>M000709.WAV</t>
  </si>
  <si>
    <t>19ii0Py72ThHLFbgI1UyuA==</t>
  </si>
  <si>
    <t>M000710.WAV</t>
  </si>
  <si>
    <t>9dTW1erGFz3Zk9cfYt6uJA==</t>
  </si>
  <si>
    <t>M000711.WAV</t>
  </si>
  <si>
    <t>+keLLZ7ULUYZiWK4z9VF/Q==</t>
  </si>
  <si>
    <t>M000712.WAV</t>
  </si>
  <si>
    <t>9yKgkeOv4bYt2udSTD2MWg==</t>
  </si>
  <si>
    <t>M000713.WAV</t>
  </si>
  <si>
    <t>oP/ccVWNh+eozRCE1XkrEA==</t>
  </si>
  <si>
    <t>M000714.WAV</t>
  </si>
  <si>
    <t>vkGX/gmTuWA30kLe4gR1TA==</t>
  </si>
  <si>
    <t>M000715.WAV</t>
  </si>
  <si>
    <t>8nFhVpvV8HiLpnZZKvyp+w==</t>
  </si>
  <si>
    <t>M000716.WAV</t>
  </si>
  <si>
    <t>suigSXF3nIV1L80TSmDiEg==</t>
  </si>
  <si>
    <t>M000717.WAV</t>
  </si>
  <si>
    <t>Jogv1vrRL/QRrzX6dRMvuA==</t>
  </si>
  <si>
    <t>M000718.WAV</t>
  </si>
  <si>
    <t>0/Lek1eQspkqPYLRbKCB5A==</t>
  </si>
  <si>
    <t>M000719.WAV</t>
  </si>
  <si>
    <t>BhlqHPHwDtUeChRKTL7JvQ==</t>
  </si>
  <si>
    <t>M000720.WAV</t>
  </si>
  <si>
    <t>AljSJMIsg0mpvrn/+t6jug==</t>
  </si>
  <si>
    <t>M000721.WAV</t>
  </si>
  <si>
    <t>dmeRexfUWQfKNzscp+Q6Iw==</t>
  </si>
  <si>
    <t>M000722.WAV</t>
  </si>
  <si>
    <t>lSx/YBXn8P2CYzD8elrO5A==</t>
  </si>
  <si>
    <t>M000723.WAV</t>
  </si>
  <si>
    <t>9Gpsfsv8odncuThQtOsIVg==</t>
  </si>
  <si>
    <t>M000724.WAV</t>
  </si>
  <si>
    <t>Gj3AKG/ZFtLrXEnYPkMtoQ==</t>
  </si>
  <si>
    <t>M000725.WAV</t>
  </si>
  <si>
    <t>nMSL8qJK6bqRCGQXC99F9w==</t>
  </si>
  <si>
    <t>M000726.WAV</t>
  </si>
  <si>
    <t>p2dUB55CaRsa9xeUOhd1Cg==</t>
  </si>
  <si>
    <t>M000727.WAV</t>
  </si>
  <si>
    <t>Fwuo1nON+Iz6SOQY+mrc5g==</t>
  </si>
  <si>
    <t>M000728.WAV</t>
  </si>
  <si>
    <t>PVD8Q3JZvu7EP4HcugEAvA==</t>
  </si>
  <si>
    <t>M000729.WAV</t>
  </si>
  <si>
    <t>ZQ7xCgN3S12ElnPpnjT0LQ==</t>
  </si>
  <si>
    <t>M000730.WAV</t>
  </si>
  <si>
    <t>1L21QJ55jwrmSL/wlbku+w==</t>
  </si>
  <si>
    <t>M000731.WAV</t>
  </si>
  <si>
    <t>ClGv6RwgFpB3xWRcVs+tLA==</t>
  </si>
  <si>
    <t>M000732.WAV</t>
  </si>
  <si>
    <t>sKo2ANdRrxtQzON6OeX9LQ==</t>
  </si>
  <si>
    <t>M000733.WAV</t>
  </si>
  <si>
    <t>auMd/pJ/n4IVzGv9cOO3yQ==</t>
  </si>
  <si>
    <t>M000734.WAV</t>
  </si>
  <si>
    <t>12HmI/9FKd9MMKKVFA21rA==</t>
  </si>
  <si>
    <t>M000735.WAV</t>
  </si>
  <si>
    <t>CCI46GQA08BzNfXq3Kuflw==</t>
  </si>
  <si>
    <t>M000736.WAV</t>
  </si>
  <si>
    <t>bwozCK9+kUPniNSv5RXRpQ==</t>
  </si>
  <si>
    <t>M000737.WAV</t>
  </si>
  <si>
    <t>cJ9d46EKzoQlXJ1seSyapA==</t>
  </si>
  <si>
    <t>M000738.WAV</t>
  </si>
  <si>
    <t>NyiAPuhWkR/Dv702Z4/U+Q==</t>
  </si>
  <si>
    <t>M000739.WAV</t>
  </si>
  <si>
    <t>aojASN3XttXexDnZlxgwDQ==</t>
  </si>
  <si>
    <t>M000740.WAV</t>
  </si>
  <si>
    <t>P4rDpU3r+QsTuUgsxT8KAQ==</t>
  </si>
  <si>
    <t>M000741.WAV</t>
  </si>
  <si>
    <t>kvhFggUynoNsGTH9ApzQVw==</t>
  </si>
  <si>
    <t>M000742.WAV</t>
  </si>
  <si>
    <t>8kEFV1I150Zo/dIk22M/cQ==</t>
  </si>
  <si>
    <t>M000743.WAV</t>
  </si>
  <si>
    <t>eQtsA9Mcw9zHEMEkqn9CQw==</t>
  </si>
  <si>
    <t>M000744.WAV</t>
  </si>
  <si>
    <t>8oeFQLD7uf/I//2o9IXT/Q==</t>
  </si>
  <si>
    <t>M000745.WAV</t>
  </si>
  <si>
    <t>gg8paeogvhH9GVTrJNCl9A==</t>
  </si>
  <si>
    <t>M000746.WAV</t>
  </si>
  <si>
    <t>kUPWLHsxN42g1l88yYPg1A==</t>
  </si>
  <si>
    <t>M000747.WAV</t>
  </si>
  <si>
    <t>kz/tGsJ2O6VEneYkmDk03w==</t>
  </si>
  <si>
    <t>M000748.WAV</t>
  </si>
  <si>
    <t>pog2t3+dgcxzmVv+4PZ2cQ==</t>
  </si>
  <si>
    <t>M000749.WAV</t>
  </si>
  <si>
    <t>Zd6LruIjWdhHU9lFWxFYdw==</t>
  </si>
  <si>
    <t>M000750.WAV</t>
  </si>
  <si>
    <t>H/dis71vKbLorjs0uTx5Kg==</t>
  </si>
  <si>
    <t>M000751.WAV</t>
  </si>
  <si>
    <t>Lj2bkglqaW70a79m5knxCg==</t>
  </si>
  <si>
    <t>M000752.WAV</t>
  </si>
  <si>
    <t>2moI+yebtJJv/qDNEVrP+A==</t>
  </si>
  <si>
    <t>M000753.WAV</t>
  </si>
  <si>
    <t>MIP84afOO0YTGdTylvDj0g==</t>
  </si>
  <si>
    <t>M000754.WAV</t>
  </si>
  <si>
    <t>VI5NUr/SYtxfm6kbOoqLNw==</t>
  </si>
  <si>
    <t>M000755.WAV</t>
  </si>
  <si>
    <t>4Pq+Gqyb2Tl/V2PLi3OFvA==</t>
  </si>
  <si>
    <t>M000756.WAV</t>
  </si>
  <si>
    <t>FzgRtICqKPVV2/Agot9hkQ==</t>
  </si>
  <si>
    <t>M000757.WAV</t>
  </si>
  <si>
    <t>ksMbfb3z2yEQLH+FL7UcVg==</t>
  </si>
  <si>
    <t>M000758.WAV</t>
  </si>
  <si>
    <t>RP0CwS187OeCArJn+R/5/w==</t>
  </si>
  <si>
    <t>M000759.WAV</t>
  </si>
  <si>
    <t>NH67I6UmrFi6chXWRXdShg==</t>
  </si>
  <si>
    <t>M000760.WAV</t>
  </si>
  <si>
    <t>8KUWTiG2ATMIzua+8562qQ==</t>
  </si>
  <si>
    <t>M000761.WAV</t>
  </si>
  <si>
    <t>DFC6TIK5ghACnw9n9gSBVA==</t>
  </si>
  <si>
    <t>M000762.WAV</t>
  </si>
  <si>
    <t>+tFSBezgTou7xVa1KRP0yA==</t>
  </si>
  <si>
    <t>M000763.WAV</t>
  </si>
  <si>
    <t>6t1ia1sNSr/98gUaZ3Hveg==</t>
  </si>
  <si>
    <t>M000764.WAV</t>
  </si>
  <si>
    <t>GPYwXj0fXjVd3HPUBXhEqQ==</t>
  </si>
  <si>
    <t>M000765.WAV</t>
  </si>
  <si>
    <t>77hFE8+QDETfmWCcqDPoiQ==</t>
  </si>
  <si>
    <t>M000766.WAV</t>
  </si>
  <si>
    <t>xwFWy0yzZQroF3nBgaIh8g==</t>
  </si>
  <si>
    <t>M000767.WAV</t>
  </si>
  <si>
    <t>R6BgJZ9VBJN4Hn7oJHpk6g==</t>
  </si>
  <si>
    <t>M000768.WAV</t>
  </si>
  <si>
    <t>So07f9ChgjnnnhOfpH7nNg==</t>
  </si>
  <si>
    <t>M000769.WAV</t>
  </si>
  <si>
    <t>TFS8KP/taEvyH9YUpLc+Fg==</t>
  </si>
  <si>
    <t>M000770.WAV</t>
  </si>
  <si>
    <t>VZnyNBU4q3TmraBHeK1Pbg==</t>
  </si>
  <si>
    <t>M000771.WAV</t>
  </si>
  <si>
    <t>1QOZ+xYMVoPtsZPcq8vA7g==</t>
  </si>
  <si>
    <t>M000772.WAV</t>
  </si>
  <si>
    <t>5zVG7ukVg1LUwDEypRfj0A==</t>
  </si>
  <si>
    <t>M000773.WAV</t>
  </si>
  <si>
    <t>pk0TEBwCltHo9pGAF5CFAg==</t>
  </si>
  <si>
    <t>M000774.WAV</t>
  </si>
  <si>
    <t>ern7XS6KRITSY0GgFO/UxA==</t>
  </si>
  <si>
    <t>M000775.WAV</t>
  </si>
  <si>
    <t>B6+QWTpxF7ulGhnJyEkNSQ==</t>
  </si>
  <si>
    <t>M000776.WAV</t>
  </si>
  <si>
    <t>6h13m08cd5jtiayy0ay6Kw==</t>
  </si>
  <si>
    <t>M000777.WAV</t>
  </si>
  <si>
    <t>b7dMon2l2EC3bOX3iYv4Rg==</t>
  </si>
  <si>
    <t>M000778.WAV</t>
  </si>
  <si>
    <t>np9l4/XiZah95YGdNhN3Mw==</t>
  </si>
  <si>
    <t>M000779.WAV</t>
  </si>
  <si>
    <t>BXzk+R2sBSe9+owdvZIz7Q==</t>
  </si>
  <si>
    <t>M000780.WAV</t>
  </si>
  <si>
    <t>P6a9fDd64UARKsUIWPEIxw==</t>
  </si>
  <si>
    <t>M000781.WAV</t>
  </si>
  <si>
    <t>HCgFWvyLs9R0qEqyWElHMg==</t>
  </si>
  <si>
    <t>M000782.WAV</t>
  </si>
  <si>
    <t>6n4cbLEgHGvVVvs2E6GG7A==</t>
  </si>
  <si>
    <t>M000783.WAV</t>
  </si>
  <si>
    <t>IBYwZAf2PAUka4ekIciY7w==</t>
  </si>
  <si>
    <t>M000784.WAV</t>
  </si>
  <si>
    <t>4LONRHrqDCdMvDUnGP0hWg==</t>
  </si>
  <si>
    <t>M000785.WAV</t>
  </si>
  <si>
    <t>Ud3uho6PndsS3M5ZNPPrJg==</t>
  </si>
  <si>
    <t>M000786.WAV</t>
  </si>
  <si>
    <t>kU00jKdOKq9x+lUXwwh39g==</t>
  </si>
  <si>
    <t>M000787.WAV</t>
  </si>
  <si>
    <t>ntKpbCGVk33FVRRVLpIfrw==</t>
  </si>
  <si>
    <t>M000788.WAV</t>
  </si>
  <si>
    <t>eiRMIWBe/I0AUtWaIP8NSg==</t>
  </si>
  <si>
    <t>M000789.WAV</t>
  </si>
  <si>
    <t>jgWIxvtrym/FSOeiVO9fxw==</t>
  </si>
  <si>
    <t>M000790.WAV</t>
  </si>
  <si>
    <t>qHLFQYz3IIBUWQVkJSWgOA==</t>
  </si>
  <si>
    <t>M000791.WAV</t>
  </si>
  <si>
    <t>35Xab6bV6ZxIcrydPms3lQ==</t>
  </si>
  <si>
    <t>M000792.WAV</t>
  </si>
  <si>
    <t>Zb60cXdwNu3tLPYLQXKyQw==</t>
  </si>
  <si>
    <t>M000793.WAV</t>
  </si>
  <si>
    <t>EwGwtAmJrSlQVApW7eQRRg==</t>
  </si>
  <si>
    <t>M000794.WAV</t>
  </si>
  <si>
    <t>Va0ETMTJxGMVP9zoTEDI3g==</t>
  </si>
  <si>
    <t>M000795.WAV</t>
  </si>
  <si>
    <t>kDBCEiqm3WSFHNVASUkBkQ==</t>
  </si>
  <si>
    <t>M000796.WAV</t>
  </si>
  <si>
    <t>96bFstnsEn/qRvbAjs+dbw==</t>
  </si>
  <si>
    <t>M000797.WAV</t>
  </si>
  <si>
    <t>bKEqOdFgtDjHu0Zjg2eY7g==</t>
  </si>
  <si>
    <t>M000798.WAV</t>
  </si>
  <si>
    <t>BT4Zo2Bg+BOiZfASVsMrig==</t>
  </si>
  <si>
    <t>M000799.WAV</t>
  </si>
  <si>
    <t>DO2QDka+nt+OuiprnR9Qrw==</t>
  </si>
  <si>
    <t>M000800.WAV</t>
  </si>
  <si>
    <t>3oXIeIZkzYhmuxFugUAhtA==</t>
  </si>
  <si>
    <t>M000801.WAV</t>
  </si>
  <si>
    <t>OT0TmGBmvr1VKpcSBSqoHw==</t>
  </si>
  <si>
    <t>M000802.WAV</t>
  </si>
  <si>
    <t>30Ak8Tb5LrtXEyUFaSNs7Q==</t>
  </si>
  <si>
    <t>M000803.WAV</t>
  </si>
  <si>
    <t>osaT6sGCMIb8OFSQoD87uQ==</t>
  </si>
  <si>
    <t>M000804.WAV</t>
  </si>
  <si>
    <t>RaQVcfw9cz1iajw1LKTH7Q==</t>
  </si>
  <si>
    <t>M000805.WAV</t>
  </si>
  <si>
    <t>zBWkJ8+4dPPACuqbXGqQkg==</t>
  </si>
  <si>
    <t>M000806.WAV</t>
  </si>
  <si>
    <t>23hwcavWT9jMjo9hyHn7+g==</t>
  </si>
  <si>
    <t>M000807.WAV</t>
  </si>
  <si>
    <t>MpFaBrS7ofh1ZbFG5FbFvA==</t>
  </si>
  <si>
    <t>M000808.WAV</t>
  </si>
  <si>
    <t>McWMTfQaUpt9x9d3EJM2hA==</t>
  </si>
  <si>
    <t>M000809.WAV</t>
  </si>
  <si>
    <t>nwTC/yOb5QtwDzKEkvpHow==</t>
  </si>
  <si>
    <t>M000810.WAV</t>
  </si>
  <si>
    <t>miFGhyfeiSIuX4MCYAZ/0g==</t>
  </si>
  <si>
    <t>M000811.WAV</t>
  </si>
  <si>
    <t>j9LjX4JYAm+dtlyoYOGcTg==</t>
  </si>
  <si>
    <t>M000812.WAV</t>
  </si>
  <si>
    <t>6tNwbDmeGyDweuxSi+gxLQ==</t>
  </si>
  <si>
    <t>M000813.WAV</t>
  </si>
  <si>
    <t>fkyhl2SrRQBdYIxUv+6l9Q==</t>
  </si>
  <si>
    <t>M000814.WAV</t>
  </si>
  <si>
    <t>FI0k54jCopOAkRIzgeNoSw==</t>
  </si>
  <si>
    <t>M000815.WAV</t>
  </si>
  <si>
    <t>lbJBKZNHQFGNALF2jA7w+w==</t>
  </si>
  <si>
    <t>M000816.WAV</t>
  </si>
  <si>
    <t>h4doktEvO1+qJk042ixKCQ==</t>
  </si>
  <si>
    <t>M000817.WAV</t>
  </si>
  <si>
    <t>QsVe7+iXr/pVfUc8vSix+A==</t>
  </si>
  <si>
    <t>M000818.WAV</t>
  </si>
  <si>
    <t>lEv3M6hmAHqXT5S4y2+OOw==</t>
  </si>
  <si>
    <t>M000819.WAV</t>
  </si>
  <si>
    <t>i5XIEuluKQWvcdlwIq3GUQ==</t>
  </si>
  <si>
    <t>M000820.WAV</t>
  </si>
  <si>
    <t>6f7k/iL0jYkJQ3ac1kz9gw==</t>
  </si>
  <si>
    <t>M000821.WAV</t>
  </si>
  <si>
    <t>0FFP4e8Fsal7nnfJo2t4qg==</t>
  </si>
  <si>
    <t>M000822.WAV</t>
  </si>
  <si>
    <t>ZMjeWDG4DxYRSm8dVOItQw==</t>
  </si>
  <si>
    <t>M000823.WAV</t>
  </si>
  <si>
    <t>CdLqFT28ZT9okbQjxOBRHg==</t>
  </si>
  <si>
    <t>M000824.WAV</t>
  </si>
  <si>
    <t>SA0oL2YQEBnYOkb2aCYdMw==</t>
  </si>
  <si>
    <t>M000825.WAV</t>
  </si>
  <si>
    <t>K/1LttI42Rshhq36Wmv0/g==</t>
  </si>
  <si>
    <t>M000826.WAV</t>
  </si>
  <si>
    <t>0N9YuaiDgxWeozJy7XvQ/g==</t>
  </si>
  <si>
    <t>M000827.WAV</t>
  </si>
  <si>
    <t>VVUAxU/86A5l9SusZMNzSQ==</t>
  </si>
  <si>
    <t>M000828.WAV</t>
  </si>
  <si>
    <t>ofXvjFb621WokzLb3A6j7w==</t>
  </si>
  <si>
    <t>M000829.WAV</t>
  </si>
  <si>
    <t>Ty6a3UKCwwDEduyBKBjSrg==</t>
  </si>
  <si>
    <t>M000830.WAV</t>
  </si>
  <si>
    <t>QS9+K2NnZaRKgWC01fflWQ==</t>
  </si>
  <si>
    <t>M000831.WAV</t>
  </si>
  <si>
    <t>VICO21IJd1KFTa5CfwwmXA==</t>
  </si>
  <si>
    <t>M000832.WAV</t>
  </si>
  <si>
    <t>BFlHJdzAtjRZ8smXeF4ejg==</t>
  </si>
  <si>
    <t>M000833.WAV</t>
  </si>
  <si>
    <t>g+QhxpSMyCDmYsXlW8kQKQ==</t>
  </si>
  <si>
    <t>M000834.WAV</t>
  </si>
  <si>
    <t>3A3ZR805Vkk2LjQEzl/6Zg==</t>
  </si>
  <si>
    <t>M000835.WAV</t>
  </si>
  <si>
    <t>HLq6NO5LMErTwjPKSDHAIg==</t>
  </si>
  <si>
    <t>M000836.WAV</t>
  </si>
  <si>
    <t>2jV8J+q97cEh855WPjyNlQ==</t>
  </si>
  <si>
    <t>M000837.WAV</t>
  </si>
  <si>
    <t>egF8/TSQdxzmGP3plLSLow==</t>
  </si>
  <si>
    <t>M000838.WAV</t>
  </si>
  <si>
    <t>pOeDXjrYtDwQaAlsov8+9g==</t>
  </si>
  <si>
    <t>M000839.WAV</t>
  </si>
  <si>
    <t>bl9U6+twHWtNQjY9lsfS3g==</t>
  </si>
  <si>
    <t>M000840.WAV</t>
  </si>
  <si>
    <t>K2I5bXP0qUTCe7/CzO03KA==</t>
  </si>
  <si>
    <t>M000841.WAV</t>
  </si>
  <si>
    <t>m1OAdWufmULTsBxDr7A+VA==</t>
  </si>
  <si>
    <t>M000842.WAV</t>
  </si>
  <si>
    <t>m2AFZyc8sTH2yo4pzmyzqA==</t>
  </si>
  <si>
    <t>M000843.WAV</t>
  </si>
  <si>
    <t>ep4ToCq8qswnAdG1bmAsmw==</t>
  </si>
  <si>
    <t>M000844.WAV</t>
  </si>
  <si>
    <t>9PjV8Q+42esOhpa3zTayjQ==</t>
  </si>
  <si>
    <t>M000845.WAV</t>
  </si>
  <si>
    <t>2CzveNP/cd4I+St1hWLYYA==</t>
  </si>
  <si>
    <t>M000846.WAV</t>
  </si>
  <si>
    <t>jJaZ7QNybOmlbOeJVZl5sA==</t>
  </si>
  <si>
    <t>M000847.WAV</t>
  </si>
  <si>
    <t>CNmFLg73LAYIyLWkySQ7zA==</t>
  </si>
  <si>
    <t>M000848.WAV</t>
  </si>
  <si>
    <t>aF8+vOvfToF2WTwzdDZWbQ==</t>
  </si>
  <si>
    <t>M000849.WAV</t>
  </si>
  <si>
    <t>/tGYNv5MtFIiJYsnbWgq3w==</t>
  </si>
  <si>
    <t>M000850.WAV</t>
  </si>
  <si>
    <t>dHOeHYApqX0FEVz9HFhlow==</t>
  </si>
  <si>
    <t>M000851.WAV</t>
  </si>
  <si>
    <t>qvhUh5wP5ZkIuuaL73Kqlg==</t>
  </si>
  <si>
    <t>M000852.WAV</t>
  </si>
  <si>
    <t>zYtJUosLG7YcgBmAlsjhZw==</t>
  </si>
  <si>
    <t>M000853.WAV</t>
  </si>
  <si>
    <t>aoW77HxcUlN+tXZYhf46YA==</t>
  </si>
  <si>
    <t>M000854.WAV</t>
  </si>
  <si>
    <t>8wlde/dO4Z5LRHX0ugX+/w==</t>
  </si>
  <si>
    <t>M000855.WAV</t>
  </si>
  <si>
    <t>aIOdryc1KT1DbRxt7KhTXg==</t>
  </si>
  <si>
    <t>M000856.WAV</t>
  </si>
  <si>
    <t>xIQ0qu4cbcou0fxkJJv01w==</t>
  </si>
  <si>
    <t>M000857.WAV</t>
  </si>
  <si>
    <t>CuKzpN6py6FMqz4/v+bZRg==</t>
  </si>
  <si>
    <t>M000858.WAV</t>
  </si>
  <si>
    <t>+RyNWOVhMSf9YYH+c2iayA==</t>
  </si>
  <si>
    <t>M000859.WAV</t>
  </si>
  <si>
    <t>cfPsW/O89i2BJbtZryOUWg==</t>
  </si>
  <si>
    <t>M000860.WAV</t>
  </si>
  <si>
    <t>qTAHRxREUeu3eqwidYG0bg==</t>
  </si>
  <si>
    <t>M000861.WAV</t>
  </si>
  <si>
    <t>Oh1GBzrHDEQugYRmqpJSXA==</t>
  </si>
  <si>
    <t>M000862.WAV</t>
  </si>
  <si>
    <t>ETREoxjFXbdmAtjsBH/84w==</t>
  </si>
  <si>
    <t>M000863.WAV</t>
  </si>
  <si>
    <t>GAIG/IPEv5QKnaBZVfMMhg==</t>
  </si>
  <si>
    <t>M000864.WAV</t>
  </si>
  <si>
    <t>Dbx3QeWPU4eD1Z0sIrtmKQ==</t>
  </si>
  <si>
    <t>M000865.WAV</t>
  </si>
  <si>
    <t>UzMf+lz0mwKUWx8dkgBL7g==</t>
  </si>
  <si>
    <t>M000866.WAV</t>
  </si>
  <si>
    <t>U+pcahtHEuznTty+xKajkw==</t>
  </si>
  <si>
    <t>M000867.WAV</t>
  </si>
  <si>
    <t>NLaFlKCkv39PibnAdHsXRw==</t>
  </si>
  <si>
    <t>M000868.WAV</t>
  </si>
  <si>
    <t>KrpRANQhBqZgd+swOBJa8A==</t>
  </si>
  <si>
    <t>M000869.WAV</t>
  </si>
  <si>
    <t>HJZjFr8EOpXgzSZ1+UaEdw==</t>
  </si>
  <si>
    <t>M000870.WAV</t>
  </si>
  <si>
    <t>G9mQ4ZL2DSnf+ldJADjYaQ==</t>
  </si>
  <si>
    <t>M000871.WAV</t>
  </si>
  <si>
    <t>+IEl2CphBBOqQruDMuysQA==</t>
  </si>
  <si>
    <t>M000872.WAV</t>
  </si>
  <si>
    <t>h1IIBjPEoCx6dYAlQS7pDA==</t>
  </si>
  <si>
    <t>M000873.WAV</t>
  </si>
  <si>
    <t>RJqKQ+vjcS5f9EgmB2o/yg==</t>
  </si>
  <si>
    <t>M000874.WAV</t>
  </si>
  <si>
    <t>VNwEiCIm8LCHRi+DQ8XiLA==</t>
  </si>
  <si>
    <t>M000875.WAV</t>
  </si>
  <si>
    <t>o+N1cq1kHFdQhdyxZ1uDxQ==</t>
  </si>
  <si>
    <t>M000876.WAV</t>
  </si>
  <si>
    <t>5EIjwi2+frWClGuhVXIhGQ==</t>
  </si>
  <si>
    <t>M000877.WAV</t>
  </si>
  <si>
    <t>rD5Y/islcump62rOOWIYyQ==</t>
  </si>
  <si>
    <t>M000878.WAV</t>
  </si>
  <si>
    <t>9H6+Tw6i1KqMCdYkAzZk/A==</t>
  </si>
  <si>
    <t>M000879.WAV</t>
  </si>
  <si>
    <t>5ESKZB6G3vu2CEmvR0Ub9A==</t>
  </si>
  <si>
    <t>M000880.WAV</t>
  </si>
  <si>
    <t>2Aan4Fw+7yduV/gzYHe2fg==</t>
  </si>
  <si>
    <t>M000881.WAV</t>
  </si>
  <si>
    <t>zIAr9iWLWZ8zuE0eygoxVQ==</t>
  </si>
  <si>
    <t>M000882.WAV</t>
  </si>
  <si>
    <t>Of5zQ83D4L1yv72HSXeiWg==</t>
  </si>
  <si>
    <t>M000883.WAV</t>
  </si>
  <si>
    <t>cXjtlIFXyJIbtaBzWk8qdw==</t>
  </si>
  <si>
    <t>M000884.WAV</t>
  </si>
  <si>
    <t>ukabk4M3y2VsMNG4Ot/42A==</t>
  </si>
  <si>
    <t>M000885.WAV</t>
  </si>
  <si>
    <t>vGxVxDvCFIQ2mmqoR0j+mw==</t>
  </si>
  <si>
    <t>M000886.WAV</t>
  </si>
  <si>
    <t>tsReOMXPgrAiqPoKlqiVBA==</t>
  </si>
  <si>
    <t>M000887.WAV</t>
  </si>
  <si>
    <t>5bGPNCX+hmkumWGNJaafxA==</t>
  </si>
  <si>
    <t>M000888.WAV</t>
  </si>
  <si>
    <t>vZuE5Ut/I8nkWkL/ATtbDg==</t>
  </si>
  <si>
    <t>M000889.WAV</t>
  </si>
  <si>
    <t>mercXFtuAoiXpxauHL2S5A==</t>
  </si>
  <si>
    <t>M000890.WAV</t>
  </si>
  <si>
    <t>rK3V88A7jTyTzb1KkXRyrw==</t>
  </si>
  <si>
    <t>M000891.WAV</t>
  </si>
  <si>
    <t>31jp6VimORLk8m+Jqm2tFA==</t>
  </si>
  <si>
    <t>M000892.WAV</t>
  </si>
  <si>
    <t>oYwFy100RMJrLJYtr8WFdQ==</t>
  </si>
  <si>
    <t>M000893.WAV</t>
  </si>
  <si>
    <t>t9ip0z/SvP0jPOWx030uZQ==</t>
  </si>
  <si>
    <t>M000894.WAV</t>
  </si>
  <si>
    <t>AZr7MBtmhoJonujz1kF03w==</t>
  </si>
  <si>
    <t>M000895.WAV</t>
  </si>
  <si>
    <t>ETTzSZbP8HvXFjy8AqUjOA==</t>
  </si>
  <si>
    <t>M000896.WAV</t>
  </si>
  <si>
    <t>0+nGhLCVJtbA8fVjHvq53g==</t>
  </si>
  <si>
    <t>M000897.WAV</t>
  </si>
  <si>
    <t>B90d8ArbPj2DhWdNQsJbng==</t>
  </si>
  <si>
    <t>M000898.WAV</t>
  </si>
  <si>
    <t>4D0cMxKBoSkuJT+f743UvQ==</t>
  </si>
  <si>
    <t>M000899.WAV</t>
  </si>
  <si>
    <t>tg+GHnVZzPwk0hUCl+6gwQ==</t>
  </si>
  <si>
    <t>M000900.WAV</t>
  </si>
  <si>
    <t>FQihhluP/EkSxsB3QTQpzg==</t>
  </si>
  <si>
    <t>M000901.WAV</t>
  </si>
  <si>
    <t>x4mHp7pC+jmVfo8ipwP4KA==</t>
  </si>
  <si>
    <t>M000902.WAV</t>
  </si>
  <si>
    <t>P6lPXrwkdEwhZTT6waThIg==</t>
  </si>
  <si>
    <t>M000903.WAV</t>
  </si>
  <si>
    <t>3YcQC+QUoSvmowpZW4TWTA==</t>
  </si>
  <si>
    <t>M000904.WAV</t>
  </si>
  <si>
    <t>txnWuLfCY+fgr2mGqlXJZg==</t>
  </si>
  <si>
    <t>M000905.WAV</t>
  </si>
  <si>
    <t>xeUWHlXppArYX3KNvUbfeQ==</t>
  </si>
  <si>
    <t>M000906.WAV</t>
  </si>
  <si>
    <t>G3kPcT+44qJYwHb25jHhVQ==</t>
  </si>
  <si>
    <t>M000907.WAV</t>
  </si>
  <si>
    <t>GaWw2/ECx4jKz7QPGXB17Q==</t>
  </si>
  <si>
    <t>M000908.WAV</t>
  </si>
  <si>
    <t>8kvQjlhN+a6Ruq3/vIjgyw==</t>
  </si>
  <si>
    <t>M000909.WAV</t>
  </si>
  <si>
    <t>CwtSeIDyspgs3ZLeYVOPsw==</t>
  </si>
  <si>
    <t>M000910.WAV</t>
  </si>
  <si>
    <t>YVJhH6jlFupvfLDlgWjYAA==</t>
  </si>
  <si>
    <t>M000911.WAV</t>
  </si>
  <si>
    <t>MWlG88OBPd0XaT5JTUhLdA==</t>
  </si>
  <si>
    <t>M000912.WAV</t>
  </si>
  <si>
    <t>ud04vyAR6Cv2DESo7spVLw==</t>
  </si>
  <si>
    <t>M000913.WAV</t>
  </si>
  <si>
    <t>KWFPnWACDw1/vhttcs1rjA==</t>
  </si>
  <si>
    <t>M000914.WAV</t>
  </si>
  <si>
    <t>P986IgGVG7rVAMSACJs2Xw==</t>
  </si>
  <si>
    <t>M000915.WAV</t>
  </si>
  <si>
    <t>OXKFQ3I1Ztv+NOC2W+83JQ==</t>
  </si>
  <si>
    <t>M000916.WAV</t>
  </si>
  <si>
    <t>4bYe6EoByr9YlSfDAHFqXA==</t>
  </si>
  <si>
    <t>M000917.WAV</t>
  </si>
  <si>
    <t>pfI3UxmswGGraMa+q61MeA==</t>
  </si>
  <si>
    <t>M000918.WAV</t>
  </si>
  <si>
    <t>kg04iffKuVxhYpaodrhq0Q==</t>
  </si>
  <si>
    <t>M000919.WAV</t>
  </si>
  <si>
    <t>NL1vLnwhHJ4YwDrcGlOAWg==</t>
  </si>
  <si>
    <t>M000920.WAV</t>
  </si>
  <si>
    <t>idWixG0Z5tshT4ZWwOc9gw==</t>
  </si>
  <si>
    <t>M000921.WAV</t>
  </si>
  <si>
    <t>YQOX3FsrbVR8l7QA4Vtv2g==</t>
  </si>
  <si>
    <t>M000922.WAV</t>
  </si>
  <si>
    <t>+NugTAsIgQsip8P9Vtw3FQ==</t>
  </si>
  <si>
    <t>M000923.WAV</t>
  </si>
  <si>
    <t>kl1n4cQCUCqk/RXSD32fBw==</t>
  </si>
  <si>
    <t>M000924.WAV</t>
  </si>
  <si>
    <t>MOjBXYhkUomadkz20nDNIQ==</t>
  </si>
  <si>
    <t>M000925.WAV</t>
  </si>
  <si>
    <t>83JLhd73AyewCDXJv3hbvw==</t>
  </si>
  <si>
    <t>M000926.WAV</t>
  </si>
  <si>
    <t>8SGVQLdMLu2CQDpmzsCCjg==</t>
  </si>
  <si>
    <t>M000927.WAV</t>
  </si>
  <si>
    <t>PdQjMnzSFLUxC81wwA/pbQ==</t>
  </si>
  <si>
    <t>M000928.WAV</t>
  </si>
  <si>
    <t>z6z/1eR11go3NNlbV0DjeQ==</t>
  </si>
  <si>
    <t>M000929.WAV</t>
  </si>
  <si>
    <t>6THZnHa4scqO7pj/sVvx9Q==</t>
  </si>
  <si>
    <t>M000930.WAV</t>
  </si>
  <si>
    <t>Lq57hWiIRopP8SOljXdzOQ==</t>
  </si>
  <si>
    <t>M000931.WAV</t>
  </si>
  <si>
    <t>SAsZCYMMz2PySo2m6f/whw==</t>
  </si>
  <si>
    <t>M000932.WAV</t>
  </si>
  <si>
    <t>AqctgZUYkVUDLUTmk+fRPQ==</t>
  </si>
  <si>
    <t>M000933.WAV</t>
  </si>
  <si>
    <t>YqVP19Ukegm/MloyVf/AYg==</t>
  </si>
  <si>
    <t>M000934.WAV</t>
  </si>
  <si>
    <t>9mjMyGTFczaX/elkG1AURw==</t>
  </si>
  <si>
    <t>M000935.WAV</t>
  </si>
  <si>
    <t>iXCZIbm0PISwll6IozL7zA==</t>
  </si>
  <si>
    <t>M000936.WAV</t>
  </si>
  <si>
    <t>w4LOuVW1TTisIKf6/LyTqA==</t>
  </si>
  <si>
    <t>M000937.WAV</t>
  </si>
  <si>
    <t>G5ztft6j3oYLajq2Eu1Q5Q==</t>
  </si>
  <si>
    <t>M000938.WAV</t>
  </si>
  <si>
    <t>iiVpldb+fSF8aAI25htQXw==</t>
  </si>
  <si>
    <t>M000939.WAV</t>
  </si>
  <si>
    <t>0Xaq1hTzTWIx1F3eoc+QXA==</t>
  </si>
  <si>
    <t>M000940.WAV</t>
  </si>
  <si>
    <t>qphjihpKoVxx10VG94VnUA==</t>
  </si>
  <si>
    <t>M000941.WAV</t>
  </si>
  <si>
    <t>MHxg5yq9XeUnLampmF4KPQ==</t>
  </si>
  <si>
    <t>M000942.WAV</t>
  </si>
  <si>
    <t>MAKyxnaMYmkW2alh2BaSOQ==</t>
  </si>
  <si>
    <t>M000943.WAV</t>
  </si>
  <si>
    <t>mRZR3R8RFLcCUVuDedj8WA==</t>
  </si>
  <si>
    <t>M000944.WAV</t>
  </si>
  <si>
    <t>xbbuG/ChYdMxDCltq7EreQ==</t>
  </si>
  <si>
    <t>M000945.WAV</t>
  </si>
  <si>
    <t>oMkbodTACy/9XPmZ6MDFKg==</t>
  </si>
  <si>
    <t>M000946.WAV</t>
  </si>
  <si>
    <t>YcKsXh2r/EOOH2SgacdQkQ==</t>
  </si>
  <si>
    <t>M000947.WAV</t>
  </si>
  <si>
    <t>dE+WfDiC0iTZTtaCtFL3oA==</t>
  </si>
  <si>
    <t>M000948.WAV</t>
  </si>
  <si>
    <t>jLdOEC4yst2JXNfBc3SX/g==</t>
  </si>
  <si>
    <t>M000949.WAV</t>
  </si>
  <si>
    <t>EsuFKoAenmFuZzixKf2TKQ==</t>
  </si>
  <si>
    <t>M000950.WAV</t>
  </si>
  <si>
    <t>OpUbqRZhxtsbgRGoLf+zSw==</t>
  </si>
  <si>
    <t>M000951.WAV</t>
  </si>
  <si>
    <t>eQP3XDl3r4PP5TI2w2j0WA==</t>
  </si>
  <si>
    <t>M000952.WAV</t>
  </si>
  <si>
    <t>DgdUTq3uGez6P7ypm+Ba2w==</t>
  </si>
  <si>
    <t>M000953.WAV</t>
  </si>
  <si>
    <t>C3G0XVICj2/LzdY98klH7w==</t>
  </si>
  <si>
    <t>M000954.WAV</t>
  </si>
  <si>
    <t>kgv2bh0fNntU5xCWYyvw4w==</t>
  </si>
  <si>
    <t>M000955.WAV</t>
  </si>
  <si>
    <t>vRnraFnsFHS1Pcn/mz5XSQ==</t>
  </si>
  <si>
    <t>M000956.WAV</t>
  </si>
  <si>
    <t>kf3rQMY/lhVg/2emxcSz8g==</t>
  </si>
  <si>
    <t>M000957.WAV</t>
  </si>
  <si>
    <t>qkvkytOiC15LsgUZs+2gdQ==</t>
  </si>
  <si>
    <t>M000958.WAV</t>
  </si>
  <si>
    <t>ICUhxI906PLtIwnX1FQjYg==</t>
  </si>
  <si>
    <t>M000959.WAV</t>
  </si>
  <si>
    <t>JgRGFOG15QzmccdrEHaH/A==</t>
  </si>
  <si>
    <t>M000960.WAV</t>
  </si>
  <si>
    <t>pfx07Gw1dtqciqN0meys3g==</t>
  </si>
  <si>
    <t>M000961.WAV</t>
  </si>
  <si>
    <t>TG7Hrba5H0P7SQIuKYjffw==</t>
  </si>
  <si>
    <t>M000962.WAV</t>
  </si>
  <si>
    <t>G2LD/PY1HJHtTd/F16jq1w==</t>
  </si>
  <si>
    <t>M000963.WAV</t>
  </si>
  <si>
    <t>/ix1s2EVlYPKq09u/F2SAA==</t>
  </si>
  <si>
    <t>M000964.WAV</t>
  </si>
  <si>
    <t>RQM1LLHn/9TBQdcL5YChhw==</t>
  </si>
  <si>
    <t>M000965.WAV</t>
  </si>
  <si>
    <t>VRorOgVUxuPeH4/czIyUAQ==</t>
  </si>
  <si>
    <t>M000966.WAV</t>
  </si>
  <si>
    <t>ISzhGtWTTo3ZAM46Rkqi3A==</t>
  </si>
  <si>
    <t>M000967.WAV</t>
  </si>
  <si>
    <t>YtuPLYmD3YiInLthD6ysIw==</t>
  </si>
  <si>
    <t>M000968.WAV</t>
  </si>
  <si>
    <t>zrF1MELmcasOCifCRVo7lQ==</t>
  </si>
  <si>
    <t>M000969.WAV</t>
  </si>
  <si>
    <t>gganIqU+aZEC/mXgZVBUWg==</t>
  </si>
  <si>
    <t>M000970.WAV</t>
  </si>
  <si>
    <t>aYl1Fd0Q315/xyfCVY3cJA==</t>
  </si>
  <si>
    <t>M000971.WAV</t>
  </si>
  <si>
    <t>KMSlePOIkeLiisEfkMJwgQ==</t>
  </si>
  <si>
    <t>M000972.WAV</t>
  </si>
  <si>
    <t>NENRR95AF75ftF9EBaVJ1Q==</t>
  </si>
  <si>
    <t>M000973.WAV</t>
  </si>
  <si>
    <t>KnEaQQsjU9tNGqASPrqcew==</t>
  </si>
  <si>
    <t>M000974.WAV</t>
  </si>
  <si>
    <t>YYAU59LGmrWGHAupJ2vYjA==</t>
  </si>
  <si>
    <t>M000975.WAV</t>
  </si>
  <si>
    <t>mrfnAdY9vokYRX8khUnLKw==</t>
  </si>
  <si>
    <t>M000976.WAV</t>
  </si>
  <si>
    <t>+j5c75Mo05lTtdPSPeVO9g==</t>
  </si>
  <si>
    <t>M000977.WAV</t>
  </si>
  <si>
    <t>N6BOWfmtamASn1gF0ggJ5g==</t>
  </si>
  <si>
    <t>M000978.WAV</t>
  </si>
  <si>
    <t>Z5NzXTB4g0Ts44inj0lKPQ==</t>
  </si>
  <si>
    <t>M000979.WAV</t>
  </si>
  <si>
    <t>lMo1lHgFqH4l2FRYN8nZ0g==</t>
  </si>
  <si>
    <t>M000980.WAV</t>
  </si>
  <si>
    <t>0ZTb3yuqHJkPu8mKRNi3vg==</t>
  </si>
  <si>
    <t>M000981.WAV</t>
  </si>
  <si>
    <t>7jQL+Et3o1WAi+5SyCyFgg==</t>
  </si>
  <si>
    <t>M000982.WAV</t>
  </si>
  <si>
    <t>zlMy0hydXn8/kA9Nx6hrLQ==</t>
  </si>
  <si>
    <t>M000983.WAV</t>
  </si>
  <si>
    <t>1D9lM+Hu72237cjtz36XZg==</t>
  </si>
  <si>
    <t>M000984.WAV</t>
  </si>
  <si>
    <t>BoqbpMUDF/mgtYVgSAtl9A==</t>
  </si>
  <si>
    <t>M000985.WAV</t>
  </si>
  <si>
    <t>/O3W2nyMO7UjLBZHIVy6wA==</t>
  </si>
  <si>
    <t>M000986.WAV</t>
  </si>
  <si>
    <t>Jxc/4I/T9Huiq8+mQIEqJQ==</t>
  </si>
  <si>
    <t>M000987.WAV</t>
  </si>
  <si>
    <t>KwC5CjSxeMEsJZoZPGbfxA==</t>
  </si>
  <si>
    <t>M000988.WAV</t>
  </si>
  <si>
    <t>OwNthy4M70p607SpAq3Lhg==</t>
  </si>
  <si>
    <t>M000989.WAV</t>
  </si>
  <si>
    <t>W/EbsZTqENqka2hRkRr4tw==</t>
  </si>
  <si>
    <t>M000990.WAV</t>
  </si>
  <si>
    <t>U5T153SI19+WsGc5vj6M4Q==</t>
  </si>
  <si>
    <t>M000991.WAV</t>
  </si>
  <si>
    <t>sllQS8QOsZxh2idsWjW6Rw==</t>
  </si>
  <si>
    <t>M000992.WAV</t>
  </si>
  <si>
    <t>EQVGpkTEY5+1AQ4Nx5qBfg==</t>
  </si>
  <si>
    <t>M000993.WAV</t>
  </si>
  <si>
    <t>s53okdmJzVGPIWh600eoig==</t>
  </si>
  <si>
    <t>M000994.WAV</t>
  </si>
  <si>
    <t>IXxXt/DK3/mY4HaQRE/+6g==</t>
  </si>
  <si>
    <t>M000995.WAV</t>
  </si>
  <si>
    <t>9+SlWupAHJjKRT0Ev+meKw==</t>
  </si>
  <si>
    <t>M000996.WAV</t>
  </si>
  <si>
    <t>j7DFXwYY1LNRyPZeYPgOAA==</t>
  </si>
  <si>
    <t>M000997.WAV</t>
  </si>
  <si>
    <t>+fkKP1QbEO2Y7+AsGO51Aw==</t>
  </si>
  <si>
    <t>M000998.WAV</t>
  </si>
  <si>
    <t>zRAsp3NyxmIHAvckKxnA+Q==</t>
  </si>
  <si>
    <t>M000999.WAV</t>
  </si>
  <si>
    <t>3vnu7hR5K4burrCcU1W9pw==</t>
  </si>
  <si>
    <t>M001000.WAV</t>
  </si>
  <si>
    <t>wBE/Z/QI+q3fFQ/0Rb8PSQ==</t>
  </si>
  <si>
    <t>M001001.WAV</t>
  </si>
  <si>
    <t>wBOsrvZzcQGEYOh2S9V2LQ==</t>
  </si>
  <si>
    <t>M001002.WAV</t>
  </si>
  <si>
    <t>Y+2dTbzorVrM2bJNi2qgLw==</t>
  </si>
  <si>
    <t>M001003.WAV</t>
  </si>
  <si>
    <t>uC/y8+XBUXqmlOx6n3wAAw==</t>
  </si>
  <si>
    <t>M001004.WAV</t>
  </si>
  <si>
    <t>kjpd7U/4Noo2pFHIdFaYaQ==</t>
  </si>
  <si>
    <t>M001005.WAV</t>
  </si>
  <si>
    <t>qREuRtTKx1NrNAwru2G53g==</t>
  </si>
  <si>
    <t>M001006.WAV</t>
  </si>
  <si>
    <t>KHHsEJfxzRGnhFmg7ij2eg==</t>
  </si>
  <si>
    <t>M001007.WAV</t>
  </si>
  <si>
    <t>ht6Zw/faX7VFVyp1SgSMEA==</t>
  </si>
  <si>
    <t>M001008.WAV</t>
  </si>
  <si>
    <t>kCPjKAMzBY5/2A3lvSGOgA==</t>
  </si>
  <si>
    <t>M001009.WAV</t>
  </si>
  <si>
    <t>cWfHwqsr62+KzUKtPyykKA==</t>
  </si>
  <si>
    <t>M001010.WAV</t>
  </si>
  <si>
    <t>gkoAO5kXfJbim6/3SmbRyg==</t>
  </si>
  <si>
    <t>M001011.WAV</t>
  </si>
  <si>
    <t>TFqjqCwlcZPK3k4433srCg==</t>
  </si>
  <si>
    <t>M001012.WAV</t>
  </si>
  <si>
    <t>HbHb5zZZtjCE2P0wwfz2Sg==</t>
  </si>
  <si>
    <t>M001013.WAV</t>
  </si>
  <si>
    <t>MUe8j7YxzRGwW1M93D/dRA==</t>
  </si>
  <si>
    <t>M001014.WAV</t>
  </si>
  <si>
    <t>tmse2GjJ0KHVQiz5LVTeIw==</t>
  </si>
  <si>
    <t>M001015.WAV</t>
  </si>
  <si>
    <t>19U2wA1omp+5FlG7GYSf9A==</t>
  </si>
  <si>
    <t>M001016.WAV</t>
  </si>
  <si>
    <t>q8kb1g4M7L5I/s0AxRd1zw==</t>
  </si>
  <si>
    <t>M001017.WAV</t>
  </si>
  <si>
    <t>AwRpfRxfliW9lVgT4rwwZA==</t>
  </si>
  <si>
    <t>M001018.WAV</t>
  </si>
  <si>
    <t>cIN457Jl2QMv4id9MgWQZQ==</t>
  </si>
  <si>
    <t>M001019.WAV</t>
  </si>
  <si>
    <t>We8i6lJRBT4oRl/Mrc2M+g==</t>
  </si>
  <si>
    <t>M001020.WAV</t>
  </si>
  <si>
    <t>ohB2U7WQ3cmuH+kkMew8NA==</t>
  </si>
  <si>
    <t>M001021.WAV</t>
  </si>
  <si>
    <t>47WmNxJ6GCe78ResHEr/dA==</t>
  </si>
  <si>
    <t>M001022.WAV</t>
  </si>
  <si>
    <t>toIX5nkekMNRkj0Pz9fweg==</t>
  </si>
  <si>
    <t>M001023.WAV</t>
  </si>
  <si>
    <t>bjMmJYP52TKf/i/grNaLHA==</t>
  </si>
  <si>
    <t>M001024.WAV</t>
  </si>
  <si>
    <t>W472Rz46EbeGt9G8ISYo5Q==</t>
  </si>
  <si>
    <t>M001025.WAV</t>
  </si>
  <si>
    <t>zy2Xl8z9wV9SlxQeD5wxcg==</t>
  </si>
  <si>
    <t>M001026.WAV</t>
  </si>
  <si>
    <t>L5LzXzfuyRBlCZsDJZ2BUw==</t>
  </si>
  <si>
    <t>M001027.WAV</t>
  </si>
  <si>
    <t>jS/AM6rFtudmuyz+dqnI8w==</t>
  </si>
  <si>
    <t>M001028.WAV</t>
  </si>
  <si>
    <t>wtcwi/yAMXOVbJBTwbrrSQ==</t>
  </si>
  <si>
    <t>M001029.WAV</t>
  </si>
  <si>
    <t>yWZ6RFO7xbff+DD/5/MRfg==</t>
  </si>
  <si>
    <t>M001030.WAV</t>
  </si>
  <si>
    <t>9wbxrQFcBYFt7iAdFkDrWQ==</t>
  </si>
  <si>
    <t>M001031.WAV</t>
  </si>
  <si>
    <t>bvszwAzR4VdLXSmqaqAfYQ==</t>
  </si>
  <si>
    <t>M001032.WAV</t>
  </si>
  <si>
    <t>Mkc3A4U6A+GY2BAvET7IUQ==</t>
  </si>
  <si>
    <t>M001033.WAV</t>
  </si>
  <si>
    <t>+ILM2D3nYvMwpEJpzSFfvA==</t>
  </si>
  <si>
    <t>M001034.WAV</t>
  </si>
  <si>
    <t>jcIzl6cbKf8rELx74Viq6A==</t>
  </si>
  <si>
    <t>M001035.WAV</t>
  </si>
  <si>
    <t>xizhw2zBrzN2B9XtnsRAqg==</t>
  </si>
  <si>
    <t>M001036.WAV</t>
  </si>
  <si>
    <t>JTd6+lEufd9BuTWI5x8X9Q==</t>
  </si>
  <si>
    <t>M001037.WAV</t>
  </si>
  <si>
    <t>U6RjuIzryzkpU9zNzHax8g==</t>
  </si>
  <si>
    <t>M001038.WAV</t>
  </si>
  <si>
    <t>Wt/jMl0dg2h5x6gXIZYPyQ==</t>
  </si>
  <si>
    <t>M001039.WAV</t>
  </si>
  <si>
    <t>SFj2wrog7l4h1rrm7f6NIA==</t>
  </si>
  <si>
    <t>M001040.WAV</t>
  </si>
  <si>
    <t>wK0gO8F283KXi6g8XusnfA==</t>
  </si>
  <si>
    <t>M001041.WAV</t>
  </si>
  <si>
    <t>/h5v5lTy3o/1DH0SJzHcig==</t>
  </si>
  <si>
    <t>M001042.WAV</t>
  </si>
  <si>
    <t>ODVm7yeGW5HJL/PLoyd1RA==</t>
  </si>
  <si>
    <t>M001043.WAV</t>
  </si>
  <si>
    <t>cGNu7N2qvn+gyOMUDc1ONw==</t>
  </si>
  <si>
    <t>M001044.WAV</t>
  </si>
  <si>
    <t>bNz27il4EevxoVmbLibe+w==</t>
  </si>
  <si>
    <t>M001045.WAV</t>
  </si>
  <si>
    <t>S0Kf4w6JyMNd1+/bGzZPdQ==</t>
  </si>
  <si>
    <t>M001046.WAV</t>
  </si>
  <si>
    <t>YjaumXmfugLbYD8OYAfvmQ==</t>
  </si>
  <si>
    <t>M001047.WAV</t>
  </si>
  <si>
    <t>urnKqGmI/SlK3prUktqWHg==</t>
  </si>
  <si>
    <t>M001048.WAV</t>
  </si>
  <si>
    <t>gPJTJwYeGmvShGnyPZqEPw==</t>
  </si>
  <si>
    <t>M001049.WAV</t>
  </si>
  <si>
    <t>H2uftUm55Ey2vKJ7wPmmmg==</t>
  </si>
  <si>
    <t>M001050.WAV</t>
  </si>
  <si>
    <t>1OvnaVaQoeSoC4NCyYuowA==</t>
  </si>
  <si>
    <t>M001051.WAV</t>
  </si>
  <si>
    <t>VhgFSYwY9jcpyfVLHxMP+A==</t>
  </si>
  <si>
    <t>M001052.WAV</t>
  </si>
  <si>
    <t>FXqiLmkUXY+Sl7RBQELGEA==</t>
  </si>
  <si>
    <t>M001053.WAV</t>
  </si>
  <si>
    <t>0.497383</t>
  </si>
  <si>
    <t>rHibWvQ977dStjQ6yRxbIA==</t>
  </si>
  <si>
    <t>M001054.WAV</t>
  </si>
  <si>
    <t>0.843625</t>
  </si>
  <si>
    <t>6e7anqShAIfev7FGZx2m9g==</t>
  </si>
  <si>
    <t>M001055.WAV</t>
  </si>
  <si>
    <t>0.906062</t>
  </si>
  <si>
    <t>YHc2tz2X0FEvFRFhNsUR/A==</t>
  </si>
  <si>
    <t>M001056.WAV</t>
  </si>
  <si>
    <t>513nI59Mo86YLk0hwIDIXw==</t>
  </si>
  <si>
    <t>M001057.WAV</t>
  </si>
  <si>
    <t>VcaHkUYFE1jWiEMxx5CA9w==</t>
  </si>
  <si>
    <t>M001058.WAV</t>
  </si>
  <si>
    <t>bDRpi4FomvhKdAObYxdRzA==</t>
  </si>
  <si>
    <t>M001059.WAV</t>
  </si>
  <si>
    <t>hI0BZm9JhVcMKJqHEZanfg==</t>
  </si>
  <si>
    <t>M001060.WAV</t>
  </si>
  <si>
    <t>iRrkw3sH8PIzQ793CUqZ8A==</t>
  </si>
  <si>
    <t>M001061.WAV</t>
  </si>
  <si>
    <t>8jmuvfpq8zcTHqVRyUq7lA==</t>
  </si>
  <si>
    <t>M001062.WAV</t>
  </si>
  <si>
    <t>m+ZJHztnKJ4Ga+Wyz4INWg==</t>
  </si>
  <si>
    <t>M001063.WAV</t>
  </si>
  <si>
    <t>wje/Lti42wkDi7xhGt6S7Q==</t>
  </si>
  <si>
    <t>M001064.WAV</t>
  </si>
  <si>
    <t>rSW4Ect4dBl8s1+dZ7stvw==</t>
  </si>
  <si>
    <t>M001065.WAV</t>
  </si>
  <si>
    <t>FNUIeBnso50DzgTletLJZA==</t>
  </si>
  <si>
    <t>M001066.WAV</t>
  </si>
  <si>
    <t>hvARnXIgcPjTRDfl5p0U4w==</t>
  </si>
  <si>
    <t>M001067.WAV</t>
  </si>
  <si>
    <t>AUQcZaIa3teAX2j3yk8frQ==</t>
  </si>
  <si>
    <t>M001068.WAV</t>
  </si>
  <si>
    <t>9qgv9/HVOoVQHa8IfOVRxg==</t>
  </si>
  <si>
    <t>M001069.WAV</t>
  </si>
  <si>
    <t>rd7n+HV7ZBa1hAwQw/TqTQ==</t>
  </si>
  <si>
    <t>M001070.WAV</t>
  </si>
  <si>
    <t>fRihBrkNPzZoNK9jwSfrQw==</t>
  </si>
  <si>
    <t>M001071.WAV</t>
  </si>
  <si>
    <t>oeXpi+v5zC44GTbbO/50gQ==</t>
  </si>
  <si>
    <t>M001072.WAV</t>
  </si>
  <si>
    <t>U09dkh+gioFrYmN4dd7XlQ==</t>
  </si>
  <si>
    <t>M001073.WAV</t>
  </si>
  <si>
    <t>amf8Sz4Dz09fQcTFAOxC9A==</t>
  </si>
  <si>
    <t>M001074.WAV</t>
  </si>
  <si>
    <t>AI1EL5vGW6GaskWPoAlZ7A==</t>
  </si>
  <si>
    <t>M001075.WAV</t>
  </si>
  <si>
    <t>LIWS/xc8Tut5ihdl9xnU6Q==</t>
  </si>
  <si>
    <t>M001076.WAV</t>
  </si>
  <si>
    <t>RIIuQ05PNMcyxCo/txvD3Q==</t>
  </si>
  <si>
    <t>M001077.WAV</t>
  </si>
  <si>
    <t>tUxVbnGJ6mvlNtC7qeYmgA==</t>
  </si>
  <si>
    <t>M001078.WAV</t>
  </si>
  <si>
    <t>yBarEwnU0bdr9svZLZcKwQ==</t>
  </si>
  <si>
    <t>M001079.WAV</t>
  </si>
  <si>
    <t>OUrh/oNvBxMD8ACzTOm6WA==</t>
  </si>
  <si>
    <t>M001080.WAV</t>
  </si>
  <si>
    <t>sIRoX5Tq/cJWisVe6zWrJw==</t>
  </si>
  <si>
    <t>M001081.WAV</t>
  </si>
  <si>
    <t>hXjUUwlG6a9P0kQekun95w==</t>
  </si>
  <si>
    <t>M001082.WAV</t>
  </si>
  <si>
    <t>D8+zpACQADu71PptxCn8IQ==</t>
  </si>
  <si>
    <t>M001083.WAV</t>
  </si>
  <si>
    <t>j4uAfD+L37MzK2lKgQY5Gw==</t>
  </si>
  <si>
    <t>M001084.WAV</t>
  </si>
  <si>
    <t>hIDsKyBFdnx3sU/0wvdRsA==</t>
  </si>
  <si>
    <t>M001085.WAV</t>
  </si>
  <si>
    <t>JhHkew7Ya/KwoThGWyucCA==</t>
  </si>
  <si>
    <t>M001086.WAV</t>
  </si>
  <si>
    <t>ypyxHq6MGUPtaPfqD7hJFw==</t>
  </si>
  <si>
    <t>M001087.WAV</t>
  </si>
  <si>
    <t>hX16odvd8hj8fGCHtmCIqQ==</t>
  </si>
  <si>
    <t>M001088.WAV</t>
  </si>
  <si>
    <t>aFoboBPNZE0zisB8lRh5Og==</t>
  </si>
  <si>
    <t>M001089.WAV</t>
  </si>
  <si>
    <t>+4usziTbuoMOcIYf4uWg3A==</t>
  </si>
  <si>
    <t>M001090.WAV</t>
  </si>
  <si>
    <t>9FqZGjvmUX8/X2vb4OztTg==</t>
  </si>
  <si>
    <t>M001091.WAV</t>
  </si>
  <si>
    <t>NDpCSGPadRc5xCk+D+26Kw==</t>
  </si>
  <si>
    <t>M001092.WAV</t>
  </si>
  <si>
    <t>rg6//8XN2i59T5PgK6z53w==</t>
  </si>
  <si>
    <t>M001093.WAV</t>
  </si>
  <si>
    <t>bOaq1ArQnh5RCAq5jDPMxw==</t>
  </si>
  <si>
    <t>M001094.WAV</t>
  </si>
  <si>
    <t>+HwkLpK3bb1BCg4JFK5F7A==</t>
  </si>
  <si>
    <t>M001095.WAV</t>
  </si>
  <si>
    <t>u9KIVEiVZ6Dz3HLFDQ63Iw==</t>
  </si>
  <si>
    <t>M001096.WAV</t>
  </si>
  <si>
    <t>MZ6PYtIaGxDrPMWQqEfUkw==</t>
  </si>
  <si>
    <t>M001097.WAV</t>
  </si>
  <si>
    <t>yu7vhmNN4aq72nJ+RzCQGw==</t>
  </si>
  <si>
    <t>M001098.WAV</t>
  </si>
  <si>
    <t>XQMXY351qpZQcsuqxdjL0w==</t>
  </si>
  <si>
    <t>M001099.WAV</t>
  </si>
  <si>
    <t>GOvR5WX/A0fj0ypggw0ErQ==</t>
  </si>
  <si>
    <t>M001100.WAV</t>
  </si>
  <si>
    <t>f4gJvNjI1WuEDJRsfC3DUg==</t>
  </si>
  <si>
    <t>M001101.WAV</t>
  </si>
  <si>
    <t>hU2vCbMMrKAKLd+fkxXzyQ==</t>
  </si>
  <si>
    <t>M001102.WAV</t>
  </si>
  <si>
    <t>u+9AUxhg5pinSqANlDzyrw==</t>
  </si>
  <si>
    <t>M001103.WAV</t>
  </si>
  <si>
    <t>hMYtw4sGkrd6+125aou4NA==</t>
  </si>
  <si>
    <t>M001104.WAV</t>
  </si>
  <si>
    <t>ISRUbqhmAt71F4/2GY8nFQ==</t>
  </si>
  <si>
    <t>M001105.WAV</t>
  </si>
  <si>
    <t>oFH4haA+LzLBMjiC9YS8bw==</t>
  </si>
  <si>
    <t>M001106.WAV</t>
  </si>
  <si>
    <t>0KedQHGEVaNpQv+QR3qJ4w==</t>
  </si>
  <si>
    <t>M001107.WAV</t>
  </si>
  <si>
    <t>6CnYEP9krl/t1ElViGN2wQ==</t>
  </si>
  <si>
    <t>M001108.WAV</t>
  </si>
  <si>
    <t>5+hwoBNvXEKLBDs3l+EbLA==</t>
  </si>
  <si>
    <t>M001109.WAV</t>
  </si>
  <si>
    <t>oXmgB8pMqFejzCjZnAyv+Q==</t>
  </si>
  <si>
    <t>M001110.WAV</t>
  </si>
  <si>
    <t>yFEaQ42meTdXCIlR02TW0w==</t>
  </si>
  <si>
    <t>M001111.WAV</t>
  </si>
  <si>
    <t>w6R94ecfVcswZczNNe/Kqw==</t>
  </si>
  <si>
    <t>M001112.WAV</t>
  </si>
  <si>
    <t>HJlQXrlnc3ICKTBWENvVjw==</t>
  </si>
  <si>
    <t>M001113.WAV</t>
  </si>
  <si>
    <t>PWTXDdLWlgCy/FnJLSE+UA==</t>
  </si>
  <si>
    <t>M001114.WAV</t>
  </si>
  <si>
    <t>gAis2m5mpnI46naWzprzMQ==</t>
  </si>
  <si>
    <t>M001115.WAV</t>
  </si>
  <si>
    <t>81yjma+vtLJZ9cJCyLBw1g==</t>
  </si>
  <si>
    <t>M001116.WAV</t>
  </si>
  <si>
    <t>n6YRLAL6leG9tuEyWLbdvg==</t>
  </si>
  <si>
    <t>M001117.WAV</t>
  </si>
  <si>
    <t>5Qc+4EFyuMdYZCmnnW3WKw==</t>
  </si>
  <si>
    <t>M001118.WAV</t>
  </si>
  <si>
    <t>/WmuTv9twdYgAuC9opEpNA==</t>
  </si>
  <si>
    <t>M001119.WAV</t>
  </si>
  <si>
    <t>EhPSRguVKcAL0muPrJ8scQ==</t>
  </si>
  <si>
    <t>M001120.WAV</t>
  </si>
  <si>
    <t>03EDIHqTvDJd8vcdqHT6Jw==</t>
  </si>
  <si>
    <t>M001121.WAV</t>
  </si>
  <si>
    <t>JccAuW5rCztvbhf3BWz05g==</t>
  </si>
  <si>
    <t>M001122.WAV</t>
  </si>
  <si>
    <t>xHQDXNLZiLyZvI2LnzypXw==</t>
  </si>
  <si>
    <t>M001123.WAV</t>
  </si>
  <si>
    <t>6v8/NbIzoGAhqofnnv/beQ==</t>
  </si>
  <si>
    <t>M001124.WAV</t>
  </si>
  <si>
    <t>T+jzzLs3D7IHiiDskW+T5g==</t>
  </si>
  <si>
    <t>M001125.WAV</t>
  </si>
  <si>
    <t>nKkAZgsmWppV4QG9fxz1Ww==</t>
  </si>
  <si>
    <t>M001126.WAV</t>
  </si>
  <si>
    <t>SVZ7r2VcFISXZ+U8TtCyuA==</t>
  </si>
  <si>
    <t>M001127.WAV</t>
  </si>
  <si>
    <t>JE51GXTc+5OrhUixay6YHg==</t>
  </si>
  <si>
    <t>M001128.WAV</t>
  </si>
  <si>
    <t>U5qdAghnw1tdeqNalqT2tQ==</t>
  </si>
  <si>
    <t>M001129.WAV</t>
  </si>
  <si>
    <t>9ci51bux1jph9wlvQIO7DQ==</t>
  </si>
  <si>
    <t>M001130.WAV</t>
  </si>
  <si>
    <t>vj7IvfjmyiGuoJLzovod0g==</t>
  </si>
  <si>
    <t>M001131.WAV</t>
  </si>
  <si>
    <t>Rgy+Bgqb6tcyBTLGm4MMlg==</t>
  </si>
  <si>
    <t>M001132.WAV</t>
  </si>
  <si>
    <t>hFq6ZtjwpUfP3er1xknpsA==</t>
  </si>
  <si>
    <t>M001133.WAV</t>
  </si>
  <si>
    <t>lxEHX4nCyrsj5krVSPzhNg==</t>
  </si>
  <si>
    <t>M001134.WAV</t>
  </si>
  <si>
    <t>Ic5oVtOCJ04kjS3ZOosJAw==</t>
  </si>
  <si>
    <t>M001135.WAV</t>
  </si>
  <si>
    <t>H9aUbvTaXU3KjRJq/GKqEg==</t>
  </si>
  <si>
    <t>M001136.WAV</t>
  </si>
  <si>
    <t>zx1zeitOSOJLytPyBQBNWA==</t>
  </si>
  <si>
    <t>M001137.WAV</t>
  </si>
  <si>
    <t>bJlS34mwsMbZZrr8FV64kA==</t>
  </si>
  <si>
    <t>M001138.WAV</t>
  </si>
  <si>
    <t>DO7A6VI0RaVvUkJPOZ65jw==</t>
  </si>
  <si>
    <t>M001139.WAV</t>
  </si>
  <si>
    <t>G7FOS9Oek5E8+VdIYEWt1Q==</t>
  </si>
  <si>
    <t>M001140.WAV</t>
  </si>
  <si>
    <t>VkBifDe0JptKJ66EzcgFoA==</t>
  </si>
  <si>
    <t>M001141.WAV</t>
  </si>
  <si>
    <t>iALU5oovRGtCPHsyCFSoeA==</t>
  </si>
  <si>
    <t>M001142.WAV</t>
  </si>
  <si>
    <t>kqIZqRYjvehHDIxosfNNew==</t>
  </si>
  <si>
    <t>M001143.WAV</t>
  </si>
  <si>
    <t>/O5637RLcJ/l0gKsg61g5g==</t>
  </si>
  <si>
    <t>M001144.WAV</t>
  </si>
  <si>
    <t>UMvOSNeMIyqRWZh3fiqQBA==</t>
  </si>
  <si>
    <t>M001145.WAV</t>
  </si>
  <si>
    <t>EJGOMxMyu5S5hpAfREFLrg==</t>
  </si>
  <si>
    <t>M001146.WAV</t>
  </si>
  <si>
    <t>YvTJvjG71voAk1X0O/Fodw==</t>
  </si>
  <si>
    <t>M001147.WAV</t>
  </si>
  <si>
    <t>aAXpPSZUIrBJTTVhJwwuVA==</t>
  </si>
  <si>
    <t>M001148.WAV</t>
  </si>
  <si>
    <t>GVBQwv+j+Y7nvqlp3Cqz2A==</t>
  </si>
  <si>
    <t>M001149.WAV</t>
  </si>
  <si>
    <t>DDgccB5yiKt4+wF2Dci6BA==</t>
  </si>
  <si>
    <t>M001150.WAV</t>
  </si>
  <si>
    <t>vCOrDzMiNWCBcMkzn6D0Xw==</t>
  </si>
  <si>
    <t>M001151.WAV</t>
  </si>
  <si>
    <t>0EKDKvTCWM71z1CqNPp7yw==</t>
  </si>
  <si>
    <t>M001152.WAV</t>
  </si>
  <si>
    <t>S837TFG3DnGQPFhcleg7mQ==</t>
  </si>
  <si>
    <t>M001153.WAV</t>
  </si>
  <si>
    <t>+dJzmpIyNGgMcG7qwbDGiQ==</t>
  </si>
  <si>
    <t>M001154.WAV</t>
  </si>
  <si>
    <t>d9WRehNJMwVTCJnaEMoUlQ==</t>
  </si>
  <si>
    <t>M001155.WAV</t>
  </si>
  <si>
    <t>ZQXKkqkyOKxH3/2XuLfcdw==</t>
  </si>
  <si>
    <t>M001156.WAV</t>
  </si>
  <si>
    <t>b3p2TesB6EteMUmNESceOw==</t>
  </si>
  <si>
    <t>M001157.WAV</t>
  </si>
  <si>
    <t>bQHmi1cxzaqahHOygP/2pQ==</t>
  </si>
  <si>
    <t>M001158.WAV</t>
  </si>
  <si>
    <t>hlhQFbn/aVKgtYMdrQEXxg==</t>
  </si>
  <si>
    <t>M001159.WAV</t>
  </si>
  <si>
    <t>mXyYNclHnHBSTHM0ZvNKTQ==</t>
  </si>
  <si>
    <t>M001160.WAV</t>
  </si>
  <si>
    <t>8ylVqlf7vKl02MjjTyU9/g==</t>
  </si>
  <si>
    <t>M001161.WAV</t>
  </si>
  <si>
    <t>fBYjw47LlrSB+e1LOOUVVw==</t>
  </si>
  <si>
    <t>M001162.WAV</t>
  </si>
  <si>
    <t>DGF3hXEhyQoWtLXu4UyCHw==</t>
  </si>
  <si>
    <t>M001163.WAV</t>
  </si>
  <si>
    <t>Y0xaSxTxLSUQO6rRAMxNEA==</t>
  </si>
  <si>
    <t>M001164.WAV</t>
  </si>
  <si>
    <t>dhVI/yYIgVjiLA5cbu5y0A==</t>
  </si>
  <si>
    <t>M001165.WAV</t>
  </si>
  <si>
    <t>XRppMayVwxiuFLvIjGcBvA==</t>
  </si>
  <si>
    <t>M001166.WAV</t>
  </si>
  <si>
    <t>AWaoC1TqinQNSRGbGNlPpQ==</t>
  </si>
  <si>
    <t>M001167.WAV</t>
  </si>
  <si>
    <t>qSEgEGnUkpfWDmyXn1WF1g==</t>
  </si>
  <si>
    <t>M001168.WAV</t>
  </si>
  <si>
    <t>BFhgKSV1amvrJxJLdc5gSA==</t>
  </si>
  <si>
    <t>M001169.WAV</t>
  </si>
  <si>
    <t>PLEAUR</t>
  </si>
  <si>
    <t>PLEAUS</t>
  </si>
  <si>
    <t>0.668589</t>
  </si>
  <si>
    <t>HzlRNSqj8ko1aPAAWtYicw==</t>
  </si>
  <si>
    <t>M001170.WAV</t>
  </si>
  <si>
    <t>3TOG+l1SVksJYwKC3q4BGQ==</t>
  </si>
  <si>
    <t>M001171.WAV</t>
  </si>
  <si>
    <t>wVlLczMHKXZWY2dD4+PjCw==</t>
  </si>
  <si>
    <t>M001172.WAV</t>
  </si>
  <si>
    <t>8ef+LJBkf8GR0nHpRiUkUQ==</t>
  </si>
  <si>
    <t>M001173.WAV</t>
  </si>
  <si>
    <t>SIt+dTjdh0HxZj49rfDY2w==</t>
  </si>
  <si>
    <t>M001174.WAV</t>
  </si>
  <si>
    <t>BOtSiHxAfUv4iboRdfZtsA==</t>
  </si>
  <si>
    <t>M001175.WAV</t>
  </si>
  <si>
    <t>+2r+PZTdOeMzroX2g2G4WQ==</t>
  </si>
  <si>
    <t>M001176.WAV</t>
  </si>
  <si>
    <t>kV/kLWoIjINq+YsBNsZySA==</t>
  </si>
  <si>
    <t>M001177.WAV</t>
  </si>
  <si>
    <t>9XfLdFjDi94VfhCP7OH5HA==</t>
  </si>
  <si>
    <t>M001178.WAV</t>
  </si>
  <si>
    <t>xHmgz3GFuE+9R5xpNGfSYA==</t>
  </si>
  <si>
    <t>M001179.WAV</t>
  </si>
  <si>
    <t>hGqc2BvLo8HefrkKCP/owA==</t>
  </si>
  <si>
    <t>M001180.WAV</t>
  </si>
  <si>
    <t>jQH5VYSOwQNs484/CIJGOw==</t>
  </si>
  <si>
    <t>M001181.WAV</t>
  </si>
  <si>
    <t>uTbnI2MUY5DlyQBkTnfhnw==</t>
  </si>
  <si>
    <t>M001182.WAV</t>
  </si>
  <si>
    <t>oKJMRo2001Uex/SlFpHebg==</t>
  </si>
  <si>
    <t>M001183.WAV</t>
  </si>
  <si>
    <t>N7i3oNtlhs7q5X7KnyH/rw==</t>
  </si>
  <si>
    <t>M001184.WAV</t>
  </si>
  <si>
    <t>0rWsgKtbnu9I4C4lVkoSuA==</t>
  </si>
  <si>
    <t>M001185.WAV</t>
  </si>
  <si>
    <t>5DSTrdM9r7v2eqpD39iwvg==</t>
  </si>
  <si>
    <t>M001186.WAV</t>
  </si>
  <si>
    <t>K69zPuxdxHO/UDIU6DwBhw==</t>
  </si>
  <si>
    <t>M001187.WAV</t>
  </si>
  <si>
    <t>LWOKMI6W/7F7xXfqVGRyKA==</t>
  </si>
  <si>
    <t>M001188.WAV</t>
  </si>
  <si>
    <t>cqiZfcm8rAuIJAnm+wvGtA==</t>
  </si>
  <si>
    <t>M001189.WAV</t>
  </si>
  <si>
    <t>GAYM57p9OvJMChRwM4s9rw==</t>
  </si>
  <si>
    <t>M001190.WAV</t>
  </si>
  <si>
    <t>1bQgHL3pCKL8/anvV09R7Q==</t>
  </si>
  <si>
    <t>M001191.WAV</t>
  </si>
  <si>
    <t>wScqAB6RFtqSpShDtfULrQ==</t>
  </si>
  <si>
    <t>M001192.WAV</t>
  </si>
  <si>
    <t>554g7AEmn2nUku7WR28ooQ==</t>
  </si>
  <si>
    <t>M001193.WAV</t>
  </si>
  <si>
    <t>u7bX8nJq73n5Tk8illqKHA==</t>
  </si>
  <si>
    <t>M001194.WAV</t>
  </si>
  <si>
    <t>wj/0+QxPRI1KSwIaTqHR+Q==</t>
  </si>
  <si>
    <t>M001195.WAV</t>
  </si>
  <si>
    <t>mTrmoGqq+jol1gc8zzzKOw==</t>
  </si>
  <si>
    <t>M001196.WAV</t>
  </si>
  <si>
    <t>RM0eUaz+HB0Ba01XLwmojA==</t>
  </si>
  <si>
    <t>M001197.WAV</t>
  </si>
  <si>
    <t>g+OZ7s3sGij0QpkR3HmJXg==</t>
  </si>
  <si>
    <t>M001198.WAV</t>
  </si>
  <si>
    <t>H+dNYutduxFkdK+f/jmJBw==</t>
  </si>
  <si>
    <t>M001199.WAV</t>
  </si>
  <si>
    <t>9OOsAHtKNsAq524NUjRapw==</t>
  </si>
  <si>
    <t>M001200.WAV</t>
  </si>
  <si>
    <t>/18Fwhtr1/eNO/FZ/DBgRQ==</t>
  </si>
  <si>
    <t>M001201.WAV</t>
  </si>
  <si>
    <t>6TMRhme3Yuc72IoKya9OIg==</t>
  </si>
  <si>
    <t>M001202.WAV</t>
  </si>
  <si>
    <t>HfsgyExnQo2NKDt0yvrwcw==</t>
  </si>
  <si>
    <t>M001203.WAV</t>
  </si>
  <si>
    <t>Pu7tANSUkwsn5OlLWh4l7w==</t>
  </si>
  <si>
    <t>M001204.WAV</t>
  </si>
  <si>
    <t>NLhBhDgOV+wQ0WmKZ7di0g==</t>
  </si>
  <si>
    <t>M001205.WAV</t>
  </si>
  <si>
    <t>U6PNbkkxZPQV5L4vE6Kc6g==</t>
  </si>
  <si>
    <t>M001206.WAV</t>
  </si>
  <si>
    <t>yCS2o/kjF75pydMPzYT82Q==</t>
  </si>
  <si>
    <t>M001207.WAV</t>
  </si>
  <si>
    <t>KpgO75C7unu/ihbTviQ9LA==</t>
  </si>
  <si>
    <t>M001208.WAV</t>
  </si>
  <si>
    <t>KmHiE3vtFuzvO3I1bYIMGQ==</t>
  </si>
  <si>
    <t>M001209.WAV</t>
  </si>
  <si>
    <t>WptEwu1ZWr3KxSpP2yBQHw==</t>
  </si>
  <si>
    <t>M001210.WAV</t>
  </si>
  <si>
    <t>krokKA35KwQXy3hXhDOQFw==</t>
  </si>
  <si>
    <t>M001211.WAV</t>
  </si>
  <si>
    <t>nRzMVRpzCVEmyISOmbsmKQ==</t>
  </si>
  <si>
    <t>M001212.WAV</t>
  </si>
  <si>
    <t>VJFvWzWO2MjyLgzHc8+nXA==</t>
  </si>
  <si>
    <t>M001213.WAV</t>
  </si>
  <si>
    <t>qz9kEcIxKNaFbz3ls4TuRQ==</t>
  </si>
  <si>
    <t>M001214.WAV</t>
  </si>
  <si>
    <t>f3ylIzidfrJqK9Ri1HY4lA==</t>
  </si>
  <si>
    <t>M001215.WAV</t>
  </si>
  <si>
    <t>EubWcmyfISOZG/UliJdfdQ==</t>
  </si>
  <si>
    <t>M001216.WAV</t>
  </si>
  <si>
    <t>p14fXci8woDjmGJ2K74Mzg==</t>
  </si>
  <si>
    <t>M001217.WAV</t>
  </si>
  <si>
    <t>TcJklqYHmXItFLhpjkKLQA==</t>
  </si>
  <si>
    <t>M001218.WAV</t>
  </si>
  <si>
    <t>20nT16P7/g2CD6l5hpj3oA==</t>
  </si>
  <si>
    <t>M001219.WAV</t>
  </si>
  <si>
    <t>85QYn6VN+7hWTvgXGl0QtA==</t>
  </si>
  <si>
    <t>M001220.WAV</t>
  </si>
  <si>
    <t>GcjVHpHXgacTyTvo8Kg4Qw==</t>
  </si>
  <si>
    <t>M001221.WAV</t>
  </si>
  <si>
    <t>Fj17Efw3vg8DQLcUKVenfA==</t>
  </si>
  <si>
    <t>M001222.WAV</t>
  </si>
  <si>
    <t>uAeAh5kgnq+euVj63vJBMA==</t>
  </si>
  <si>
    <t>M001223.WAV</t>
  </si>
  <si>
    <t>Feau2Qjeh/Ny3dxjc8f8lg==</t>
  </si>
  <si>
    <t>M001224.WAV</t>
  </si>
  <si>
    <t>ZIc61npsodXYi0P4/hziUw==</t>
  </si>
  <si>
    <t>M001225.WAV</t>
  </si>
  <si>
    <t>RBE2JITsRfj8hIsyrzVlKw==</t>
  </si>
  <si>
    <t>M001226.WAV</t>
  </si>
  <si>
    <t>+Ma2FBfFMca3MCigyV0OEg==</t>
  </si>
  <si>
    <t>M001227.WAV</t>
  </si>
  <si>
    <t>YLj7FvPNTwm+AYzxDc5f2Q==</t>
  </si>
  <si>
    <t>M001228.WAV</t>
  </si>
  <si>
    <t>D96wOPYNIRxxk7iJrTrmew==</t>
  </si>
  <si>
    <t>M001229.WAV</t>
  </si>
  <si>
    <t>4A8F69ZOaVtK9QVwSUTPJg==</t>
  </si>
  <si>
    <t>M001230.WAV</t>
  </si>
  <si>
    <t>oQkjRRksE5up+lpwcAZysA==</t>
  </si>
  <si>
    <t>M001231.WAV</t>
  </si>
  <si>
    <t>owqYh2nbssX9CHwiS9Uvnw==</t>
  </si>
  <si>
    <t>M001232.WAV</t>
  </si>
  <si>
    <t>XML+VI7lYIzyPEpXwNDZDg==</t>
  </si>
  <si>
    <t>M001233.WAV</t>
  </si>
  <si>
    <t>ejDb1242dyI+a6wJnoa6Xg==</t>
  </si>
  <si>
    <t>M001234.WAV</t>
  </si>
  <si>
    <t>nTxo+eSAL87supvzriHr6Q==</t>
  </si>
  <si>
    <t>M001235.WAV</t>
  </si>
  <si>
    <t>/rlRqtzg0DRZ13002zT+hQ==</t>
  </si>
  <si>
    <t>M001236.WAV</t>
  </si>
  <si>
    <t>6i5T2ea5PAfRWYBjn8Vmtg==</t>
  </si>
  <si>
    <t>M001237.WAV</t>
  </si>
  <si>
    <t>HSE23HtaT8n+0NbbfaRiJQ==</t>
  </si>
  <si>
    <t>M001238.WAV</t>
  </si>
  <si>
    <t>XD+Alh+aOMvMFzOcNK8o6w==</t>
  </si>
  <si>
    <t>M001239.WAV</t>
  </si>
  <si>
    <t>k+DPFVJaS99BBoxUmLNKYw==</t>
  </si>
  <si>
    <t>M001240.WAV</t>
  </si>
  <si>
    <t>O9HzMsO+8fIIoftXyx3/vA==</t>
  </si>
  <si>
    <t>M001241.WAV</t>
  </si>
  <si>
    <t>2FD5O8xmXZQl3zKT3fK14A==</t>
  </si>
  <si>
    <t>M001242.WAV</t>
  </si>
  <si>
    <t>lxQWfEqizkvJvawpRyxOMA==</t>
  </si>
  <si>
    <t>M001243.WAV</t>
  </si>
  <si>
    <t>FjusLF3e0hiFTVu06Xcj9A==</t>
  </si>
  <si>
    <t>M001244.WAV</t>
  </si>
  <si>
    <t>fTF36noNi7ZY2F9zB4g7Yg==</t>
  </si>
  <si>
    <t>M001245.WAV</t>
  </si>
  <si>
    <t>kAHCctznRpGzhMZmzB7l9g==</t>
  </si>
  <si>
    <t>M001246.WAV</t>
  </si>
  <si>
    <t>VueEA1vzR8p0PsE5S8HAsQ==</t>
  </si>
  <si>
    <t>M001247.WAV</t>
  </si>
  <si>
    <t>hioCDL8tPj8ww0ML6Wuc6A==</t>
  </si>
  <si>
    <t>M001248.WAV</t>
  </si>
  <si>
    <t>Widyb8p7GSpIqGEwvu1aBw==</t>
  </si>
  <si>
    <t>M001249.WAV</t>
  </si>
  <si>
    <t>zEbu6OJqbtbkkLdobAKv/A==</t>
  </si>
  <si>
    <t>M001250.WAV</t>
  </si>
  <si>
    <t>sWdY5ZUblEM5ogXyaMBFvg==</t>
  </si>
  <si>
    <t>M001251.WAV</t>
  </si>
  <si>
    <t>3xDJmJfAY4MnHIRWeyEfUw==</t>
  </si>
  <si>
    <t>M001252.WAV</t>
  </si>
  <si>
    <t>9xu/+D/Qv5WkCUxCTFEE8A==</t>
  </si>
  <si>
    <t>M001253.WAV</t>
  </si>
  <si>
    <t>K0szzIS7peDdIqjg8C4S1Q==</t>
  </si>
  <si>
    <t>M001254.WAV</t>
  </si>
  <si>
    <t>zQR3H5GRDRHMtYVFhE/Jmg==</t>
  </si>
  <si>
    <t>M001255.WAV</t>
  </si>
  <si>
    <t>G8DkCn0aGNcTi3VOwRz2dg==</t>
  </si>
  <si>
    <t>M001256.WAV</t>
  </si>
  <si>
    <t>s1izXzdokD4ISYf7YLEYog==</t>
  </si>
  <si>
    <t>M001257.WAV</t>
  </si>
  <si>
    <t>Mkr94UMrZhb3MKeHhU14xA==</t>
  </si>
  <si>
    <t>M001258.WAV</t>
  </si>
  <si>
    <t>YAVNkausOJy1uDqder7NbQ==</t>
  </si>
  <si>
    <t>M001259.WAV</t>
  </si>
  <si>
    <t>G2kQvW73LbORJkIA6XVQMQ==</t>
  </si>
  <si>
    <t>M001260.WAV</t>
  </si>
  <si>
    <t>OTUdzEIFb+c3szzryPId1g==</t>
  </si>
  <si>
    <t>M001261.WAV</t>
  </si>
  <si>
    <t>EGCsx4ioQMuwGFvAlMbxQg==</t>
  </si>
  <si>
    <t>M001262.WAV</t>
  </si>
  <si>
    <t>ik4LpDQfQKriKNsGt3JH6A==</t>
  </si>
  <si>
    <t>M001263.WAV</t>
  </si>
  <si>
    <t>P0YoLC0pIEZMGuA5k7TXmw==</t>
  </si>
  <si>
    <t>M001264.WAV</t>
  </si>
  <si>
    <t>yMMUSeBZ6R4p/gTsE71+jw==</t>
  </si>
  <si>
    <t>M001265.WAV</t>
  </si>
  <si>
    <t>I+CdiQtrdckpneH1OU1RCA==</t>
  </si>
  <si>
    <t>M001266.WAV</t>
  </si>
  <si>
    <t>FNGKEbvdEAdE7JusKayxhA==</t>
  </si>
  <si>
    <t>M001267.WAV</t>
  </si>
  <si>
    <t>p6r7LyaRJQnynkliOvsCEQ==</t>
  </si>
  <si>
    <t>M001268.WAV</t>
  </si>
  <si>
    <t>YAPxuUIzUAl8gp0tydUI5w==</t>
  </si>
  <si>
    <t>M001269.WAV</t>
  </si>
  <si>
    <t>HwhCS3MONErL0KR+gVt8Ig==</t>
  </si>
  <si>
    <t>M001270.WAV</t>
  </si>
  <si>
    <t>eiZFtrrEVaVtXWHyuTWbrQ==</t>
  </si>
  <si>
    <t>M001271.WAV</t>
  </si>
  <si>
    <t>Texj80ZxptlIo2Fcz1xgFg==</t>
  </si>
  <si>
    <t>M001272.WAV</t>
  </si>
  <si>
    <t>2c/QIfsGJWeTaRvYWl7sxg==</t>
  </si>
  <si>
    <t>M001273.WAV</t>
  </si>
  <si>
    <t>bq0b93EiEqmEwXwOVGTC+w==</t>
  </si>
  <si>
    <t>M001274.WAV</t>
  </si>
  <si>
    <t>LJ4V8EcKUKQrF2cEVxV24w==</t>
  </si>
  <si>
    <t>M001275.WAV</t>
  </si>
  <si>
    <t>Rrck6rEsjJCpdHtYQKwrsg==</t>
  </si>
  <si>
    <t>M001276.WAV</t>
  </si>
  <si>
    <t>aZCqw7Oj4W4N6C8k2O9MpQ==</t>
  </si>
  <si>
    <t>M001277.WAV</t>
  </si>
  <si>
    <t>COn0hltKcAPw7yl6yy8KiA==</t>
  </si>
  <si>
    <t>M001278.WAV</t>
  </si>
  <si>
    <t>S+6p+eeJRlqDeEpk6O4GAw==</t>
  </si>
  <si>
    <t>M001279.WAV</t>
  </si>
  <si>
    <t>LERmEPVodJ083DsMABbZqw==</t>
  </si>
  <si>
    <t>M001280.WAV</t>
  </si>
  <si>
    <t>BJ4NIQ3wya+OIqpMGYa17A==</t>
  </si>
  <si>
    <t>M001281.WAV</t>
  </si>
  <si>
    <t>WOMN1FtF2MB6yIwZx6wWaQ==</t>
  </si>
  <si>
    <t>M001282.WAV</t>
  </si>
  <si>
    <t>kmqN+vKxEeX/kG6KrVHClQ==</t>
  </si>
  <si>
    <t>M001283.WAV</t>
  </si>
  <si>
    <t>+OeuYzScxvRFDh2cIcLQ+Q==</t>
  </si>
  <si>
    <t>M001284.WAV</t>
  </si>
  <si>
    <t>Yvl7cs7tqsoP4GmHLOjUyw==</t>
  </si>
  <si>
    <t>M001285.WAV</t>
  </si>
  <si>
    <t>vdB8GT1IX1FAMJQujKtVaQ==</t>
  </si>
  <si>
    <t>M001286.WAV</t>
  </si>
  <si>
    <t>zwkXZqCXBCNW/sryEHmwNg==</t>
  </si>
  <si>
    <t>M001287.WAV</t>
  </si>
  <si>
    <t>MjqmI9jx+Ymv7rGbI5txXA==</t>
  </si>
  <si>
    <t>M001288.WAV</t>
  </si>
  <si>
    <t>9I7qnj5bjXHfEIbh40+DGg==</t>
  </si>
  <si>
    <t>M001289.WAV</t>
  </si>
  <si>
    <t>4J8+ihw4r0zTreDt4agE9A==</t>
  </si>
  <si>
    <t>M001290.WAV</t>
  </si>
  <si>
    <t>9CB26rxLzKU2Srvr2ngc2g==</t>
  </si>
  <si>
    <t>M001291.WAV</t>
  </si>
  <si>
    <t>FxDkflCa69o7lzcnAfz31g==</t>
  </si>
  <si>
    <t>M001292.WAV</t>
  </si>
  <si>
    <t>rChVIDyKZtqUavhF1NERGg==</t>
  </si>
  <si>
    <t>M001293.WAV</t>
  </si>
  <si>
    <t>qJ/BCRMAqZjeWG86W+XSQQ==</t>
  </si>
  <si>
    <t>M001294.WAV</t>
  </si>
  <si>
    <t>YzoAjHISV1zU5FrBR18zTg==</t>
  </si>
  <si>
    <t>M001295.WAV</t>
  </si>
  <si>
    <t>UrL0azg2GGfzn/D6VzV6Rw==</t>
  </si>
  <si>
    <t>M001296.WAV</t>
  </si>
  <si>
    <t>Jm+RsNebX5TXW9iJRwWuqA==</t>
  </si>
  <si>
    <t>M001297.WAV</t>
  </si>
  <si>
    <t>YwW0l5sl3gfGZFc6cnIMRw==</t>
  </si>
  <si>
    <t>M001298.WAV</t>
  </si>
  <si>
    <t>N6NWZ9+rill3G2KZy7/xpQ==</t>
  </si>
  <si>
    <t>M001299.WAV</t>
  </si>
  <si>
    <t>pxdhbmHIH+T9ewB3HAvwKg==</t>
  </si>
  <si>
    <t>M001300.WAV</t>
  </si>
  <si>
    <t>iJqqMUsLUrVoHUptSmJdVg==</t>
  </si>
  <si>
    <t>M001301.WAV</t>
  </si>
  <si>
    <t>mUb5sp2xWtnwdCLo+u21sA==</t>
  </si>
  <si>
    <t>M001302.WAV</t>
  </si>
  <si>
    <t>y+TjpizR/RyqiLrlyfWJGA==</t>
  </si>
  <si>
    <t>M001303.WAV</t>
  </si>
  <si>
    <t>yXXlPAWsyfC9z3en/aawiw==</t>
  </si>
  <si>
    <t>M001304.WAV</t>
  </si>
  <si>
    <t>CvDEqryEZVQII0jxJSENZQ==</t>
  </si>
  <si>
    <t>M001305.WAV</t>
  </si>
  <si>
    <t>Sw1oqbX8L/VOUu9AXmbagg==</t>
  </si>
  <si>
    <t>M001306.WAV</t>
  </si>
  <si>
    <t>95i8A4d0Gn/8UZEGehxAYQ==</t>
  </si>
  <si>
    <t>M001307.WAV</t>
  </si>
  <si>
    <t>J66RjNdx+/R4l89y/Dq9rA==</t>
  </si>
  <si>
    <t>M001308.WAV</t>
  </si>
  <si>
    <t>6TZyMXpC0rGVMiJY3VyZew==</t>
  </si>
  <si>
    <t>M001309.WAV</t>
  </si>
  <si>
    <t>7VXeyDPT+kZ0KAjb5ii5Jw==</t>
  </si>
  <si>
    <t>M001310.WAV</t>
  </si>
  <si>
    <t>iVP6unoleGEPDQnQ5kV0qw==</t>
  </si>
  <si>
    <t>M001311.WAV</t>
  </si>
  <si>
    <t>Fh+YanSAjpf8/gYOmM4+xA==</t>
  </si>
  <si>
    <t>M001312.WAV</t>
  </si>
  <si>
    <t>YHfxMyuOIC1aUaOS5F2WLw==</t>
  </si>
  <si>
    <t>M001313.WAV</t>
  </si>
  <si>
    <t>qrDCttq/r2GABN8AXywpGA==</t>
  </si>
  <si>
    <t>M001314.WAV</t>
  </si>
  <si>
    <t>7zNBtwNfZUtSwOUArAkkMw==</t>
  </si>
  <si>
    <t>M001315.WAV</t>
  </si>
  <si>
    <t>sIsirXaZfBL+zumWtKFEIQ==</t>
  </si>
  <si>
    <t>M001316.WAV</t>
  </si>
  <si>
    <t>swVYDY7iXzDKTjceEd5+CQ==</t>
  </si>
  <si>
    <t>M001317.WAV</t>
  </si>
  <si>
    <t>HbaS55IBBucMwaiuJjTQBg==</t>
  </si>
  <si>
    <t>M001318.WAV</t>
  </si>
  <si>
    <t>rUsQa5sBAnjaQdn96EjQ+A==</t>
  </si>
  <si>
    <t>M001319.WAV</t>
  </si>
  <si>
    <t>4wVzk0lNDlzg++jie0eVYg==</t>
  </si>
  <si>
    <t>M001320.WAV</t>
  </si>
  <si>
    <t>Xv/N1xm5SYujWs9SEd+Ytg==</t>
  </si>
  <si>
    <t>M001321.WAV</t>
  </si>
  <si>
    <t>42DHahU5NUsJ2JAflPjA4w==</t>
  </si>
  <si>
    <t>M001322.WAV</t>
  </si>
  <si>
    <t>HcIkrJeUfyy2y0vpZITilw==</t>
  </si>
  <si>
    <t>M001323.WAV</t>
  </si>
  <si>
    <t>jS44OjW71lQgwYECgc1wAA==</t>
  </si>
  <si>
    <t>M001324.WAV</t>
  </si>
  <si>
    <t>5gGFjn3RCNtKb+BKO1oHJg==</t>
  </si>
  <si>
    <t>M001325.WAV</t>
  </si>
  <si>
    <t>u887PiYuc3ZxIzPptgrctw==</t>
  </si>
  <si>
    <t>M001326.WAV</t>
  </si>
  <si>
    <t>cIWcANw8oVCGjiS2haXYBw==</t>
  </si>
  <si>
    <t>M001327.WAV</t>
  </si>
  <si>
    <t>ZbMHA/qh7M0gXsG7AXZaLA==</t>
  </si>
  <si>
    <t>M001328.WAV</t>
  </si>
  <si>
    <t>3OBKHfqCQylcO7jhxwhLaA==</t>
  </si>
  <si>
    <t>M001329.WAV</t>
  </si>
  <si>
    <t>J54JTZo61kGkSQ75snx8Sw==</t>
  </si>
  <si>
    <t>M001330.WAV</t>
  </si>
  <si>
    <t>nYB6XPgoBKl3R83RRBZ1dw==</t>
  </si>
  <si>
    <t>M001331.WAV</t>
  </si>
  <si>
    <t>akafTFqUmvWeZBRwtQmZLw==</t>
  </si>
  <si>
    <t>M001332.WAV</t>
  </si>
  <si>
    <t>a6hsrkMi5jxmkRCSuHBizA==</t>
  </si>
  <si>
    <t>M001333.WAV</t>
  </si>
  <si>
    <t>9olALRhy6EQnNHaQWJpF+g==</t>
  </si>
  <si>
    <t>M001334.WAV</t>
  </si>
  <si>
    <t>x2BYPWe80AofHrXD6mJYpQ==</t>
  </si>
  <si>
    <t>M001335.WAV</t>
  </si>
  <si>
    <t>8fe2udoq5UYEDmnij3DAwA==</t>
  </si>
  <si>
    <t>M001336.WAV</t>
  </si>
  <si>
    <t>FTEpd3v3kwohdDMEd1AP3g==</t>
  </si>
  <si>
    <t>M001337.WAV</t>
  </si>
  <si>
    <t>t5kV8Pk63BhiYg41r05+tg==</t>
  </si>
  <si>
    <t>M001338.WAV</t>
  </si>
  <si>
    <t>KaUu9sOlLKjWLmyiN7egqg==</t>
  </si>
  <si>
    <t>M001339.WAV</t>
  </si>
  <si>
    <t>0YeczDKxg7YzNCbstQeSWw==</t>
  </si>
  <si>
    <t>M001340.WAV</t>
  </si>
  <si>
    <t>ZYWGeF/ZP8hh3yFKbGO38g==</t>
  </si>
  <si>
    <t>M001341.WAV</t>
  </si>
  <si>
    <t>RhqTN8qTtGlo3kWRI06QPQ==</t>
  </si>
  <si>
    <t>M001342.WAV</t>
  </si>
  <si>
    <t>ARBYYEmerZkx7nYPLwkQBQ==</t>
  </si>
  <si>
    <t>M001343.WAV</t>
  </si>
  <si>
    <t>tj42u5K+rnYCXGf2Qp7Amg==</t>
  </si>
  <si>
    <t>M001344.WAV</t>
  </si>
  <si>
    <t>FkzjK16HOv3AoRChXYDpuA==</t>
  </si>
  <si>
    <t>M001345.WAV</t>
  </si>
  <si>
    <t>ij/yqTVxAUx8/5WV5yxZZQ==</t>
  </si>
  <si>
    <t>M001346.WAV</t>
  </si>
  <si>
    <t>2lGIFStDrVqrgeisSOllxg==</t>
  </si>
  <si>
    <t>M001347.WAV</t>
  </si>
  <si>
    <t>VbnmELEPjPL6mJL0Sd+nAQ==</t>
  </si>
  <si>
    <t>M001348.WAV</t>
  </si>
  <si>
    <t>UXz77nn5lstRt5yv85zB2A==</t>
  </si>
  <si>
    <t>M001349.WAV</t>
  </si>
  <si>
    <t>rVpwhs8FfUsKAQQktLWo0Q==</t>
  </si>
  <si>
    <t>M001350.WAV</t>
  </si>
  <si>
    <t>BdxKcjzcW3t95sJfxLMISA==</t>
  </si>
  <si>
    <t>M001351.WAV</t>
  </si>
  <si>
    <t>6+cE2GBZKYewQYfEmbuApw==</t>
  </si>
  <si>
    <t>M001352.WAV</t>
  </si>
  <si>
    <t>JYAPJXYGPGZeDEX4mYteSQ==</t>
  </si>
  <si>
    <t>M001353.WAV</t>
  </si>
  <si>
    <t>eGH+RJnKmIc8fUu9UXXguA==</t>
  </si>
  <si>
    <t>M001354.WAV</t>
  </si>
  <si>
    <t>dOeH6YG5F3RRikUCptDbsQ==</t>
  </si>
  <si>
    <t>M001355.WAV</t>
  </si>
  <si>
    <t>kBq4VDariboYCG3wykdJ7A==</t>
  </si>
  <si>
    <t>M001356.WAV</t>
  </si>
  <si>
    <t>vRpc74KjwgjIQwR84qFTOQ==</t>
  </si>
  <si>
    <t>M001357.WAV</t>
  </si>
  <si>
    <t>ZEuGbV/reNti9v+amLBVmQ==</t>
  </si>
  <si>
    <t>M001358.WAV</t>
  </si>
  <si>
    <t>vuPJRDCzoo3nxoKqDZ9EfQ==</t>
  </si>
  <si>
    <t>M001359.WAV</t>
  </si>
  <si>
    <t>feXRq9/68fN3vtQVLzdf+A==</t>
  </si>
  <si>
    <t>M001360.WAV</t>
  </si>
  <si>
    <t>GLt/JC10sbKlIKezRCYgWg==</t>
  </si>
  <si>
    <t>M001361.WAV</t>
  </si>
  <si>
    <t>tvVebxDNVgT+/W0FpTNCjQ==</t>
  </si>
  <si>
    <t>M001362.WAV</t>
  </si>
  <si>
    <t>g9tccqYZRI0qBLhsGwERnw==</t>
  </si>
  <si>
    <t>M001363.WAV</t>
  </si>
  <si>
    <t>R0BjOBHKLpLdWBr/E1e6cg==</t>
  </si>
  <si>
    <t>M001364.WAV</t>
  </si>
  <si>
    <t>E2LygY1xcsTk180MZhtW8g==</t>
  </si>
  <si>
    <t>M001365.WAV</t>
  </si>
  <si>
    <t>QZSylkHGJzNNdASWY73DCg==</t>
  </si>
  <si>
    <t>M001366.WAV</t>
  </si>
  <si>
    <t>8U1cCNT7CXROMud7Kim5VA==</t>
  </si>
  <si>
    <t>M001367.WAV</t>
  </si>
  <si>
    <t>0lf22eHBVK8ssrAKN5tFXQ==</t>
  </si>
  <si>
    <t>M001368.WAV</t>
  </si>
  <si>
    <t>gQl/JK7W4HoxfYHn8fTYLg==</t>
  </si>
  <si>
    <t>M001369.WAV</t>
  </si>
  <si>
    <t>VpGUwV3pAjBm8aAz22i2ow==</t>
  </si>
  <si>
    <t>M001370.WAV</t>
  </si>
  <si>
    <t>3T/bDI97OZXyRa60UvsSlA==</t>
  </si>
  <si>
    <t>M001371.WAV</t>
  </si>
  <si>
    <t>c02GQgJ9zOPIFYYALf+Qeg==</t>
  </si>
  <si>
    <t>M001372.WAV</t>
  </si>
  <si>
    <t>oqrVpHr8nVCcHdzmEbeDew==</t>
  </si>
  <si>
    <t>M001373.WAV</t>
  </si>
  <si>
    <t>EpZ6UBw9VYkfSn32fROs4g==</t>
  </si>
  <si>
    <t>M001374.WAV</t>
  </si>
  <si>
    <t>Gx5y7vuuhTJ4tzHdBiJVPA==</t>
  </si>
  <si>
    <t>M001375.WAV</t>
  </si>
  <si>
    <t>+JjeiccLdYHvIWZZCsi/ig==</t>
  </si>
  <si>
    <t>M001376.WAV</t>
  </si>
  <si>
    <t>1VK53lizAyR8T3CvxO/rtg==</t>
  </si>
  <si>
    <t>M001377.WAV</t>
  </si>
  <si>
    <t>JlGt049YX6EEEr4Bs49P6g==</t>
  </si>
  <si>
    <t>M001378.WAV</t>
  </si>
  <si>
    <t>JddCg+lUB48ogU9QLBCr0g==</t>
  </si>
  <si>
    <t>M001379.WAV</t>
  </si>
  <si>
    <t>ddF+MaXPzrsR7Pbmww/6Hg==</t>
  </si>
  <si>
    <t>M001380.WAV</t>
  </si>
  <si>
    <t>ubyn7NhmpH7B1h6U8WbcvQ==</t>
  </si>
  <si>
    <t>M001381.WAV</t>
  </si>
  <si>
    <t>prw1ybBc4WfXsw6OqwOWrw==</t>
  </si>
  <si>
    <t>M001382.WAV</t>
  </si>
  <si>
    <t>0xXzCtLFTiKfP0nIz293aQ==</t>
  </si>
  <si>
    <t>M001383.WAV</t>
  </si>
  <si>
    <t>17IMZuJS4vrao08+IAF3Rg==</t>
  </si>
  <si>
    <t>M001384.WAV</t>
  </si>
  <si>
    <t>3S/lbnLf8SRNOEtiup79NA==</t>
  </si>
  <si>
    <t>M001385.WAV</t>
  </si>
  <si>
    <t>InMwRUysv/HeTxLMNLDCjw==</t>
  </si>
  <si>
    <t>M001386.WAV</t>
  </si>
  <si>
    <t>gIQy+eDsQu9cM5N38E+1Tg==</t>
  </si>
  <si>
    <t>M001387.WAV</t>
  </si>
  <si>
    <t>NGAl0vpW2IpQJBX2RdteEg==</t>
  </si>
  <si>
    <t>M001388.WAV</t>
  </si>
  <si>
    <t>vHMSV1doqTlMCekcT5tGJg==</t>
  </si>
  <si>
    <t>M001389.WAV</t>
  </si>
  <si>
    <t>VbKGZMYolpXNAFRpdo8i3A==</t>
  </si>
  <si>
    <t>M001390.WAV</t>
  </si>
  <si>
    <t>v2z44nWh/zvYxZPfktb3ig==</t>
  </si>
  <si>
    <t>M001391.WAV</t>
  </si>
  <si>
    <t>ASebkERM26F04mMRiLuxPg==</t>
  </si>
  <si>
    <t>M001392.WAV</t>
  </si>
  <si>
    <t>iselWihFdeNfYEVhhiCb+A==</t>
  </si>
  <si>
    <t>M001393.WAV</t>
  </si>
  <si>
    <t>8WR2Sgo+xQI7isy2tgVZhg==</t>
  </si>
  <si>
    <t>M001394.WAV</t>
  </si>
  <si>
    <t>9xUZPherWN+aaxY+kUgH2A==</t>
  </si>
  <si>
    <t>M001395.WAV</t>
  </si>
  <si>
    <t>qlHNJZHl6OqAJd1D8DJmPQ==</t>
  </si>
  <si>
    <t>M001396.WAV</t>
  </si>
  <si>
    <t>8FQHq+9L4Qa7sho6dZXi0g==</t>
  </si>
  <si>
    <t>M001397.WAV</t>
  </si>
  <si>
    <t>XJpGSLahIVMlu70A4NXf5w==</t>
  </si>
  <si>
    <t>M001398.WAV</t>
  </si>
  <si>
    <t>tW3icXEL2nSix4fjbx6m4w==</t>
  </si>
  <si>
    <t>M001399.WAV</t>
  </si>
  <si>
    <t>LTMTVq78WJwlk70Ut9kEdQ==</t>
  </si>
  <si>
    <t>M001400.WAV</t>
  </si>
  <si>
    <t>xu1y4sLgHo3vkxN/Jb5shw==</t>
  </si>
  <si>
    <t>M001401.WAV</t>
  </si>
  <si>
    <t>eSPDGUGI8T1WnPF82GiCqg==</t>
  </si>
  <si>
    <t>M001402.WAV</t>
  </si>
  <si>
    <t>fVZTjgvNvXcnHa/u08ZgMA==</t>
  </si>
  <si>
    <t>M001403.WAV</t>
  </si>
  <si>
    <t>XN+zwy6WtdB89n6SCEwy/g==</t>
  </si>
  <si>
    <t>M001404.WAV</t>
  </si>
  <si>
    <t>kU33aznPlkkbLdY/Sog9VA==</t>
  </si>
  <si>
    <t>M001405.WAV</t>
  </si>
  <si>
    <t>xdRmaGMO0kGyuJHur0P0Hg==</t>
  </si>
  <si>
    <t>M001406.WAV</t>
  </si>
  <si>
    <t>K9q94UO2Q5TNxEkfOmYQTw==</t>
  </si>
  <si>
    <t>M001407.WAV</t>
  </si>
  <si>
    <t>8OceBa6jFCsACzkMdzgNQg==</t>
  </si>
  <si>
    <t>M001408.WAV</t>
  </si>
  <si>
    <t>v+CAZ8IL7nC+G9iW1ACuRg==</t>
  </si>
  <si>
    <t>M001409.WAV</t>
  </si>
  <si>
    <t>ejuy2eRll3rP50qVnMIgFg==</t>
  </si>
  <si>
    <t>M001410.WAV</t>
  </si>
  <si>
    <t>sTIQ51EoYRGpRTPOUwwSCQ==</t>
  </si>
  <si>
    <t>M001411.WAV</t>
  </si>
  <si>
    <t>vFci7KlFuWxXIUADbqXI4A==</t>
  </si>
  <si>
    <t>M001412.WAV</t>
  </si>
  <si>
    <t>1Zv/9UGyJZqZujV0SSpntg==</t>
  </si>
  <si>
    <t>M001413.WAV</t>
  </si>
  <si>
    <t>/yR/PQQI1h/COz8uj7Uz9w==</t>
  </si>
  <si>
    <t>M001414.WAV</t>
  </si>
  <si>
    <t>lGZhmIieVxrHchwKbm77uw==</t>
  </si>
  <si>
    <t>M001415.WAV</t>
  </si>
  <si>
    <t>nsn6duW1VQpZeSjIIodY/w==</t>
  </si>
  <si>
    <t>M001416.WAV</t>
  </si>
  <si>
    <t>qZifrRLdTa/9esllN9XTiw==</t>
  </si>
  <si>
    <t>M001417.WAV</t>
  </si>
  <si>
    <t>fl6NOhhjdCk+aTQN+kWf3g==</t>
  </si>
  <si>
    <t>M001418.WAV</t>
  </si>
  <si>
    <t>DmCnG5AKv5zLnsay8GgFeg==</t>
  </si>
  <si>
    <t>M001419.WAV</t>
  </si>
  <si>
    <t>yu9NDqdTTek0t+5Jr2ll1g==</t>
  </si>
  <si>
    <t>M001420.WAV</t>
  </si>
  <si>
    <t>8oZ7Au6sV+j3PpD9RYYG/g==</t>
  </si>
  <si>
    <t>M001421.WAV</t>
  </si>
  <si>
    <t>fywU5dcVTtKNB+27MWlkgQ==</t>
  </si>
  <si>
    <t>M001422.WAV</t>
  </si>
  <si>
    <t>hvqD/W01IZFN5vdndrWgcw==</t>
  </si>
  <si>
    <t>M001423.WAV</t>
  </si>
  <si>
    <t>jH84+qKW7uu/E1IfA53nEw==</t>
  </si>
  <si>
    <t>M001424.WAV</t>
  </si>
  <si>
    <t>Mmdzmw+7FKfD1Ss8+SsKFw==</t>
  </si>
  <si>
    <t>M001425.WAV</t>
  </si>
  <si>
    <t>YhO+ZKvKwEUXTytaaJMt5A==</t>
  </si>
  <si>
    <t>M001426.WAV</t>
  </si>
  <si>
    <t>iDbem2glUBPDd6T0xYctCA==</t>
  </si>
  <si>
    <t>M001427.WAV</t>
  </si>
  <si>
    <t>gCsGhLeRAeFjGtUOSqG+iQ==</t>
  </si>
  <si>
    <t>M001428.WAV</t>
  </si>
  <si>
    <t>0V0akvC/1oNNibIUkQSHkw==</t>
  </si>
  <si>
    <t>M001429.WAV</t>
  </si>
  <si>
    <t>C9tKjFiTP/5M2AG0XH/uwg==</t>
  </si>
  <si>
    <t>M001430.WAV</t>
  </si>
  <si>
    <t>/pQOgUkVChMSkV/v14bgdw==</t>
  </si>
  <si>
    <t>M001431.WAV</t>
  </si>
  <si>
    <t>UyqrWl608ZJCD8lK6YRp3w==</t>
  </si>
  <si>
    <t>M001432.WAV</t>
  </si>
  <si>
    <t>iIUd7bMJt5uf7REspHNJrQ==</t>
  </si>
  <si>
    <t>M001433.WAV</t>
  </si>
  <si>
    <t>/FuYTYeow+vaXMa002YluA==</t>
  </si>
  <si>
    <t>M001434.WAV</t>
  </si>
  <si>
    <t>f17VpJUxuqeJXNlFR8wsIw==</t>
  </si>
  <si>
    <t>M001435.WAV</t>
  </si>
  <si>
    <t>R3Q9dvEsWNxYLuRsHaD14w==</t>
  </si>
  <si>
    <t>M001436.WAV</t>
  </si>
  <si>
    <t>YUX0vi8IW4O4P4UUa1ttCQ==</t>
  </si>
  <si>
    <t>M001437.WAV</t>
  </si>
  <si>
    <t>szF/oZtDyHwLeX4ha7+paA==</t>
  </si>
  <si>
    <t>M001438.WAV</t>
  </si>
  <si>
    <t>HfoCNFfPUVm7ZvCdjWVPqg==</t>
  </si>
  <si>
    <t>M001439.WAV</t>
  </si>
  <si>
    <t>Ol5iA3jLkGnVWUIn/7qP1g==</t>
  </si>
  <si>
    <t>M001440.WAV</t>
  </si>
  <si>
    <t>KrLOXfADOCIxUjucXNsaag==</t>
  </si>
  <si>
    <t>M001441.WAV</t>
  </si>
  <si>
    <t>20gUg2Ccn2zoYFpRCdbY2Q==</t>
  </si>
  <si>
    <t>M001442.WAV</t>
  </si>
  <si>
    <t>J5bQhKXG/ETNwI8zLsqpMg==</t>
  </si>
  <si>
    <t>M001443.WAV</t>
  </si>
  <si>
    <t>QBgzUXdDax1keXTv23O++g==</t>
  </si>
  <si>
    <t>M001444.WAV</t>
  </si>
  <si>
    <t>sEbFE82oJ5d+zwpjDJInuA==</t>
  </si>
  <si>
    <t>M001445.WAV</t>
  </si>
  <si>
    <t>/kNoBSWdFYuiUTEqvBiImA==</t>
  </si>
  <si>
    <t>M001446.WAV</t>
  </si>
  <si>
    <t>awj5V7Q2NdHKxbnbcuxv4Q==</t>
  </si>
  <si>
    <t>M001447.WAV</t>
  </si>
  <si>
    <t>5q/vyMFL877YNeX66PASiw==</t>
  </si>
  <si>
    <t>M001448.WAV</t>
  </si>
  <si>
    <t>9VZ5F0/LFSl7Df9u/mRbuw==</t>
  </si>
  <si>
    <t>M001449.WAV</t>
  </si>
  <si>
    <t>lJO6HJ9bNWe9wn0ufgS1xA==</t>
  </si>
  <si>
    <t>M001450.WAV</t>
  </si>
  <si>
    <t>JwSkgUsk19530RNjBUBd+g==</t>
  </si>
  <si>
    <t>M001451.WAV</t>
  </si>
  <si>
    <t>MtHDUat+JplemAPJOuc28A==</t>
  </si>
  <si>
    <t>M001452.WAV</t>
  </si>
  <si>
    <t>LhQKphLPQOaJW4WRpBr5mw==</t>
  </si>
  <si>
    <t>M001453.WAV</t>
  </si>
  <si>
    <t>OJS0WR+EJNbAWxbAPoI08g==</t>
  </si>
  <si>
    <t>M001454.WAV</t>
  </si>
  <si>
    <t>eTGHXrW9Q5T0/vIkpe6bJA==</t>
  </si>
  <si>
    <t>M001455.WAV</t>
  </si>
  <si>
    <t>xIxxAJS+RTYIjaQGx7SQSw==</t>
  </si>
  <si>
    <t>M001456.WAV</t>
  </si>
  <si>
    <t>GyyhbSb8Lc7uCXdRd+Vqsg==</t>
  </si>
  <si>
    <t>M001457.WAV</t>
  </si>
  <si>
    <t>wkUgIX1k12t/9jCu2C4YTA==</t>
  </si>
  <si>
    <t>M001458.WAV</t>
  </si>
  <si>
    <t>PmTbskK9EtYb4O0cBbqdkg==</t>
  </si>
  <si>
    <t>M001459.WAV</t>
  </si>
  <si>
    <t>Rsu7jUnPZ4qkhrVeRGfrSw==</t>
  </si>
  <si>
    <t>M001460.WAV</t>
  </si>
  <si>
    <t>H54EAynVGKfGrPvhxyPgMA==</t>
  </si>
  <si>
    <t>M001461.WAV</t>
  </si>
  <si>
    <t>nyMh6gkeq6B11mRZWLSecg==</t>
  </si>
  <si>
    <t>M001462.WAV</t>
  </si>
  <si>
    <t>fXBpWN57meBqeWqphnK+Hg==</t>
  </si>
  <si>
    <t>M001463.WAV</t>
  </si>
  <si>
    <t>QPJ1grI4tMqkAtcpR9JqZg==</t>
  </si>
  <si>
    <t>M001464.WAV</t>
  </si>
  <si>
    <t>mybMpXjOVGmhBBRZ/4n22g==</t>
  </si>
  <si>
    <t>M001465.WAV</t>
  </si>
  <si>
    <t>PmovJevisCRGppoL/8Oi0g==</t>
  </si>
  <si>
    <t>M001466.WAV</t>
  </si>
  <si>
    <t>WicWGvQPZ+FIToYjpZByvg==</t>
  </si>
  <si>
    <t>M001467.WAV</t>
  </si>
  <si>
    <t>jPfCWDM0WLM3tOZyHIUDbA==</t>
  </si>
  <si>
    <t>M001468.WAV</t>
  </si>
  <si>
    <t>F2BMSGuIod3G5bFb0dKLBA==</t>
  </si>
  <si>
    <t>M001469.WAV</t>
  </si>
  <si>
    <t>I9ty0kvuGpc82Qm9Elf3cw==</t>
  </si>
  <si>
    <t>M001470.WAV</t>
  </si>
  <si>
    <t>LfTfrpgVoMmLiVkfoAbLBA==</t>
  </si>
  <si>
    <t>M001471.WAV</t>
  </si>
  <si>
    <t>CfWjgg2hxNI+kiUbkhCPFw==</t>
  </si>
  <si>
    <t>M001472.WAV</t>
  </si>
  <si>
    <t>k4q9YQ4qN/416jyMLo1Pog==</t>
  </si>
  <si>
    <t>M001473.WAV</t>
  </si>
  <si>
    <t>PcK8QTGNYoIm9CCSN57fHg==</t>
  </si>
  <si>
    <t>M001474.WAV</t>
  </si>
  <si>
    <t>e90ll0SzXMoYM9c4WS8B5A==</t>
  </si>
  <si>
    <t>M001475.WAV</t>
  </si>
  <si>
    <t>3ozv8ZTcDu+6YEWpXoXacg==</t>
  </si>
  <si>
    <t>M001476.WAV</t>
  </si>
  <si>
    <t>ktFXzsxk08GO8pTafnjAjQ==</t>
  </si>
  <si>
    <t>M001477.WAV</t>
  </si>
  <si>
    <t>ScDhaelVYz1ZRoIGNa/QQg==</t>
  </si>
  <si>
    <t>M001478.WAV</t>
  </si>
  <si>
    <t>J1OlrkX1hY5fb8O5byhK+w==</t>
  </si>
  <si>
    <t>M001479.WAV</t>
  </si>
  <si>
    <t>af80JUyMyLp3+fRUdUuh5g==</t>
  </si>
  <si>
    <t>M001480.WAV</t>
  </si>
  <si>
    <t>9FXuRl5I8aYBms3wOpfYFA==</t>
  </si>
  <si>
    <t>M001481.WAV</t>
  </si>
  <si>
    <t>9rdEyjV9bu7YKMxi2yK1vw==</t>
  </si>
  <si>
    <t>M001482.WAV</t>
  </si>
  <si>
    <t>qKw6452XMx3I6CUDmCyjlw==</t>
  </si>
  <si>
    <t>M001483.WAV</t>
  </si>
  <si>
    <t>nIPTU0P0IAqyLBCRrURhNg==</t>
  </si>
  <si>
    <t>M001484.WAV</t>
  </si>
  <si>
    <t>jFabS9otBzMd9pDDUReXcw==</t>
  </si>
  <si>
    <t>M001485.WAV</t>
  </si>
  <si>
    <t>i0E7L2slf6aH8bnVnNovKg==</t>
  </si>
  <si>
    <t>M001486.WAV</t>
  </si>
  <si>
    <t>Kf8+f4gqLPZUOHmH7S7dng==</t>
  </si>
  <si>
    <t>M001487.WAV</t>
  </si>
  <si>
    <t>aHVtnKBeo0FTzeF6NFinHg==</t>
  </si>
  <si>
    <t>M001488.WAV</t>
  </si>
  <si>
    <t>pDUB+Jek834eKI//69g4MQ==</t>
  </si>
  <si>
    <t>M001489.WAV</t>
  </si>
  <si>
    <t>OmqWdYRHaFNHBh+rCvRFCg==</t>
  </si>
  <si>
    <t>M001490.WAV</t>
  </si>
  <si>
    <t>aFtvKDXPPOvRXGSG8JCfoA==</t>
  </si>
  <si>
    <t>M001491.WAV</t>
  </si>
  <si>
    <t>PNtpIKqI9QJPrhckLcq1+w==</t>
  </si>
  <si>
    <t>M001492.WAV</t>
  </si>
  <si>
    <t>oQHb8U9U9NtQzcrlUwS0zw==</t>
  </si>
  <si>
    <t>M001493.WAV</t>
  </si>
  <si>
    <t>ppoIXUgLKTMFyM9+CP+dDw==</t>
  </si>
  <si>
    <t>M001494.WAV</t>
  </si>
  <si>
    <t>Q+8q9pfbCYsiFmldTm1gsw==</t>
  </si>
  <si>
    <t>M001495.WAV</t>
  </si>
  <si>
    <t>kNTyMQXEAhwiX4wLRLPHuA==</t>
  </si>
  <si>
    <t>M001496.WAV</t>
  </si>
  <si>
    <t>6eS/iZkMkFqSp7lsI24q7g==</t>
  </si>
  <si>
    <t>M001497.WAV</t>
  </si>
  <si>
    <t>ODTp88kQYe5PgqRsmmH4kw==</t>
  </si>
  <si>
    <t>M001498.WAV</t>
  </si>
  <si>
    <t>DoBKF1QiwO93UhBlvQfIUA==</t>
  </si>
  <si>
    <t>M001499.WAV</t>
  </si>
  <si>
    <t>jc5WuIkHkcAysWBqSFBqRw==</t>
  </si>
  <si>
    <t>M001500.WAV</t>
  </si>
  <si>
    <t>GyCXSeUZIk6JdfEqyh5t3A==</t>
  </si>
  <si>
    <t>M001501.WAV</t>
  </si>
  <si>
    <t>qQ+dCEGeyq1ZYHutJneo4Q==</t>
  </si>
  <si>
    <t>M001502.WAV</t>
  </si>
  <si>
    <t>W4KCndGybPmJ0eU0KeY/Ag==</t>
  </si>
  <si>
    <t>M001503.WAV</t>
  </si>
  <si>
    <t>wKuB4rvmG8StGXLObAV/Lg==</t>
  </si>
  <si>
    <t>M001504.WAV</t>
  </si>
  <si>
    <t>ShzlWA1L7TRUFa+Gn47mbQ==</t>
  </si>
  <si>
    <t>M001505.WAV</t>
  </si>
  <si>
    <t>jAijLM6LTkFFqn7QF8k+Xw==</t>
  </si>
  <si>
    <t>M001506.WAV</t>
  </si>
  <si>
    <t>LVIa7L7sBvx/ay9FozKOkw==</t>
  </si>
  <si>
    <t>M001507.WAV</t>
  </si>
  <si>
    <t>dmkJ25KRFfxbkFhYI/tQUw==</t>
  </si>
  <si>
    <t>M001508.WAV</t>
  </si>
  <si>
    <t>bedEmtNSKIoGFj867pw8nA==</t>
  </si>
  <si>
    <t>M001509.WAV</t>
  </si>
  <si>
    <t>o/LUsqYz9IJgDImSiwMbwQ==</t>
  </si>
  <si>
    <t>M001510.WAV</t>
  </si>
  <si>
    <t>llhbtY8LYlfc7TvxgyPS0Q==</t>
  </si>
  <si>
    <t>M001511.WAV</t>
  </si>
  <si>
    <t>yO+pvKbduZFKaQ5LGEBVyA==</t>
  </si>
  <si>
    <t>M001512.WAV</t>
  </si>
  <si>
    <t>XNyz1HSJCm9TalNYmLPWiA==</t>
  </si>
  <si>
    <t>M001513.WAV</t>
  </si>
  <si>
    <t>gfnyaiNlILwMajU3JHAy3A==</t>
  </si>
  <si>
    <t>M001514.WAV</t>
  </si>
  <si>
    <t>y/kXkG3gydAqcIJwxcncMw==</t>
  </si>
  <si>
    <t>M001515.WAV</t>
  </si>
  <si>
    <t>GypYvATgkaXINKl8YDUxUg==</t>
  </si>
  <si>
    <t>M001516.WAV</t>
  </si>
  <si>
    <t>eE78Dcgal53XxgUcSPOk+w==</t>
  </si>
  <si>
    <t>M001517.WAV</t>
  </si>
  <si>
    <t>UBRYjm+DhR12TotGvUirfg==</t>
  </si>
  <si>
    <t>M001518.WAV</t>
  </si>
  <si>
    <t>xk4TeokzwJbpC+OqcHmDjA==</t>
  </si>
  <si>
    <t>M001519.WAV</t>
  </si>
  <si>
    <t>mbHSsBgrJrfnpcpxOrZYfw==</t>
  </si>
  <si>
    <t>M001520.WAV</t>
  </si>
  <si>
    <t>aQeK60UZ5ibK/dpow0BSuQ==</t>
  </si>
  <si>
    <t>M001521.WAV</t>
  </si>
  <si>
    <t>Rbw5fVaS8Siml3/3hZ8xbw==</t>
  </si>
  <si>
    <t>M001522.WAV</t>
  </si>
  <si>
    <t>a71IXAoWvdEPwziQBwyz9Q==</t>
  </si>
  <si>
    <t>M001523.WAV</t>
  </si>
  <si>
    <t>892biK2rXxT0LiYmxj3aAg==</t>
  </si>
  <si>
    <t>M001524.WAV</t>
  </si>
  <si>
    <t>OaI1i40K/mjInzZL1jyK3g==</t>
  </si>
  <si>
    <t>M001525.WAV</t>
  </si>
  <si>
    <t>8oofj6nnppwjiFYV8vQQLg==</t>
  </si>
  <si>
    <t>M001526.WAV</t>
  </si>
  <si>
    <t>hKE0ZfVi4LM1RnNG83Rjvw==</t>
  </si>
  <si>
    <t>M001527.WAV</t>
  </si>
  <si>
    <t>9RVMH9PiHtCIQd7BGNkBQw==</t>
  </si>
  <si>
    <t>M001528.WAV</t>
  </si>
  <si>
    <t>Fu00AqSEfU6ft+EfI+La0Q==</t>
  </si>
  <si>
    <t>M001529.WAV</t>
  </si>
  <si>
    <t>ENNn8tVYetJYoX2WLGxmSA==</t>
  </si>
  <si>
    <t>M001530.WAV</t>
  </si>
  <si>
    <t>FDOMvANNthyAfD24xnDavw==</t>
  </si>
  <si>
    <t>M001531.WAV</t>
  </si>
  <si>
    <t>1Dmj3opgZ+4IAQgE0B8/kA==</t>
  </si>
  <si>
    <t>M001532.WAV</t>
  </si>
  <si>
    <t>Yn2zivBFOky+At+o09hA/g==</t>
  </si>
  <si>
    <t>M001533.WAV</t>
  </si>
  <si>
    <t>qM50tobRR23MWHg48UXhrQ==</t>
  </si>
  <si>
    <t>M001534.WAV</t>
  </si>
  <si>
    <t>Iq3/cQC02gS7FwfEVC82VQ==</t>
  </si>
  <si>
    <t>M001535.WAV</t>
  </si>
  <si>
    <t>qvTvYwJvdjUexzEgsEh7vw==</t>
  </si>
  <si>
    <t>M001536.WAV</t>
  </si>
  <si>
    <t>t+aKO0L543CB2PjvMKObng==</t>
  </si>
  <si>
    <t>M001537.WAV</t>
  </si>
  <si>
    <t>zI0cz/M7lLZIc39AMvK4fA==</t>
  </si>
  <si>
    <t>M001538.WAV</t>
  </si>
  <si>
    <t>1CQkzMz+MmWRhVGmIZfs5w==</t>
  </si>
  <si>
    <t>M001539.WAV</t>
  </si>
  <si>
    <t>efNJCb4xrlTxFj7y1goLcQ==</t>
  </si>
  <si>
    <t>M001540.WAV</t>
  </si>
  <si>
    <t>x8C/aAmlYNN63fKMpvy1ww==</t>
  </si>
  <si>
    <t>M001541.WAV</t>
  </si>
  <si>
    <t>lqgoXxi1K7enJ+7nycfvrA==</t>
  </si>
  <si>
    <t>M001542.WAV</t>
  </si>
  <si>
    <t>R1evhkDUdFAqMmRN8GT9Ng==</t>
  </si>
  <si>
    <t>M001543.WAV</t>
  </si>
  <si>
    <t>5oaCYKGzUom+a0ZlkELDjg==</t>
  </si>
  <si>
    <t>M001544.WAV</t>
  </si>
  <si>
    <t>I9nk/Dn2KWuYKNwsbTYhdQ==</t>
  </si>
  <si>
    <t>M001545.WAV</t>
  </si>
  <si>
    <t>PgmfE5kAT5X7x/+3y2C0CA==</t>
  </si>
  <si>
    <t>M001546.WAV</t>
  </si>
  <si>
    <t>IngdEIfe/UTqqtUnjR2U5Q==</t>
  </si>
  <si>
    <t>M001547.WAV</t>
  </si>
  <si>
    <t>fT6XtK+auI9/nlxoU8R9Ow==</t>
  </si>
  <si>
    <t>M001548.WAV</t>
  </si>
  <si>
    <t>khl0gIKdLbJeX39Q2gR/jQ==</t>
  </si>
  <si>
    <t>M001549.WAV</t>
  </si>
  <si>
    <t>VktEkhNpEFIJ212OX2r11A==</t>
  </si>
  <si>
    <t>M001550.WAV</t>
  </si>
  <si>
    <t>P3RRXDL143C6/dj1q/8zVg==</t>
  </si>
  <si>
    <t>M001551.WAV</t>
  </si>
  <si>
    <t>knH2Qhgprru1olN+pQ8++w==</t>
  </si>
  <si>
    <t>M001552.WAV</t>
  </si>
  <si>
    <t>atsvS1+qSnI1c9YuQYrIZQ==</t>
  </si>
  <si>
    <t>M001553.WAV</t>
  </si>
  <si>
    <t>swIFUnReB1jP4LVaDeRkHA==</t>
  </si>
  <si>
    <t>M001554.WAV</t>
  </si>
  <si>
    <t>Em18Zqou36sEx1TeqP6E4A==</t>
  </si>
  <si>
    <t>M001555.WAV</t>
  </si>
  <si>
    <t>Dscknjv2c/VE3Rj5zWr34A==</t>
  </si>
  <si>
    <t>M001556.WAV</t>
  </si>
  <si>
    <t>ZVhKWdDpLDE3ryKrc0ZbwA==</t>
  </si>
  <si>
    <t>M001557.WAV</t>
  </si>
  <si>
    <t>NRgFZC8QbtLWXPE6lB/Tow==</t>
  </si>
  <si>
    <t>M001558.WAV</t>
  </si>
  <si>
    <t>VIFkySUE1erS54S5Nk+rTA==</t>
  </si>
  <si>
    <t>M001559.WAV</t>
  </si>
  <si>
    <t>o0FLQjQL6xIjCBQsf9OSHQ==</t>
  </si>
  <si>
    <t>M001560.WAV</t>
  </si>
  <si>
    <t>ugzKtUpylBCnlGAfRwPyeA==</t>
  </si>
  <si>
    <t>M001561.WAV</t>
  </si>
  <si>
    <t>0MyVRS+iDHQiYXZEwlqGHw==</t>
  </si>
  <si>
    <t>M001562.WAV</t>
  </si>
  <si>
    <t>PgaIjhbK18KdCA3OHfmi8Q==</t>
  </si>
  <si>
    <t>M001563.WAV</t>
  </si>
  <si>
    <t>Tqx0e7rxh9YwL7AeeuXreg==</t>
  </si>
  <si>
    <t>M001564.WAV</t>
  </si>
  <si>
    <t>BKDz250KytJjyejLcOqqgA==</t>
  </si>
  <si>
    <t>M001565.WAV</t>
  </si>
  <si>
    <t>4k7AaFImA6mTLkRNrdtCaw==</t>
  </si>
  <si>
    <t>M001566.WAV</t>
  </si>
  <si>
    <t>gnAtOY3IogkrzdSkTJfvoA==</t>
  </si>
  <si>
    <t>M001567.WAV</t>
  </si>
  <si>
    <t>wjkhUNnXu5K9mpvoyvNlDg==</t>
  </si>
  <si>
    <t>M001568.WAV</t>
  </si>
  <si>
    <t>0f5lUCeN/JyNIKQUn9ERNg==</t>
  </si>
  <si>
    <t>M001569.WAV</t>
  </si>
  <si>
    <t>b3GtDwuWMnh6FDFrotO6OQ==</t>
  </si>
  <si>
    <t>M001570.WAV</t>
  </si>
  <si>
    <t>r6tQadS2Sy77w/Wk1bJ13g==</t>
  </si>
  <si>
    <t>M001571.WAV</t>
  </si>
  <si>
    <t>+Rp/y3HgmWYf2vqblXAIDA==</t>
  </si>
  <si>
    <t>M001572.WAV</t>
  </si>
  <si>
    <t>4cQwJJ13oo0i8o3ywSfggw==</t>
  </si>
  <si>
    <t>M001573.WAV</t>
  </si>
  <si>
    <t>wKXtBsde/SN3BPB/xKpwcg==</t>
  </si>
  <si>
    <t>M001574.WAV</t>
  </si>
  <si>
    <t>CrDxK7eiZs8XTJl7Sw1/zQ==</t>
  </si>
  <si>
    <t>M001575.WAV</t>
  </si>
  <si>
    <t>GS5RHpGVJYBKkz0oClpONQ==</t>
  </si>
  <si>
    <t>M001576.WAV</t>
  </si>
  <si>
    <t>sYwpQjm/M6mLkCWLH4+a6w==</t>
  </si>
  <si>
    <t>M001577.WAV</t>
  </si>
  <si>
    <t>KN1YCjXilYJeZBrPVQLTKw==</t>
  </si>
  <si>
    <t>M001578.WAV</t>
  </si>
  <si>
    <t>AVZRn0uvPLIdtoa0ee/84g==</t>
  </si>
  <si>
    <t>M001579.WAV</t>
  </si>
  <si>
    <t>tpIFCmVeQMF037/wFGsOfw==</t>
  </si>
  <si>
    <t>M001580.WAV</t>
  </si>
  <si>
    <t>U7osBFw5F893r9KKU16usg==</t>
  </si>
  <si>
    <t>M001581.WAV</t>
  </si>
  <si>
    <t>1K38yu3lXEjhO5BS+dk0xg==</t>
  </si>
  <si>
    <t>M001582.WAV</t>
  </si>
  <si>
    <t>tn9YDjhlPdsZqmTXFUkEhA==</t>
  </si>
  <si>
    <t>M001583.WAV</t>
  </si>
  <si>
    <t>qCoz65+1rh+zxGbkpDh8+Q==</t>
  </si>
  <si>
    <t>M001584.WAV</t>
  </si>
  <si>
    <t>GmRe3jezM/Kkuz1ZQo7KLg==</t>
  </si>
  <si>
    <t>M001585.WAV</t>
  </si>
  <si>
    <t>8ZzrTceawLKof5ezyR/fcg==</t>
  </si>
  <si>
    <t>M001586.WAV</t>
  </si>
  <si>
    <t>Dwfypw/CN1Tcsnv/VioLRQ==</t>
  </si>
  <si>
    <t>M001587.WAV</t>
  </si>
  <si>
    <t>HBMbo7BOY3sWgbvhlrBnVQ==</t>
  </si>
  <si>
    <t>M001588.WAV</t>
  </si>
  <si>
    <t>I0f4lltcvMjRkrOoTKaD4Q==</t>
  </si>
  <si>
    <t>M001589.WAV</t>
  </si>
  <si>
    <t>dL0RBvSoMV+uc2HMxMMCRA==</t>
  </si>
  <si>
    <t>M001590.WAV</t>
  </si>
  <si>
    <t>OdpdRoTF0AJuzDjh2cFECw==</t>
  </si>
  <si>
    <t>M001591.WAV</t>
  </si>
  <si>
    <t>ESv5tJNHLXDNGI/ipCm2Mw==</t>
  </si>
  <si>
    <t>M001592.WAV</t>
  </si>
  <si>
    <t>rlwm9Mcr/eIxlsBZuR0DBA==</t>
  </si>
  <si>
    <t>M001593.WAV</t>
  </si>
  <si>
    <t>DEq42PH38J5mQl6hhsx5Vw==</t>
  </si>
  <si>
    <t>M001594.WAV</t>
  </si>
  <si>
    <t>94NZh4108b8zgaFrd3adeA==</t>
  </si>
  <si>
    <t>M001595.WAV</t>
  </si>
  <si>
    <t>QO6t074bSUPER1ZDUafPpA==</t>
  </si>
  <si>
    <t>M001596.WAV</t>
  </si>
  <si>
    <t>bWHILY/tbg0LXBXJ6it3EQ==</t>
  </si>
  <si>
    <t>M001597.WAV</t>
  </si>
  <si>
    <t>kVpPgO/UDAux+KZvxWnu8w==</t>
  </si>
  <si>
    <t>M001598.WAV</t>
  </si>
  <si>
    <t>H3qTu4m5kT1w4zZpo8ECnw==</t>
  </si>
  <si>
    <t>M001599.WAV</t>
  </si>
  <si>
    <t>iw0EauY8xPeqESKPbqQd9A==</t>
  </si>
  <si>
    <t>M001600.WAV</t>
  </si>
  <si>
    <t>9o3IVKNaYFo2+KFvdgSLnA==</t>
  </si>
  <si>
    <t>M001601.WAV</t>
  </si>
  <si>
    <t>Pusldv+ozB3eJw0gg/DcyQ==</t>
  </si>
  <si>
    <t>M001602.WAV</t>
  </si>
  <si>
    <t>uKxbfE/+BI647+UgM2aIDQ==</t>
  </si>
  <si>
    <t>M001603.WAV</t>
  </si>
  <si>
    <t>oKyFswojOPc5KCxgCTXeFQ==</t>
  </si>
  <si>
    <t>M001604.WAV</t>
  </si>
  <si>
    <t>bt3OpLYAfcjyA9DN0F+iiA==</t>
  </si>
  <si>
    <t>M001605.WAV</t>
  </si>
  <si>
    <t>sW5KtSs46lteFsSSIvNQcw==</t>
  </si>
  <si>
    <t>M001606.WAV</t>
  </si>
  <si>
    <t>MKnnsIS7uicUf5hlM1Xsnw==</t>
  </si>
  <si>
    <t>M001607.WAV</t>
  </si>
  <si>
    <t>ffuMF/yT3blIboUMNXpD+g==</t>
  </si>
  <si>
    <t>M001608.WAV</t>
  </si>
  <si>
    <t>j4vYuUQc6sdtCLvO+DYm4g==</t>
  </si>
  <si>
    <t>M001609.WAV</t>
  </si>
  <si>
    <t>wvyZkLJF1pTvJk5nIn3QDA==</t>
  </si>
  <si>
    <t>M001610.WAV</t>
  </si>
  <si>
    <t>zwP19dKczg6xXv8UpN16Hg==</t>
  </si>
  <si>
    <t>M001611.WAV</t>
  </si>
  <si>
    <t>XVnf3a/fsdodVXwFWCEESA==</t>
  </si>
  <si>
    <t>M001612.WAV</t>
  </si>
  <si>
    <t>yu9Pk9vq/qLGerTg0zT8cw==</t>
  </si>
  <si>
    <t>M001613.WAV</t>
  </si>
  <si>
    <t>2tVud09JTz3F584IDA9pMQ==</t>
  </si>
  <si>
    <t>M001614.WAV</t>
  </si>
  <si>
    <t>UZAyhjRkdWBz1VM25Mpnlw==</t>
  </si>
  <si>
    <t>M001615.WAV</t>
  </si>
  <si>
    <t>G0QUacD1qxwAGDr8MdqteQ==</t>
  </si>
  <si>
    <t>M001616.WAV</t>
  </si>
  <si>
    <t>D/tEt/ktBbwGIyWw/o4LHg==</t>
  </si>
  <si>
    <t>M001617.WAV</t>
  </si>
  <si>
    <t>8TgTS4I3IvZDDTSl1BTQUw==</t>
  </si>
  <si>
    <t>M001618.WAV</t>
  </si>
  <si>
    <t>756eB9ce/dQzYiGja/bh3A==</t>
  </si>
  <si>
    <t>M001619.WAV</t>
  </si>
  <si>
    <t>x4IAuZWFMiRcGgLZq7uIbg==</t>
  </si>
  <si>
    <t>M001620.WAV</t>
  </si>
  <si>
    <t>uIfDWf85aHmyHPrvRrLEIQ==</t>
  </si>
  <si>
    <t>M001621.WAV</t>
  </si>
  <si>
    <t>Kl0eVyHXyGRkBZI2nLVeag==</t>
  </si>
  <si>
    <t>M001622.WAV</t>
  </si>
  <si>
    <t>sHrR9EfQ+/oTMuOnJW1QgQ==</t>
  </si>
  <si>
    <t>M001623.WAV</t>
  </si>
  <si>
    <t>GB2PwHBS5v72o5ZYC5h4Zw==</t>
  </si>
  <si>
    <t>M001624.WAV</t>
  </si>
  <si>
    <t>ZA2MOXxudzuvuQoDsafNwg==</t>
  </si>
  <si>
    <t>M001625.WAV</t>
  </si>
  <si>
    <t>E+7CVthywezeT9aZWp9zCw==</t>
  </si>
  <si>
    <t>M001626.WAV</t>
  </si>
  <si>
    <t>dkx7erJV5TGImidtG8RgKw==</t>
  </si>
  <si>
    <t>M001627.WAV</t>
  </si>
  <si>
    <t>PYp4FDyqqjLBvswM/4xeCw==</t>
  </si>
  <si>
    <t>M001628.WAV</t>
  </si>
  <si>
    <t>noWkLpvYsZk5cnXKHDq83Q==</t>
  </si>
  <si>
    <t>M001629.WAV</t>
  </si>
  <si>
    <t>WR/n2uJab7IDfcq0yEzwfQ==</t>
  </si>
  <si>
    <t>M001630.WAV</t>
  </si>
  <si>
    <t>l9SBdbjDio0f9In50feHkw==</t>
  </si>
  <si>
    <t>M001631.WAV</t>
  </si>
  <si>
    <t>MwaJkxKws1/U63LaesyBpA==</t>
  </si>
  <si>
    <t>M001632.WAV</t>
  </si>
  <si>
    <t>l6Fr9hPt+LeSv0Gp3+pD5g==</t>
  </si>
  <si>
    <t>M001633.WAV</t>
  </si>
  <si>
    <t>p6NIL9MeY+mg8nwkXpao0A==</t>
  </si>
  <si>
    <t>M001634.WAV</t>
  </si>
  <si>
    <t>n5uVc1VPzpoPi2cM9oH8dA==</t>
  </si>
  <si>
    <t>M001635.WAV</t>
  </si>
  <si>
    <t>Ihm0e93N/4/EuE945JMNgg==</t>
  </si>
  <si>
    <t>M001636.WAV</t>
  </si>
  <si>
    <t>sfmAx8aIEil+sK5AjMJrWg==</t>
  </si>
  <si>
    <t>M001637.WAV</t>
  </si>
  <si>
    <t>2gLMuFssTImMcys8mPDZ1Q==</t>
  </si>
  <si>
    <t>M001638.WAV</t>
  </si>
  <si>
    <t>Ki3mzY6ClwEEkDnzRwiY/A==</t>
  </si>
  <si>
    <t>M001639.WAV</t>
  </si>
  <si>
    <t>QfXVFIhPA8gWkaWYdytVGA==</t>
  </si>
  <si>
    <t>M001640.WAV</t>
  </si>
  <si>
    <t>iqobM78BayEmW9VDB7w4+w==</t>
  </si>
  <si>
    <t>M001641.WAV</t>
  </si>
  <si>
    <t>jF8HwIVVrJLv0WxljesZnQ==</t>
  </si>
  <si>
    <t>M001642.WAV</t>
  </si>
  <si>
    <t>+5cKPTDT46oECqwcqxBaDg==</t>
  </si>
  <si>
    <t>M001643.WAV</t>
  </si>
  <si>
    <t>2S9zWg+qpcjfNJPCBWURGg==</t>
  </si>
  <si>
    <t>M001644.WAV</t>
  </si>
  <si>
    <t>1pdjFo5Bq+cEALL4k1746Q==</t>
  </si>
  <si>
    <t>M001645.WAV</t>
  </si>
  <si>
    <t>IkvtO6or5iWkjjlD38e1OQ==</t>
  </si>
  <si>
    <t>M001646.WAV</t>
  </si>
  <si>
    <t>vIJZY53LvrUDAMNOmT9cHA==</t>
  </si>
  <si>
    <t>M001647.WAV</t>
  </si>
  <si>
    <t>sAUKpIgOnWJmhVHH1V4eIg==</t>
  </si>
  <si>
    <t>M001648.WAV</t>
  </si>
  <si>
    <t>N8x3qQ0ageKBsxR5SbZnoA==</t>
  </si>
  <si>
    <t>M001649.WAV</t>
  </si>
  <si>
    <t>nZSpYm0Jc3xzaegJs3T7EA==</t>
  </si>
  <si>
    <t>M001650.WAV</t>
  </si>
  <si>
    <t>ccQ+2raRCha5CHvzG+PBbA==</t>
  </si>
  <si>
    <t>M001651.WAV</t>
  </si>
  <si>
    <t>hYJ8D5D9RUBWOqSFpAEyAQ==</t>
  </si>
  <si>
    <t>M001652.WAV</t>
  </si>
  <si>
    <t>eWhs7DK66YmrlxyfZOBxag==</t>
  </si>
  <si>
    <t>M001653.WAV</t>
  </si>
  <si>
    <t>QiSw+hV4HXISXOalAMEGHw==</t>
  </si>
  <si>
    <t>M001654.WAV</t>
  </si>
  <si>
    <t>xfLN2rqT0qchxEv/iNKruQ==</t>
  </si>
  <si>
    <t>M001655.WAV</t>
  </si>
  <si>
    <t>yvtE1c0g+pZpbZPO4K1pRA==</t>
  </si>
  <si>
    <t>M001656.WAV</t>
  </si>
  <si>
    <t>j6X9uZs3rDPVOB1fTz4ODw==</t>
  </si>
  <si>
    <t>M001657.WAV</t>
  </si>
  <si>
    <t>2Xine3/7G+O8Yug3Gwf5EQ==</t>
  </si>
  <si>
    <t>M001658.WAV</t>
  </si>
  <si>
    <t>uRTpqLNSoovd0R3NbrBF8A==</t>
  </si>
  <si>
    <t>M001659.WAV</t>
  </si>
  <si>
    <t>SxlFzEb6oM3qStR1vei7YQ==</t>
  </si>
  <si>
    <t>M001660.WAV</t>
  </si>
  <si>
    <t>hQM6axHUxRedhuQvbST48g==</t>
  </si>
  <si>
    <t>M001661.WAV</t>
  </si>
  <si>
    <t>pIGawCzx9Hchi7/XrMG1ow==</t>
  </si>
  <si>
    <t>M001662.WAV</t>
  </si>
  <si>
    <t>UEJuNCCOAG2IN3hTBSjCSg==</t>
  </si>
  <si>
    <t>M001663.WAV</t>
  </si>
  <si>
    <t>E2YIs+YWF6jMvNsYv2xTAA==</t>
  </si>
  <si>
    <t>M001664.WAV</t>
  </si>
  <si>
    <t>0.792116</t>
  </si>
  <si>
    <t>7dRfgBRZ4otBHb6rdP0smQ==</t>
  </si>
  <si>
    <t>M001665.WAV</t>
  </si>
  <si>
    <t>DF2NeiVhVr3Ybxs13D2F3Q==</t>
  </si>
  <si>
    <t>M001666.WAV</t>
  </si>
  <si>
    <t>lC7sY7cbIEh+lanppbMIsQ==</t>
  </si>
  <si>
    <t>M001667.WAV</t>
  </si>
  <si>
    <t>O11KLNeBokJz8CAyAJdYVQ==</t>
  </si>
  <si>
    <t>M001668.WAV</t>
  </si>
  <si>
    <t>ccEsdl87872N63Q1+O/Zwg==</t>
  </si>
  <si>
    <t>M001669.WAV</t>
  </si>
  <si>
    <t>qpFl0CsXOTs3lP1SgqEmPQ==</t>
  </si>
  <si>
    <t>M001670.WAV</t>
  </si>
  <si>
    <t>tEP7714i+f2uE8rE3igP8A==</t>
  </si>
  <si>
    <t>M001671.WAV</t>
  </si>
  <si>
    <t>sjee+ucgEbDtWd3yI5GLEQ==</t>
  </si>
  <si>
    <t>M001672.WAV</t>
  </si>
  <si>
    <t>kqz9hImK1hcKak+ME2a57g==</t>
  </si>
  <si>
    <t>M001673.WAV</t>
  </si>
  <si>
    <t>WXps0SLOUhRKGXAH6EojUg==</t>
  </si>
  <si>
    <t>M001674.WAV</t>
  </si>
  <si>
    <t>JPvvD902stvpo94D8j0n8Q==</t>
  </si>
  <si>
    <t>M001675.WAV</t>
  </si>
  <si>
    <t>RPaV5/Z23pCofdhglf1tyg==</t>
  </si>
  <si>
    <t>M001676.WAV</t>
  </si>
  <si>
    <t>3RYL+Hw5DJWobf54Cu/DsQ==</t>
  </si>
  <si>
    <t>M001677.WAV</t>
  </si>
  <si>
    <t>0.807839</t>
  </si>
  <si>
    <t>OEWnxpXUQXcg2/8WdTvGAw==</t>
  </si>
  <si>
    <t>M001678.WAV</t>
  </si>
  <si>
    <t>0.871506</t>
  </si>
  <si>
    <t>nNDIzRvnz0cNDDN7hxYzJw==</t>
  </si>
  <si>
    <t>M001679.WAV</t>
  </si>
  <si>
    <t>olRV7EC+qdiBcfHFatK0/w==</t>
  </si>
  <si>
    <t>M001680.WAV</t>
  </si>
  <si>
    <t>fCXqAQTTGAhWKneQOju9Zw==</t>
  </si>
  <si>
    <t>M001681.WAV</t>
  </si>
  <si>
    <t>YziCKkuH76iZSbk6T38eZw==</t>
  </si>
  <si>
    <t>M001682.WAV</t>
  </si>
  <si>
    <t>qCZmnEUnUCfMc320lBI4Jg==</t>
  </si>
  <si>
    <t>M001683.WAV</t>
  </si>
  <si>
    <t>uAJ8MfL3i1ZUTnRDHHSdow==</t>
  </si>
  <si>
    <t>M001684.WAV</t>
  </si>
  <si>
    <t>MnOfl9rEZ2D1YKro18JWmA==</t>
  </si>
  <si>
    <t>M001685.WAV</t>
  </si>
  <si>
    <t>JV6noOU7s/wkzLTuqcIw+Q==</t>
  </si>
  <si>
    <t>M001686.WAV</t>
  </si>
  <si>
    <t>mQHs+XkV5gOtgkOV5XPDYw==</t>
  </si>
  <si>
    <t>M001687.WAV</t>
  </si>
  <si>
    <t>9eIQHfxEPHgOwqE4bkvwDg==</t>
  </si>
  <si>
    <t>M001688.WAV</t>
  </si>
  <si>
    <t>Knl9YPaDi77hnzK1KQd72w==</t>
  </si>
  <si>
    <t>M001689.WAV</t>
  </si>
  <si>
    <t>Qpf/epY3lfs6askY+MM7uQ==</t>
  </si>
  <si>
    <t>M001690.WAV</t>
  </si>
  <si>
    <t>Z4K14pDjojbVwBmBdIXXHA==</t>
  </si>
  <si>
    <t>M001691.WAV</t>
  </si>
  <si>
    <t>U0h1PsmMivkTKojXhhUlNQ==</t>
  </si>
  <si>
    <t>M001692.WAV</t>
  </si>
  <si>
    <t>NsxDRYTsVdQN7YW/oQJ2CA==</t>
  </si>
  <si>
    <t>M001693.WAV</t>
  </si>
  <si>
    <t>ov6/DUWcC64R4SBQe656Iw==</t>
  </si>
  <si>
    <t>M001694.WAV</t>
  </si>
  <si>
    <t>qnWwVH2MoFkkkd3qUkxUYQ==</t>
  </si>
  <si>
    <t>M001695.WAV</t>
  </si>
  <si>
    <t>XdKUKq3JKvJJ2f4Pqf6YCw==</t>
  </si>
  <si>
    <t>M001696.WAV</t>
  </si>
  <si>
    <t>zcIclvedi+5OCxY8XrNrgQ==</t>
  </si>
  <si>
    <t>M001697.WAV</t>
  </si>
  <si>
    <t>y1mx5Atqxz9qvhvK4K1O8Q==</t>
  </si>
  <si>
    <t>M001698.WAV</t>
  </si>
  <si>
    <t>B9IjHrmHAec6l09LQX9jjQ==</t>
  </si>
  <si>
    <t>M001699.WAV</t>
  </si>
  <si>
    <t>fQ5e6ZYhXmPWob0wFpjVhA==</t>
  </si>
  <si>
    <t>M001700.WAV</t>
  </si>
  <si>
    <t>R5Sw/Ljt+gnF8ibCCix2xg==</t>
  </si>
  <si>
    <t>M001701.WAV</t>
  </si>
  <si>
    <t>lnzh7c/MFYpyV60jMVa9Hg==</t>
  </si>
  <si>
    <t>M001702.WAV</t>
  </si>
  <si>
    <t>nZwzWZqtKNUjdsu3IdaBCg==</t>
  </si>
  <si>
    <t>M001703.WAV</t>
  </si>
  <si>
    <t>oSkaA7eFUvylHrZBMsvFEw==</t>
  </si>
  <si>
    <t>M001704.WAV</t>
  </si>
  <si>
    <t>URnYCZw8kKlTrNDKmgyTsg==</t>
  </si>
  <si>
    <t>M001705.WAV</t>
  </si>
  <si>
    <t>umjq3aIJps2TB+qzGtWyLg==</t>
  </si>
  <si>
    <t>M001706.WAV</t>
  </si>
  <si>
    <t>0.956911</t>
  </si>
  <si>
    <t>n+2ZTcJhUwgmONyixNeilA==</t>
  </si>
  <si>
    <t>M001707.WAV</t>
  </si>
  <si>
    <t>qkOauJKD7DINhWOO9y+mBQ==</t>
  </si>
  <si>
    <t>M001708.WAV</t>
  </si>
  <si>
    <t>KLFMc2iP9rH9gHOZK3btWg==</t>
  </si>
  <si>
    <t>M001709.WAV</t>
  </si>
  <si>
    <t>qWjJru576PtQGwulFFcewQ==</t>
  </si>
  <si>
    <t>M001710.WAV</t>
  </si>
  <si>
    <t>3wMRs4nPOp57rY59nH6jbg==</t>
  </si>
  <si>
    <t>M001711.WAV</t>
  </si>
  <si>
    <t>8G0m9E/Z7Bj1v7qubLTcKQ==</t>
  </si>
  <si>
    <t>M001712.WAV</t>
  </si>
  <si>
    <t>+Ang+MG9Gc0/sKQyvPZ0lA==</t>
  </si>
  <si>
    <t>M001713.WAV</t>
  </si>
  <si>
    <t>8zKEogJuAnC/rUgr69ykkg==</t>
  </si>
  <si>
    <t>M001714.WAV</t>
  </si>
  <si>
    <t>dlD7TkHUApZTzuciaUfvaA==</t>
  </si>
  <si>
    <t>M001715.WAV</t>
  </si>
  <si>
    <t>vS5M9VdgF5nTXtLPe1VfbA==</t>
  </si>
  <si>
    <t>M001716.WAV</t>
  </si>
  <si>
    <t>D/Yfp5an/iluqB02U5MKaw==</t>
  </si>
  <si>
    <t>M001717.WAV</t>
  </si>
  <si>
    <t>36lWekwKlQuD7l7BrhHVXA==</t>
  </si>
  <si>
    <t>M001718.WAV</t>
  </si>
  <si>
    <t>0TaVgajYIRNNbEpGcbmdhw==</t>
  </si>
  <si>
    <t>M001719.WAV</t>
  </si>
  <si>
    <t>0ZRaPRaImfAnJcEh1TihKw==</t>
  </si>
  <si>
    <t>M001720.WAV</t>
  </si>
  <si>
    <t>0wlu+EwPIIaLtyRijN/KXQ==</t>
  </si>
  <si>
    <t>M001721.WAV</t>
  </si>
  <si>
    <t>VnD1vP42IDWeDnvn58wf/A==</t>
  </si>
  <si>
    <t>M001722.WAV</t>
  </si>
  <si>
    <t>GFi4HCNd+cJ4SSuavrsApg==</t>
  </si>
  <si>
    <t>M001723.WAV</t>
  </si>
  <si>
    <t>EGtZvqyQClEEC6iS7DYE/g==</t>
  </si>
  <si>
    <t>M001724.WAV</t>
  </si>
  <si>
    <t>PgwzhGDk1qPt5LC2wbbtbA==</t>
  </si>
  <si>
    <t>M001725.WAV</t>
  </si>
  <si>
    <t>JkNR95lJ/6zkZQyprv4LtQ==</t>
  </si>
  <si>
    <t>M001726.WAV</t>
  </si>
  <si>
    <t>iA7iguOAYNB9HegMcETbeg==</t>
  </si>
  <si>
    <t>M001727.WAV</t>
  </si>
  <si>
    <t>2MzG9NMOMeA+9fTM0LC2SQ==</t>
  </si>
  <si>
    <t>M001728.WAV</t>
  </si>
  <si>
    <t>oi2dfM1tvf2qm96+3Q5OJg==</t>
  </si>
  <si>
    <t>M001729.WAV</t>
  </si>
  <si>
    <t>mrkpjrcoQtCpxbJEazQXbA==</t>
  </si>
  <si>
    <t>M001730.WAV</t>
  </si>
  <si>
    <t>dfdMDckO871AUBleoF3PoQ==</t>
  </si>
  <si>
    <t>M001731.WAV</t>
  </si>
  <si>
    <t>SkWeABQ6ie/jamKV0YB1OA==</t>
  </si>
  <si>
    <t>M001732.WAV</t>
  </si>
  <si>
    <t>lr5sY2LJ0pFRY7vi3Nu3/w==</t>
  </si>
  <si>
    <t>M001733.WAV</t>
  </si>
  <si>
    <t>0VjyFPRHdzOGm43EdPRPUQ==</t>
  </si>
  <si>
    <t>M001734.WAV</t>
  </si>
  <si>
    <t>r1xUFzjkb5FarDLVVWmyqQ==</t>
  </si>
  <si>
    <t>M001735.WAV</t>
  </si>
  <si>
    <t>mhGajtZK3MKKDXCK3nj1LA==</t>
  </si>
  <si>
    <t>M001736.WAV</t>
  </si>
  <si>
    <t>tsRII5afKLVdWFjNAwcEow==</t>
  </si>
  <si>
    <t>M001737.WAV</t>
  </si>
  <si>
    <t>8rvfxioHhfxfdAUVSg9dEQ==</t>
  </si>
  <si>
    <t>M001738.WAV</t>
  </si>
  <si>
    <t>WIPvXWC5mKVd2NdiufhuFQ==</t>
  </si>
  <si>
    <t>M001739.WAV</t>
  </si>
  <si>
    <t>DDzeuVV9KJIzAD6bcTm7kA==</t>
  </si>
  <si>
    <t>M001740.WAV</t>
  </si>
  <si>
    <t>lG+0bdG6Mp0PnyvPfKop6Q==</t>
  </si>
  <si>
    <t>M001741.WAV</t>
  </si>
  <si>
    <t>ekGjeafDbb8oBg5B1boITg==</t>
  </si>
  <si>
    <t>M001742.WAV</t>
  </si>
  <si>
    <t>d6ElXU4XjfaUYtX/+qtaJg==</t>
  </si>
  <si>
    <t>M001743.WAV</t>
  </si>
  <si>
    <t>AlkwkeRxxnib0Ba9rrp1bg==</t>
  </si>
  <si>
    <t>M001744.WAV</t>
  </si>
  <si>
    <t>mPiI3wxMTrylcgwal0DfOw==</t>
  </si>
  <si>
    <t>M001745.WAV</t>
  </si>
  <si>
    <t>YmmjoqfbnvrVAZmsSPaHBw==</t>
  </si>
  <si>
    <t>M001746.WAV</t>
  </si>
  <si>
    <t>DHI8Lia9Fu66AyGwxyla5Q==</t>
  </si>
  <si>
    <t>M001747.WAV</t>
  </si>
  <si>
    <t>MXB/UpLYzFYTLIGzJTwG1g==</t>
  </si>
  <si>
    <t>M001748.WAV</t>
  </si>
  <si>
    <t>GADhM8qqiZoJds6qqCaSPg==</t>
  </si>
  <si>
    <t>M001749.WAV</t>
  </si>
  <si>
    <t>GfikSiNrv0kysV1D+UPcjw==</t>
  </si>
  <si>
    <t>M001750.WAV</t>
  </si>
  <si>
    <t>EB0E+g0ckLi6PihzU8dPqA==</t>
  </si>
  <si>
    <t>M001751.WAV</t>
  </si>
  <si>
    <t>WLU8wr0BrciGZsYtmKJvwA==</t>
  </si>
  <si>
    <t>M001752.WAV</t>
  </si>
  <si>
    <t>DZD/+dZ9YjcLxw2p5zhscw==</t>
  </si>
  <si>
    <t>M001753.WAV</t>
  </si>
  <si>
    <t>CmzSXkhwb66GjnbXBDrRCQ==</t>
  </si>
  <si>
    <t>M001754.WAV</t>
  </si>
  <si>
    <t>hPQeY4AQ42wLiUa4Kj2C/w==</t>
  </si>
  <si>
    <t>M001755.WAV</t>
  </si>
  <si>
    <t>HpWVuMvqB/NV8v+8Qeo0CQ==</t>
  </si>
  <si>
    <t>M001756.WAV</t>
  </si>
  <si>
    <t>Hqf8EcVgWQLQdi6sjiJCiA==</t>
  </si>
  <si>
    <t>M001757.WAV</t>
  </si>
  <si>
    <t>+sdam/tHMBGB4JsSA/9k7w==</t>
  </si>
  <si>
    <t>M001758.WAV</t>
  </si>
  <si>
    <t>zDZP2FOB3uyfYDJ2GjsloQ==</t>
  </si>
  <si>
    <t>M001759.WAV</t>
  </si>
  <si>
    <t>abrGjFtDPtMvlttSYaLV+w==</t>
  </si>
  <si>
    <t>M001760.WAV</t>
  </si>
  <si>
    <t>/0cbYDUURBGDgOUi2EdGBw==</t>
  </si>
  <si>
    <t>M001761.WAV</t>
  </si>
  <si>
    <t>c6jdqbNTP1WVsRaYiWDv7A==</t>
  </si>
  <si>
    <t>M001762.WAV</t>
  </si>
  <si>
    <t>/p1iHaDIKGzlZ6FWBl8nAg==</t>
  </si>
  <si>
    <t>M001763.WAV</t>
  </si>
  <si>
    <t>fMQI8fI/mUFfMVzfGDn4OQ==</t>
  </si>
  <si>
    <t>M001764.WAV</t>
  </si>
  <si>
    <t>wHrJ3QQILZhueViu8DM51A==</t>
  </si>
  <si>
    <t>M001765.WAV</t>
  </si>
  <si>
    <t>XK/bWrZIe/ZhOEokoP6oyA==</t>
  </si>
  <si>
    <t>M001766.WAV</t>
  </si>
  <si>
    <t>c7sfyWAcxftESjhk5Hg0rw==</t>
  </si>
  <si>
    <t>M001767.WAV</t>
  </si>
  <si>
    <t>dfvIK18kwpwfhAaiXD6ziw==</t>
  </si>
  <si>
    <t>M001768.WAV</t>
  </si>
  <si>
    <t>GMRpEaUx7Ay7NFCYEjQw7w==</t>
  </si>
  <si>
    <t>M001769.WAV</t>
  </si>
  <si>
    <t>O2yNUKImZrnnZrZo04k5iw==</t>
  </si>
  <si>
    <t>M001770.WAV</t>
  </si>
  <si>
    <t>sUpoQSGNzv9M1gY8Z7Du2A==</t>
  </si>
  <si>
    <t>M001771.WAV</t>
  </si>
  <si>
    <t>oIW9evb4XgDcTrkau8aGbQ==</t>
  </si>
  <si>
    <t>M001772.WAV</t>
  </si>
  <si>
    <t>W3PelIK4W4NYmq8vEw68PA==</t>
  </si>
  <si>
    <t>M001773.WAV</t>
  </si>
  <si>
    <t>vJgAAdb77tIUI207eGtlhg==</t>
  </si>
  <si>
    <t>M001774.WAV</t>
  </si>
  <si>
    <t>zvnA/uEqtoUoJLpBXlot3A==</t>
  </si>
  <si>
    <t>M001775.WAV</t>
  </si>
  <si>
    <t>a1WhLJNwoy0DlWvhuOE0kQ==</t>
  </si>
  <si>
    <t>M001776.WAV</t>
  </si>
  <si>
    <t>Q2l2O3cEsUtCXz7qbjj0PA==</t>
  </si>
  <si>
    <t>M001777.WAV</t>
  </si>
  <si>
    <t>HJy+PSgv9o6sWqY4Cas8Zw==</t>
  </si>
  <si>
    <t>M001778.WAV</t>
  </si>
  <si>
    <t>zLUnMNuxOGfxHIa5jPRGGQ==</t>
  </si>
  <si>
    <t>M001779.WAV</t>
  </si>
  <si>
    <t>ys0dPaUUm4C/g1uVWzwxUw==</t>
  </si>
  <si>
    <t>M001780.WAV</t>
  </si>
  <si>
    <t>d45bbquVvtmrOAXkJ0q/4w==</t>
  </si>
  <si>
    <t>M001781.WAV</t>
  </si>
  <si>
    <t>aZq/vHnYqjqIuvLeVBMUMQ==</t>
  </si>
  <si>
    <t>M001782.WAV</t>
  </si>
  <si>
    <t>Uy7BHcsePR/1/KhS6duXMw==</t>
  </si>
  <si>
    <t>M001783.WAV</t>
  </si>
  <si>
    <t>EINoJeyeEfqZTTUFv+OJzw==</t>
  </si>
  <si>
    <t>M001784.WAV</t>
  </si>
  <si>
    <t>cflHFgvqmJgomrzORc71SA==</t>
  </si>
  <si>
    <t>M001785.WAV</t>
  </si>
  <si>
    <t>Jw6yRC9q5rJLacEaYSqwlA==</t>
  </si>
  <si>
    <t>M001786.WAV</t>
  </si>
  <si>
    <t>LZRUWsGtMkikgOXB7S5ryg==</t>
  </si>
  <si>
    <t>M001787.WAV</t>
  </si>
  <si>
    <t>84R1efleI+FuP3A5DpD6TQ==</t>
  </si>
  <si>
    <t>M001788.WAV</t>
  </si>
  <si>
    <t>+Dw79RxgOTYKXAp7RHAddg==</t>
  </si>
  <si>
    <t>M001789.WAV</t>
  </si>
  <si>
    <t>7ag06OyUumHlEKHGHU5UJA==</t>
  </si>
  <si>
    <t>M001790.WAV</t>
  </si>
  <si>
    <t>ZshmY1elMFNbyopUqVxAdg==</t>
  </si>
  <si>
    <t>M001791.WAV</t>
  </si>
  <si>
    <t>Y9Cq4uU1L+VGZp5kiOopaA==</t>
  </si>
  <si>
    <t>M001792.WAV</t>
  </si>
  <si>
    <t>Cl3F2GwR5gd6TQKiHjr3+g==</t>
  </si>
  <si>
    <t>M001793.WAV</t>
  </si>
  <si>
    <t>IAz67pmqqAbSb6cMvKO2Mw==</t>
  </si>
  <si>
    <t>M001794.WAV</t>
  </si>
  <si>
    <t>Nr0KdZdqif89iK7pGwCCcA==</t>
  </si>
  <si>
    <t>M001795.WAV</t>
  </si>
  <si>
    <t>dTWTG4a9A4L0lsQ4CmyR7g==</t>
  </si>
  <si>
    <t>M001796.WAV</t>
  </si>
  <si>
    <t>ippRB5wJH7L7M9qtxgNEuw==</t>
  </si>
  <si>
    <t>M001797.WAV</t>
  </si>
  <si>
    <t>au+uxGl1RjJoOWtRqiaL9w==</t>
  </si>
  <si>
    <t>M001798.WAV</t>
  </si>
  <si>
    <t>IHTg5Yr09Icqcj/6GCnASA==</t>
  </si>
  <si>
    <t>M001799.WAV</t>
  </si>
  <si>
    <t>H3Rje7QvsZNxNhGEF9Kr/w==</t>
  </si>
  <si>
    <t>M001800.WAV</t>
  </si>
  <si>
    <t>y4O62xsgNDSMVc4+OZlyLg==</t>
  </si>
  <si>
    <t>M001801.WAV</t>
  </si>
  <si>
    <t>/9j8l/0DScaoBqYGR/tCuA==</t>
  </si>
  <si>
    <t>M001802.WAV</t>
  </si>
  <si>
    <t>bJNWU3nf+qYanzEDFQQahQ==</t>
  </si>
  <si>
    <t>M001803.WAV</t>
  </si>
  <si>
    <t>1THbgumeQi3AXr37rQaq3Q==</t>
  </si>
  <si>
    <t>M001804.WAV</t>
  </si>
  <si>
    <t>M1+XMrq2g+xaIfgVX30HGA==</t>
  </si>
  <si>
    <t>M001805.WAV</t>
  </si>
  <si>
    <t>h+YdRzu/AiWIzbV9Q1s7ew==</t>
  </si>
  <si>
    <t>M001806.WAV</t>
  </si>
  <si>
    <t>NtR/TqCSKJsLWbnVZ7aIiQ==</t>
  </si>
  <si>
    <t>M001807.WAV</t>
  </si>
  <si>
    <t>e9G3hwUlAduIfaSc1Zjj2w==</t>
  </si>
  <si>
    <t>M001808.WAV</t>
  </si>
  <si>
    <t>1Q8n6/NSjGt0PMoViKHVCg==</t>
  </si>
  <si>
    <t>M001809.WAV</t>
  </si>
  <si>
    <t>oJCCh/GsM9+b9SIwRuWa7Q==</t>
  </si>
  <si>
    <t>M001810.WAV</t>
  </si>
  <si>
    <t>cCKiRIVTkto+dUyyW7oCLA==</t>
  </si>
  <si>
    <t>M001811.WAV</t>
  </si>
  <si>
    <t>gQEn5CH0si7Vx0OoGC9R8g==</t>
  </si>
  <si>
    <t>M001812.WAV</t>
  </si>
  <si>
    <t>shG1m+8sC4raQwgO8526GQ==</t>
  </si>
  <si>
    <t>M001813.WAV</t>
  </si>
  <si>
    <t>onTmVNGG0EuMy0+PQo8b2w==</t>
  </si>
  <si>
    <t>M001814.WAV</t>
  </si>
  <si>
    <t>AM7+GRPoUWbWgXgK5UC9vQ==</t>
  </si>
  <si>
    <t>M001815.WAV</t>
  </si>
  <si>
    <t>1dwr3V3MlIaY7Q2Rhp+7OA==</t>
  </si>
  <si>
    <t>M001816.WAV</t>
  </si>
  <si>
    <t>6U7/9+FjSZV0BMy/JRe5fw==</t>
  </si>
  <si>
    <t>M001817.WAV</t>
  </si>
  <si>
    <t>Yl6AOSMAjugTF7ObaC1mqQ==</t>
  </si>
  <si>
    <t>M001818.WAV</t>
  </si>
  <si>
    <t>PVQonAhL+zRInXDLafe+uA==</t>
  </si>
  <si>
    <t>M001819.WAV</t>
  </si>
  <si>
    <t>LuU7iomHmo3e0BAgkIgEKg==</t>
  </si>
  <si>
    <t>M001820.WAV</t>
  </si>
  <si>
    <t>XW7TQy9rdK3DRAGyVcGhkw==</t>
  </si>
  <si>
    <t>M001821.WAV</t>
  </si>
  <si>
    <t>0t52hakFylHaO5kZcCGadQ==</t>
  </si>
  <si>
    <t>M001822.WAV</t>
  </si>
  <si>
    <t>2S/XGmF7x5uI1NeuLt6M5Q==</t>
  </si>
  <si>
    <t>M001823.WAV</t>
  </si>
  <si>
    <t>VoE4C8/6nYM7KSetXbO6qQ==</t>
  </si>
  <si>
    <t>M001824.WAV</t>
  </si>
  <si>
    <t>F1GI+nyPtWJ5FjzOpMcgiA==</t>
  </si>
  <si>
    <t>M001825.WAV</t>
  </si>
  <si>
    <t>BieTWmjHur55WGk5Wv+/gw==</t>
  </si>
  <si>
    <t>M001826.WAV</t>
  </si>
  <si>
    <t>s8vAflixCBCbCkVQeKzTrQ==</t>
  </si>
  <si>
    <t>M001827.WAV</t>
  </si>
  <si>
    <t>t2zmsuP3mk7HHi59Fj6lqQ==</t>
  </si>
  <si>
    <t>M001828.WAV</t>
  </si>
  <si>
    <t>zWXEGtLaasTVIjwpFoLPNA==</t>
  </si>
  <si>
    <t>M001829.WAV</t>
  </si>
  <si>
    <t>sa5kKJf9kn3nB80DI4EzZQ==</t>
  </si>
  <si>
    <t>M001830.WAV</t>
  </si>
  <si>
    <t>eUULEsFOgkO+5tI5T9OKMw==</t>
  </si>
  <si>
    <t>M001831.WAV</t>
  </si>
  <si>
    <t>k/PnLrScjZXJZPvv2I1Mdg==</t>
  </si>
  <si>
    <t>M001832.WAV</t>
  </si>
  <si>
    <t>ZqGh7mk77Y9RYzh9lub65Q==</t>
  </si>
  <si>
    <t>M001833.WAV</t>
  </si>
  <si>
    <t>5ZfA5VXnv+uYYIJCPGbuBw==</t>
  </si>
  <si>
    <t>M001834.WAV</t>
  </si>
  <si>
    <t>Xy8t8xE9tle9EdXzzGz/kA==</t>
  </si>
  <si>
    <t>M001835.WAV</t>
  </si>
  <si>
    <t>jO98x9u1Igqxa9Nb4wJA7w==</t>
  </si>
  <si>
    <t>M001836.WAV</t>
  </si>
  <si>
    <t>8Ok77AlJz0YTXWcTyc60aw==</t>
  </si>
  <si>
    <t>M001837.WAV</t>
  </si>
  <si>
    <t>7v15TAfJcLYsqdNJZSo7Cg==</t>
  </si>
  <si>
    <t>M001838.WAV</t>
  </si>
  <si>
    <t>m0mfmY53rUVLv1yz/Viz/w==</t>
  </si>
  <si>
    <t>M001839.WAV</t>
  </si>
  <si>
    <t>cVtdCLySM9OZT7d2M+2Rqw==</t>
  </si>
  <si>
    <t>M001840.WAV</t>
  </si>
  <si>
    <t>3QAcnIVgtE76HwiPGZ28EA==</t>
  </si>
  <si>
    <t>M001841.WAV</t>
  </si>
  <si>
    <t>xYmGFERme5ZxwR4SstKt1A==</t>
  </si>
  <si>
    <t>M001842.WAV</t>
  </si>
  <si>
    <t>Rdtp+HUDz06ie7FqlzMgQg==</t>
  </si>
  <si>
    <t>M001843.WAV</t>
  </si>
  <si>
    <t>JwE0w8hdzMCQymbxI5/36w==</t>
  </si>
  <si>
    <t>M001844.WAV</t>
  </si>
  <si>
    <t>xf6vxjLwjiwu3RQEaVgs1g==</t>
  </si>
  <si>
    <t>M001845.WAV</t>
  </si>
  <si>
    <t>FQScltKxAxd0AjnVnJFc3w==</t>
  </si>
  <si>
    <t>M001846.WAV</t>
  </si>
  <si>
    <t>qUs30/CBKxJlal70XzIWyQ==</t>
  </si>
  <si>
    <t>M001847.WAV</t>
  </si>
  <si>
    <t>wBa7dPmcNLz48nVdzmryiw==</t>
  </si>
  <si>
    <t>M001848.WAV</t>
  </si>
  <si>
    <t>SlMJ1AdqxWXnHNOkh/RcoA==</t>
  </si>
  <si>
    <t>M001849.WAV</t>
  </si>
  <si>
    <t>zoZzdPWg6XNiS7uMz6wp9A==</t>
  </si>
  <si>
    <t>M001850.WAV</t>
  </si>
  <si>
    <t>bucUI37cEMOF5wA2/jWlYg==</t>
  </si>
  <si>
    <t>M001851.WAV</t>
  </si>
  <si>
    <t>1MZHPg544KCsxRl0wxrTXQ==</t>
  </si>
  <si>
    <t>M001852.WAV</t>
  </si>
  <si>
    <t>4LK1s7zw4D7IBpmQN4tXAQ==</t>
  </si>
  <si>
    <t>M001853.WAV</t>
  </si>
  <si>
    <t>YZfgKI3sHCpD/EI8oGbyow==</t>
  </si>
  <si>
    <t>M001854.WAV</t>
  </si>
  <si>
    <t>bV2xAdvCxQ3PAzqECBnjHg==</t>
  </si>
  <si>
    <t>M001855.WAV</t>
  </si>
  <si>
    <t>IIdltdcEsSYYWE1EaRlrLg==</t>
  </si>
  <si>
    <t>M001856.WAV</t>
  </si>
  <si>
    <t>eWjDdxccrTFhaKjR/HRnrA==</t>
  </si>
  <si>
    <t>M001857.WAV</t>
  </si>
  <si>
    <t>bT1zJz6tutk8PxEpOQ5rxw==</t>
  </si>
  <si>
    <t>M001858.WAV</t>
  </si>
  <si>
    <t>J4yWzibMPlF/KHK6iFD3tA==</t>
  </si>
  <si>
    <t>M001859.WAV</t>
  </si>
  <si>
    <t>4xuGjF8uVtRxOwH82ozCTA==</t>
  </si>
  <si>
    <t>M001860.WAV</t>
  </si>
  <si>
    <t>YhUzDgcZo3wkpH4APDIPpg==</t>
  </si>
  <si>
    <t>M001861.WAV</t>
  </si>
  <si>
    <t>ctQ9k2dh2l73Q/60XMBTsA==</t>
  </si>
  <si>
    <t>M001862.WAV</t>
  </si>
  <si>
    <t>FktqoQPUf2m+9f8mRVpadw==</t>
  </si>
  <si>
    <t>M001863.WAV</t>
  </si>
  <si>
    <t>n6BcQpiDlSzN7qImQPx1hQ==</t>
  </si>
  <si>
    <t>M001864.WAV</t>
  </si>
  <si>
    <t>SOqtbBIKX/CdwbuOdPjRmg==</t>
  </si>
  <si>
    <t>M001865.WAV</t>
  </si>
  <si>
    <t>ZVhriP11JPRN3S8qIBQAMg==</t>
  </si>
  <si>
    <t>M001866.WAV</t>
  </si>
  <si>
    <t>i+txG3SxqrhSGSnUX8PhWg==</t>
  </si>
  <si>
    <t>M001867.WAV</t>
  </si>
  <si>
    <t>/F47SDh6OTdswqNkMjXWUg==</t>
  </si>
  <si>
    <t>M001868.WAV</t>
  </si>
  <si>
    <t>MVQNG6oLT+qd5JTd90+M9Q==</t>
  </si>
  <si>
    <t>M001869.WAV</t>
  </si>
  <si>
    <t>a40npEoFOZ/SjFMXmMnkeg==</t>
  </si>
  <si>
    <t>M001870.WAV</t>
  </si>
  <si>
    <t>08cIb7GEkcDBRilrB56Dwg==</t>
  </si>
  <si>
    <t>M001871.WAV</t>
  </si>
  <si>
    <t>48ZAjmZnIKInv9HoGD55Bg==</t>
  </si>
  <si>
    <t>M001872.WAV</t>
  </si>
  <si>
    <t>OgN42Yh0cnI/qG+NKjWSrg==</t>
  </si>
  <si>
    <t>M001873.WAV</t>
  </si>
  <si>
    <t>H53krnf6lTyrX4ZixG+gNw==</t>
  </si>
  <si>
    <t>M001874.WAV</t>
  </si>
  <si>
    <t>ayyIjGtCB4Xw9jAPdn6u+g==</t>
  </si>
  <si>
    <t>M001875.WAV</t>
  </si>
  <si>
    <t>nHoh08RkPbHZC07naOzXGA==</t>
  </si>
  <si>
    <t>M001876.WAV</t>
  </si>
  <si>
    <t>kgFnL7dgJ9YYnD38ewblqA==</t>
  </si>
  <si>
    <t>M001877.WAV</t>
  </si>
  <si>
    <t>XjNH4NT4KV/dkm0qKMHQ7A==</t>
  </si>
  <si>
    <t>M001878.WAV</t>
  </si>
  <si>
    <t>MpjqtLFl/I0K3E1zib8bmw==</t>
  </si>
  <si>
    <t>M001879.WAV</t>
  </si>
  <si>
    <t>aKkD+/klkH6/pt4mNsE4ZA==</t>
  </si>
  <si>
    <t>M001880.WAV</t>
  </si>
  <si>
    <t>1pZsdlzWtg5DxkORk4ty2g==</t>
  </si>
  <si>
    <t>M001881.WAV</t>
  </si>
  <si>
    <t>2jyC7NhwRUTnfp4iqt2AVw==</t>
  </si>
  <si>
    <t>M001882.WAV</t>
  </si>
  <si>
    <t>ogsH/VBSsQUsGqNTbZhESg==</t>
  </si>
  <si>
    <t>M001883.WAV</t>
  </si>
  <si>
    <t>gm/ulJ2kEjbH940NiQL5vQ==</t>
  </si>
  <si>
    <t>M001884.WAV</t>
  </si>
  <si>
    <t>W/HJ7KJMgGyMRUT65kDscA==</t>
  </si>
  <si>
    <t>M001885.WAV</t>
  </si>
  <si>
    <t>NpBTsmCVWt992mU/9E5/2Q==</t>
  </si>
  <si>
    <t>M001886.WAV</t>
  </si>
  <si>
    <t>6LG+89e7rpHrHD/vPgk3bA==</t>
  </si>
  <si>
    <t>M001887.WAV</t>
  </si>
  <si>
    <t>MAsy9JIxRRHWtapTj5oY/A==</t>
  </si>
  <si>
    <t>M001888.WAV</t>
  </si>
  <si>
    <t>V19lOjVrcF7Z0ZETERZCYg==</t>
  </si>
  <si>
    <t>M001889.WAV</t>
  </si>
  <si>
    <t>z4qnpw3LmKcezpbijS3r1Q==</t>
  </si>
  <si>
    <t>M001890.WAV</t>
  </si>
  <si>
    <t>zJB3wf3dCYYQemzUn/ju0w==</t>
  </si>
  <si>
    <t>M001891.WAV</t>
  </si>
  <si>
    <t>yuSgEB3Db4+0FiyLSOzyUw==</t>
  </si>
  <si>
    <t>M001892.WAV</t>
  </si>
  <si>
    <t>mcN8G+dG9xnpnX+XbyI+3Q==</t>
  </si>
  <si>
    <t>M001893.WAV</t>
  </si>
  <si>
    <t>JSEwVIekg+HxMIcnIDB3Ng==</t>
  </si>
  <si>
    <t>M001894.WAV</t>
  </si>
  <si>
    <t>yF4+aX9Y07CNxroIGbBlog==</t>
  </si>
  <si>
    <t>M001895.WAV</t>
  </si>
  <si>
    <t>n7RkQukWEnzyvFZ92dTFsg==</t>
  </si>
  <si>
    <t>M001896.WAV</t>
  </si>
  <si>
    <t>QjEmpva/OGuoSMZhr0TfAg==</t>
  </si>
  <si>
    <t>M001897.WAV</t>
  </si>
  <si>
    <t>2RmFEB8tB3R6dufRVawoTg==</t>
  </si>
  <si>
    <t>M001898.WAV</t>
  </si>
  <si>
    <t>iDqRtpbELDo6gI1a1daUKg==</t>
  </si>
  <si>
    <t>M001899.WAV</t>
  </si>
  <si>
    <t>QLTYgQXEqZwTfHwYO4aYjQ==</t>
  </si>
  <si>
    <t>M001900.WAV</t>
  </si>
  <si>
    <t>fpzMLyNDngKasHlEVp1vqg==</t>
  </si>
  <si>
    <t>M001901.WAV</t>
  </si>
  <si>
    <t>SHR6vuQBiH1lQ2HjHCIsUg==</t>
  </si>
  <si>
    <t>M001902.WAV</t>
  </si>
  <si>
    <t>7McP6AEo0mVobyWRSMxxWA==</t>
  </si>
  <si>
    <t>M001903.WAV</t>
  </si>
  <si>
    <t>2Wiuko38Cd1j/UaL1n6ZvQ==</t>
  </si>
  <si>
    <t>M001904.WAV</t>
  </si>
  <si>
    <t>MblYpXVBWq4Dif8d/+L/hA==</t>
  </si>
  <si>
    <t>M001905.WAV</t>
  </si>
  <si>
    <t>buNCB04u+FjxB8rSVf1a1Q==</t>
  </si>
  <si>
    <t>M001906.WAV</t>
  </si>
  <si>
    <t>hSJ1dd7coQvYTc4EbaVPiQ==</t>
  </si>
  <si>
    <t>M001907.WAV</t>
  </si>
  <si>
    <t>ezhNpOZWvgXq4Q2+L7t9nA==</t>
  </si>
  <si>
    <t>M001908.WAV</t>
  </si>
  <si>
    <t>DyjnyvaW+DgHJKvKkXKGLA==</t>
  </si>
  <si>
    <t>M001909.WAV</t>
  </si>
  <si>
    <t>yf/Aoj0oymwFOxkms0Rxag==</t>
  </si>
  <si>
    <t>M001910.WAV</t>
  </si>
  <si>
    <t>yFMeyA3snj0CLPv/DoWoLw==</t>
  </si>
  <si>
    <t>M001911.WAV</t>
  </si>
  <si>
    <t>IKl2/ywHDuDsi+xJBh9Lcw==</t>
  </si>
  <si>
    <t>M001912.WAV</t>
  </si>
  <si>
    <t>a6c07f0M4XbqnlEC1MZimA==</t>
  </si>
  <si>
    <t>M001913.WAV</t>
  </si>
  <si>
    <t>qYpzwLA4lPBmOXsvl7KBww==</t>
  </si>
  <si>
    <t>M001914.WAV</t>
  </si>
  <si>
    <t>YMznB89nu4hP6qCxekWqKw==</t>
  </si>
  <si>
    <t>M001915.WAV</t>
  </si>
  <si>
    <t>OPIrs8n0QLdg2YlOcKkAYg==</t>
  </si>
  <si>
    <t>M001916.WAV</t>
  </si>
  <si>
    <t>TT9sDSpGPLncT8YggsVGfA==</t>
  </si>
  <si>
    <t>M001917.WAV</t>
  </si>
  <si>
    <t>gI5fDnyHtcO44XnMJ0Q1UQ==</t>
  </si>
  <si>
    <t>M001918.WAV</t>
  </si>
  <si>
    <t>ejTsFKNX+ioIjgqwT1JG7w==</t>
  </si>
  <si>
    <t>M001919.WAV</t>
  </si>
  <si>
    <t>jitExe61dHQYgiZ8U/20Yw==</t>
  </si>
  <si>
    <t>M001920.WAV</t>
  </si>
  <si>
    <t>l5MxRncN8yeG8bPkE3k+BQ==</t>
  </si>
  <si>
    <t>M001921.WAV</t>
  </si>
  <si>
    <t>vMctMN1fxnh29zAuNjB1fg==</t>
  </si>
  <si>
    <t>M001922.WAV</t>
  </si>
  <si>
    <t>DDHiLjha8scOdvS9xe5CMA==</t>
  </si>
  <si>
    <t>M001923.WAV</t>
  </si>
  <si>
    <t>V5HoI6PkTh+f+kq26lZFtg==</t>
  </si>
  <si>
    <t>M001924.WAV</t>
  </si>
  <si>
    <t>rmqsdpQKjbVmeZxWZ5F7mg==</t>
  </si>
  <si>
    <t>M001925.WAV</t>
  </si>
  <si>
    <t>CRpLUC1IkyhMaOOjlsI0Sg==</t>
  </si>
  <si>
    <t>M001926.WAV</t>
  </si>
  <si>
    <t>GTSYM5KcLqPKcBVLxqXTag==</t>
  </si>
  <si>
    <t>M001927.WAV</t>
  </si>
  <si>
    <t>rgrzbWtXq4FL3DsHaIeUbQ==</t>
  </si>
  <si>
    <t>M001928.WAV</t>
  </si>
  <si>
    <t>qd83xDXJmCh4wuCkJtuYsQ==</t>
  </si>
  <si>
    <t>M001929.WAV</t>
  </si>
  <si>
    <t>cgF8QSnwITiNfz2+lKTSmw==</t>
  </si>
  <si>
    <t>M001930.WAV</t>
  </si>
  <si>
    <t>8UeT+lMHyJPqOdlxLtzOQw==</t>
  </si>
  <si>
    <t>M001931.WAV</t>
  </si>
  <si>
    <t>XGo5T2MXICmzdf1gTYGbiQ==</t>
  </si>
  <si>
    <t>M001932.WAV</t>
  </si>
  <si>
    <t>kY7YZo/v39oLOtm20AtgsQ==</t>
  </si>
  <si>
    <t>M001933.WAV</t>
  </si>
  <si>
    <t>RDW+5IUGzCctsYHO4Xrl6A==</t>
  </si>
  <si>
    <t>M001934.WAV</t>
  </si>
  <si>
    <t>JvzGlNWlqgDRw64oUkCsHw==</t>
  </si>
  <si>
    <t>M001935.WAV</t>
  </si>
  <si>
    <t>KIpqM/wiIRDsS4QMNXBhZA==</t>
  </si>
  <si>
    <t>M001936.WAV</t>
  </si>
  <si>
    <t>WL4EVbUaRPvjFHgzIqN3gA==</t>
  </si>
  <si>
    <t>M001937.WAV</t>
  </si>
  <si>
    <t>a8xkZz26ZOOo42E6wz0vng==</t>
  </si>
  <si>
    <t>M001938.WAV</t>
  </si>
  <si>
    <t>w48NMbOrCtih+8DnsV/iww==</t>
  </si>
  <si>
    <t>M001939.WAV</t>
  </si>
  <si>
    <t>5Goeol7mxl60iOTzzXyA5w==</t>
  </si>
  <si>
    <t>M001940.WAV</t>
  </si>
  <si>
    <t>hbSugtl35egLyXGjyfWpzw==</t>
  </si>
  <si>
    <t>M001941.WAV</t>
  </si>
  <si>
    <t>6dwwQ3ZVTC9ilvtoSNQMQg==</t>
  </si>
  <si>
    <t>M001942.WAV</t>
  </si>
  <si>
    <t>iGAzZCrsoMKYUUvy55/Dbg==</t>
  </si>
  <si>
    <t>M001943.WAV</t>
  </si>
  <si>
    <t>VsFwOTLQDOSedMbwghXc4A==</t>
  </si>
  <si>
    <t>M001944.WAV</t>
  </si>
  <si>
    <t>ZUNPENKJMo8L4xT+TyHXKQ==</t>
  </si>
  <si>
    <t>M001945.WAV</t>
  </si>
  <si>
    <t>PYThplD8+mGTmlTZj+ZqJQ==</t>
  </si>
  <si>
    <t>M001946.WAV</t>
  </si>
  <si>
    <t>0Fo+6MPpWu2B7ZYUZDSAXQ==</t>
  </si>
  <si>
    <t>M001947.WAV</t>
  </si>
  <si>
    <t>Lx8EhA0NwaLduCs5ZrmM6Q==</t>
  </si>
  <si>
    <t>M001948.WAV</t>
  </si>
  <si>
    <t>nlj4qQzJ7ufL7LeKvfDXsQ==</t>
  </si>
  <si>
    <t>M001949.WAV</t>
  </si>
  <si>
    <t>1fG1eFJoX1qcqIycyu2aDg==</t>
  </si>
  <si>
    <t>M001950.WAV</t>
  </si>
  <si>
    <t>yU6rC7XRU9Y8wiULN/1PXA==</t>
  </si>
  <si>
    <t>M001951.WAV</t>
  </si>
  <si>
    <t>WBLUDV5YUgPfHq3NiMmTqQ==</t>
  </si>
  <si>
    <t>M001952.WAV</t>
  </si>
  <si>
    <t>sQtli1gWU2a8LLdv/ZvNZA==</t>
  </si>
  <si>
    <t>M001953.WAV</t>
  </si>
  <si>
    <t>FUx3X+sAnGzRZWsOhGehMQ==</t>
  </si>
  <si>
    <t>M001954.WAV</t>
  </si>
  <si>
    <t>z4dMGnOYu0Sqof8MouMQQA==</t>
  </si>
  <si>
    <t>M001955.WAV</t>
  </si>
  <si>
    <t>wUAYXl0nbG4F9zKkgOZjcQ==</t>
  </si>
  <si>
    <t>M001956.WAV</t>
  </si>
  <si>
    <t>cqKYAEzcXfnJgJC+GZJ+yw==</t>
  </si>
  <si>
    <t>M001957.WAV</t>
  </si>
  <si>
    <t>iw6EwAdTx7tv1ameQG/pDw==</t>
  </si>
  <si>
    <t>M001958.WAV</t>
  </si>
  <si>
    <t>2HA014pxpSp7zbvFs24wkg==</t>
  </si>
  <si>
    <t>M001959.WAV</t>
  </si>
  <si>
    <t>B8MS6Uj9UW46LVZpcf1l2A==</t>
  </si>
  <si>
    <t>M001960.WAV</t>
  </si>
  <si>
    <t>kPGimKTcczO/2f3fC0cEig==</t>
  </si>
  <si>
    <t>M001961.WAV</t>
  </si>
  <si>
    <t>QOTownazc0JTQKWnEsKtmg==</t>
  </si>
  <si>
    <t>M001962.WAV</t>
  </si>
  <si>
    <t>zEX++/d0AK11DPttpJK//w==</t>
  </si>
  <si>
    <t>M001963.WAV</t>
  </si>
  <si>
    <t>1JuiIf+GINriDqwV/ac6cw==</t>
  </si>
  <si>
    <t>M001964.WAV</t>
  </si>
  <si>
    <t>7aI1lhwtvI5yAsJWMDCBcA==</t>
  </si>
  <si>
    <t>M001965.WAV</t>
  </si>
  <si>
    <t>8oqmaiREWc8eMViaKBNsmA==</t>
  </si>
  <si>
    <t>M001966.WAV</t>
  </si>
  <si>
    <t>vllQpznJaoEpLh+WB3VbxA==</t>
  </si>
  <si>
    <t>M001967.WAV</t>
  </si>
  <si>
    <t>Yu5Tl0sO8uwtq0qFm+VzKA==</t>
  </si>
  <si>
    <t>M001968.WAV</t>
  </si>
  <si>
    <t>7NWUc1/Z2Pt8LG2ik/ksTg==</t>
  </si>
  <si>
    <t>M001969.WAV</t>
  </si>
  <si>
    <t>0moqdvA3C60QOwvaU8h65A==</t>
  </si>
  <si>
    <t>M001970.WAV</t>
  </si>
  <si>
    <t>x6pg56jGtG6KcJqD56SsSA==</t>
  </si>
  <si>
    <t>M001971.WAV</t>
  </si>
  <si>
    <t>01EwpqZy/e16DxOlou+84g==</t>
  </si>
  <si>
    <t>M001972.WAV</t>
  </si>
  <si>
    <t>jxEMAO1VN5EDikCfbDLKkw==</t>
  </si>
  <si>
    <t>M001973.WAV</t>
  </si>
  <si>
    <t>cjuVTHtalSYkPLgOZy8Pgw==</t>
  </si>
  <si>
    <t>M001974.WAV</t>
  </si>
  <si>
    <t>vqYdyVRnHCC4Kd6f1o32uw==</t>
  </si>
  <si>
    <t>M001975.WAV</t>
  </si>
  <si>
    <t>Z7cQcKwUBNSSfBuSgZUumg==</t>
  </si>
  <si>
    <t>M001976.WAV</t>
  </si>
  <si>
    <t>ZinJ3QR+qnWzqLuB5MXvAQ==</t>
  </si>
  <si>
    <t>M001977.WAV</t>
  </si>
  <si>
    <t>ZaNjTNjsCaoXgG5y7k+5fw==</t>
  </si>
  <si>
    <t>M001978.WAV</t>
  </si>
  <si>
    <t>4YHH4z7s9eycXAlOeEwXFw==</t>
  </si>
  <si>
    <t>M001979.WAV</t>
  </si>
  <si>
    <t>GHOfVOD0DmOFDDw+7YXCsA==</t>
  </si>
  <si>
    <t>M001980.WAV</t>
  </si>
  <si>
    <t>L64BO806Zj510QNIKwLJ7w==</t>
  </si>
  <si>
    <t>M001981.WAV</t>
  </si>
  <si>
    <t>k/t8Mi77wb41LN3oS1hqhA==</t>
  </si>
  <si>
    <t>M001982.WAV</t>
  </si>
  <si>
    <t>a4fCkC5NYcbt1+DaMcbeIg==</t>
  </si>
  <si>
    <t>M001983.WAV</t>
  </si>
  <si>
    <t>XvM/6+gGhe8j2WxroqdqNA==</t>
  </si>
  <si>
    <t>M001984.WAV</t>
  </si>
  <si>
    <t>0aZj1dOzzf+qis/X3tg5LQ==</t>
  </si>
  <si>
    <t>M001985.WAV</t>
  </si>
  <si>
    <t>97S1x7YG9oF4TvU9OvQ+9w==</t>
  </si>
  <si>
    <t>M001986.WAV</t>
  </si>
  <si>
    <t>lQLBUGmRXeYschkOUr8qAA==</t>
  </si>
  <si>
    <t>M001987.WAV</t>
  </si>
  <si>
    <t>MDeyqfc9FpXoUHLupm7v+w==</t>
  </si>
  <si>
    <t>M001988.WAV</t>
  </si>
  <si>
    <t>B6W4/e64ZCuGQiz44+agrg==</t>
  </si>
  <si>
    <t>M001989.WAV</t>
  </si>
  <si>
    <t>uvH5nsLCaToipx3n8GLHAw==</t>
  </si>
  <si>
    <t>M001990.WAV</t>
  </si>
  <si>
    <t>B0pzvoKCJCRSfyWOiFRFKQ==</t>
  </si>
  <si>
    <t>M001991.WAV</t>
  </si>
  <si>
    <t>T5Tl9CJL6pNlN3JVkQ6atg==</t>
  </si>
  <si>
    <t>M001992.WAV</t>
  </si>
  <si>
    <t>yFAQbVHPxThxaqHw4F4kBA==</t>
  </si>
  <si>
    <t>M001993.WAV</t>
  </si>
  <si>
    <t>dV6D8FC22Dh/bLAAXzi4Ow==</t>
  </si>
  <si>
    <t>M001994.WAV</t>
  </si>
  <si>
    <t>2ao0OE/w87paFsiEeVJyyw==</t>
  </si>
  <si>
    <t>M001995.WAV</t>
  </si>
  <si>
    <t>g/BKW0Y2MVBUSrz7gSjHdw==</t>
  </si>
  <si>
    <t>M001996.WAV</t>
  </si>
  <si>
    <t>n17EeTIBWsxnqFniVLtAVg==</t>
  </si>
  <si>
    <t>M001997.WAV</t>
  </si>
  <si>
    <t>GedOtOrRdgm7e2o27LqoQA==</t>
  </si>
  <si>
    <t>M001998.WAV</t>
  </si>
  <si>
    <t>MdwC49ZKgCseiXHySxm3UA==</t>
  </si>
  <si>
    <t>M001999.WAV</t>
  </si>
  <si>
    <t>9wxq15qBVwjoD4/lAwF0vg==</t>
  </si>
  <si>
    <t>M002000.WAV</t>
  </si>
  <si>
    <t>Sxq72rr0JXf7CoWdbBD6MA==</t>
  </si>
  <si>
    <t>M002001.WAV</t>
  </si>
  <si>
    <t>yZR0wRWgt11q3Q6n0btYoA==</t>
  </si>
  <si>
    <t>M002002.WAV</t>
  </si>
  <si>
    <t>FUa3pL5fP/B7I9Tmq7K/mA==</t>
  </si>
  <si>
    <t>M002003.WAV</t>
  </si>
  <si>
    <t>iteD1//J+mRTFU7hnaWejA==</t>
  </si>
  <si>
    <t>M002004.WAV</t>
  </si>
  <si>
    <t>1zV9rmYh7KD7lNDmrusJCA==</t>
  </si>
  <si>
    <t>M002005.WAV</t>
  </si>
  <si>
    <t>FeTtWCuGIM31C8EqBLOFzg==</t>
  </si>
  <si>
    <t>M002006.WAV</t>
  </si>
  <si>
    <t>Uf+QdKBG7Wz6IQ2j3krW6Q==</t>
  </si>
  <si>
    <t>M002007.WAV</t>
  </si>
  <si>
    <t>oDtDL4ZAx3/rBzi4h0TcuA==</t>
  </si>
  <si>
    <t>M002008.WAV</t>
  </si>
  <si>
    <t>YwuIRHzzDxwaev3CXNJbTA==</t>
  </si>
  <si>
    <t>M002009.WAV</t>
  </si>
  <si>
    <t>U3/cfAIBMHgjii8q2jHQaA==</t>
  </si>
  <si>
    <t>M002010.WAV</t>
  </si>
  <si>
    <t>z7DV3PF9qH3nJiSCGO0rsw==</t>
  </si>
  <si>
    <t>M002011.WAV</t>
  </si>
  <si>
    <t>3fKyZyCnprJHvfOBRQfttA==</t>
  </si>
  <si>
    <t>M002012.WAV</t>
  </si>
  <si>
    <t>K0fjchB4AOk6v1a/GHNL+w==</t>
  </si>
  <si>
    <t>M002013.WAV</t>
  </si>
  <si>
    <t>Pw8bDtcz2bC/PuhBF5DJmA==</t>
  </si>
  <si>
    <t>M002014.WAV</t>
  </si>
  <si>
    <t>+NkNTW8wIoJ6oVGpZpOfRQ==</t>
  </si>
  <si>
    <t>M002015.WAV</t>
  </si>
  <si>
    <t>cIz/RX//zb1EhF+hurOD1g==</t>
  </si>
  <si>
    <t>M002016.WAV</t>
  </si>
  <si>
    <t>czOc0Ad1wno1Zb2ZVC2wzQ==</t>
  </si>
  <si>
    <t>M002017.WAV</t>
  </si>
  <si>
    <t>IrAILiG2T4r15MoQAeoDTA==</t>
  </si>
  <si>
    <t>M002018.WAV</t>
  </si>
  <si>
    <t>lyLpXubd4kNLnOUhEQHPRA==</t>
  </si>
  <si>
    <t>M002019.WAV</t>
  </si>
  <si>
    <t>HUpqUteKbMSmu3hpnfY+Iw==</t>
  </si>
  <si>
    <t>M002020.WAV</t>
  </si>
  <si>
    <t>qCA4ryH8Z/WALtHwcIOdvQ==</t>
  </si>
  <si>
    <t>M002021.WAV</t>
  </si>
  <si>
    <t>TCtz+RIJCNBF2JCYZHZA8Q==</t>
  </si>
  <si>
    <t>M002022.WAV</t>
  </si>
  <si>
    <t>ZxOsbU44L2Fip/bv4Jd/wA==</t>
  </si>
  <si>
    <t>M002023.WAV</t>
  </si>
  <si>
    <t>50HEtrVbFuj1swh0Y1u7HA==</t>
  </si>
  <si>
    <t>M002024.WAV</t>
  </si>
  <si>
    <t>P49QrxXcj6GPuMwV5mjfRg==</t>
  </si>
  <si>
    <t>M002025.WAV</t>
  </si>
  <si>
    <t>bkWlSgrCm2sL7ENJzXHOyA==</t>
  </si>
  <si>
    <t>M002026.WAV</t>
  </si>
  <si>
    <t>Acgbq4iDFRdXIN3NKb4X0A==</t>
  </si>
  <si>
    <t>M002027.WAV</t>
  </si>
  <si>
    <t>LQal26GsRLYDzUaEdl/Igw==</t>
  </si>
  <si>
    <t>M002028.WAV</t>
  </si>
  <si>
    <t>T+HmbWCASQp8tic2e24S6Q==</t>
  </si>
  <si>
    <t>M002029.WAV</t>
  </si>
  <si>
    <t>papXdhHClAMdFJlZlrTXEg==</t>
  </si>
  <si>
    <t>M002030.WAV</t>
  </si>
  <si>
    <t>y0eFWKVzVCbhpRVcSnhJ3g==</t>
  </si>
  <si>
    <t>M002031.WAV</t>
  </si>
  <si>
    <t>O+WZqPArq3WAEYlSQGEo8Q==</t>
  </si>
  <si>
    <t>M002032.WAV</t>
  </si>
  <si>
    <t>cXBtLZdn8zJea9HdsBALcA==</t>
  </si>
  <si>
    <t>M002033.WAV</t>
  </si>
  <si>
    <t>PjpisG8WbSng1vuytQb56A==</t>
  </si>
  <si>
    <t>M002034.WAV</t>
  </si>
  <si>
    <t>7r9Jhd2xgHf87LxLY4SqXQ==</t>
  </si>
  <si>
    <t>M002035.WAV</t>
  </si>
  <si>
    <t>gjo+YbxvdN57hZk1/l7mXg==</t>
  </si>
  <si>
    <t>M002036.WAV</t>
  </si>
  <si>
    <t>ccxjxETeAeEvn5Op6vjyrA==</t>
  </si>
  <si>
    <t>M002037.WAV</t>
  </si>
  <si>
    <t>5P+BBAaGe7wvR6tbHe9pSg==</t>
  </si>
  <si>
    <t>M002038.WAV</t>
  </si>
  <si>
    <t>y9MYanPhwfzN9JVsgLmxyw==</t>
  </si>
  <si>
    <t>M002039.WAV</t>
  </si>
  <si>
    <t>Z4Kn2HkNox5oofApC2ReGg==</t>
  </si>
  <si>
    <t>M002040.WAV</t>
  </si>
  <si>
    <t>Etp1DwTmmIB80oyUIqAybw==</t>
  </si>
  <si>
    <t>M002041.WAV</t>
  </si>
  <si>
    <t>lHt4t57xmBTAQlX3Gt6UsA==</t>
  </si>
  <si>
    <t>M002042.WAV</t>
  </si>
  <si>
    <t>rBOXOwU3usIyy5GCR7V5ew==</t>
  </si>
  <si>
    <t>M002043.WAV</t>
  </si>
  <si>
    <t>UBY/KdQykA/u9gjOroHBxw==</t>
  </si>
  <si>
    <t>M002044.WAV</t>
  </si>
  <si>
    <t>sBvdNmrihyCnO6XmfU5ACA==</t>
  </si>
  <si>
    <t>M002045.WAV</t>
  </si>
  <si>
    <t>u96c0bYBErZTMXT3mO9ojg==</t>
  </si>
  <si>
    <t>M002046.WAV</t>
  </si>
  <si>
    <t>KZQiKa6UtREGuQvHqgLNbg==</t>
  </si>
  <si>
    <t>M002047.WAV</t>
  </si>
  <si>
    <t>eyFOGSp+bPrcV9K+AwZVcw==</t>
  </si>
  <si>
    <t>M002048.WAV</t>
  </si>
  <si>
    <t>J7G8qzaazLLrM0qqv1hrqQ==</t>
  </si>
  <si>
    <t>M002049.WAV</t>
  </si>
  <si>
    <t>vmruCjBpmQQlenRtaIotTw==</t>
  </si>
  <si>
    <t>M002050.WAV</t>
  </si>
  <si>
    <t>p7IJbtyKC3egW9k904XV+w==</t>
  </si>
  <si>
    <t>M002051.WAV</t>
  </si>
  <si>
    <t>djO2wUUf11Ri1kvB3drdcQ==</t>
  </si>
  <si>
    <t>M002052.WAV</t>
  </si>
  <si>
    <t>9R7vsj8S1/JUOqgiKeVAQw==</t>
  </si>
  <si>
    <t>M002053.WAV</t>
  </si>
  <si>
    <t>MuaQWJmFRjsUAuBnmD7Fyw==</t>
  </si>
  <si>
    <t>M002054.WAV</t>
  </si>
  <si>
    <t>A0QL8cT/7YXD7gYU+jnX+Q==</t>
  </si>
  <si>
    <t>M002055.WAV</t>
  </si>
  <si>
    <t>qbEYoKMEhaQ/Cd2Fv+d0Yg==</t>
  </si>
  <si>
    <t>M002056.WAV</t>
  </si>
  <si>
    <t>KbU7w4ww51sMZHq2LA3z3w==</t>
  </si>
  <si>
    <t>M002057.WAV</t>
  </si>
  <si>
    <t>2tUoy2l7Dwdfx+N+n77Rhg==</t>
  </si>
  <si>
    <t>M002058.WAV</t>
  </si>
  <si>
    <t>bCUltCnuLOzsg/NZ9DErPg==</t>
  </si>
  <si>
    <t>M002059.WAV</t>
  </si>
  <si>
    <t>7RCHw5GghbDr0iOpaU9TBw==</t>
  </si>
  <si>
    <t>M002060.WAV</t>
  </si>
  <si>
    <t>htWd8u8+/VuEV7MqJl8cyg==</t>
  </si>
  <si>
    <t>M002061.WAV</t>
  </si>
  <si>
    <t>vzQ2dr+erfnD3g9thJ2YiA==</t>
  </si>
  <si>
    <t>M002062.WAV</t>
  </si>
  <si>
    <t>V19nrIBdNch5HwY5b82MPg==</t>
  </si>
  <si>
    <t>M002063.WAV</t>
  </si>
  <si>
    <t>PpwHNxQmcwxu3XUzhbJTAw==</t>
  </si>
  <si>
    <t>M002064.WAV</t>
  </si>
  <si>
    <t>JaKdeUnLOMBnxsPSG7lB7Q==</t>
  </si>
  <si>
    <t>M002065.WAV</t>
  </si>
  <si>
    <t>qMs31yTokI1ZiRjb0qOqWQ==</t>
  </si>
  <si>
    <t>M002066.WAV</t>
  </si>
  <si>
    <t>UhIFY1e7XYFq1X5mBH1jmA==</t>
  </si>
  <si>
    <t>M002067.WAV</t>
  </si>
  <si>
    <t>Y6eY41OgqMA0843Q7AJQpA==</t>
  </si>
  <si>
    <t>M002068.WAV</t>
  </si>
  <si>
    <t>NscQ+UsSswnBIyMUZnAuyQ==</t>
  </si>
  <si>
    <t>M002069.WAV</t>
  </si>
  <si>
    <t>V7hOmzpDe56RwMotrYwzIw==</t>
  </si>
  <si>
    <t>M002070.WAV</t>
  </si>
  <si>
    <t>rzB6uVRjGlXH4vN1XlwBHQ==</t>
  </si>
  <si>
    <t>M002071.WAV</t>
  </si>
  <si>
    <t>CGy5qN1fDQifxR6BFLmung==</t>
  </si>
  <si>
    <t>M002072.WAV</t>
  </si>
  <si>
    <t>ujaHQ5apupWk+pJbk+m2LQ==</t>
  </si>
  <si>
    <t>M002073.WAV</t>
  </si>
  <si>
    <t>PqlSxeul3trkymNibKnZ9Q==</t>
  </si>
  <si>
    <t>M002074.WAV</t>
  </si>
  <si>
    <t>JMzbYhRrd5Tfw00pbWEfKw==</t>
  </si>
  <si>
    <t>M002075.WAV</t>
  </si>
  <si>
    <t>NXXYfIugRlIjaEuslJ5uJw==</t>
  </si>
  <si>
    <t>M002076.WAV</t>
  </si>
  <si>
    <t>/AHaTVwtRh5KIqBWEZ3x5A==</t>
  </si>
  <si>
    <t>M002077.WAV</t>
  </si>
  <si>
    <t>t+3huXDRs2q9K0+b7y1s+Q==</t>
  </si>
  <si>
    <t>M002078.WAV</t>
  </si>
  <si>
    <t>/vYeb3pFMD1yVoXfIKKBIg==</t>
  </si>
  <si>
    <t>M002079.WAV</t>
  </si>
  <si>
    <t>xkFWBgzjCntimkGBQpacvA==</t>
  </si>
  <si>
    <t>M002080.WAV</t>
  </si>
  <si>
    <t>KLDhdUSqDxkam2fwLSw/Uw==</t>
  </si>
  <si>
    <t>M002081.WAV</t>
  </si>
  <si>
    <t>VV500pOY0gikCvexI/HstA==</t>
  </si>
  <si>
    <t>M002082.WAV</t>
  </si>
  <si>
    <t>uy3/U33QPhvD1nIOrAGEeA==</t>
  </si>
  <si>
    <t>M002083.WAV</t>
  </si>
  <si>
    <t>eLrMtajL5iMdD2EXZu0zFw==</t>
  </si>
  <si>
    <t>M002084.WAV</t>
  </si>
  <si>
    <t>pEtpLFh7Ox8SqAV49AnCyw==</t>
  </si>
  <si>
    <t>M002085.WAV</t>
  </si>
  <si>
    <t>iv/Jv9d7/dD6YgbbpJsc9g==</t>
  </si>
  <si>
    <t>M002086.WAV</t>
  </si>
  <si>
    <t>ZyEwAsK+xqqq5iqSoF3kHg==</t>
  </si>
  <si>
    <t>M002087.WAV</t>
  </si>
  <si>
    <t>HVavilrmbM9/5MoeqIZQbg==</t>
  </si>
  <si>
    <t>M002088.WAV</t>
  </si>
  <si>
    <t>GyGlqmVWr9nY1UANVoFmgw==</t>
  </si>
  <si>
    <t>M002089.WAV</t>
  </si>
  <si>
    <t>TA8Tx0Ipg3XWKDBrt8Afyg==</t>
  </si>
  <si>
    <t>M002090.WAV</t>
  </si>
  <si>
    <t>5ggPMbo6NKAzJ+Ogm82Ptw==</t>
  </si>
  <si>
    <t>M002091.WAV</t>
  </si>
  <si>
    <t>TX2TqcweIjsNOJBJe4Rxzg==</t>
  </si>
  <si>
    <t>M002092.WAV</t>
  </si>
  <si>
    <t>LeqqC30CwlTTTTf1ZhCP3A==</t>
  </si>
  <si>
    <t>M002093.WAV</t>
  </si>
  <si>
    <t>lyoB7DwADJspJldFhVtFDg==</t>
  </si>
  <si>
    <t>M002094.WAV</t>
  </si>
  <si>
    <t>ygpdDaCJmhAJf+hj/zfprg==</t>
  </si>
  <si>
    <t>M002095.WAV</t>
  </si>
  <si>
    <t>o5KQ8gdLNsPYSLxU9hLgQg==</t>
  </si>
  <si>
    <t>M002096.WAV</t>
  </si>
  <si>
    <t>1Ypuljz9lJbpW+4tgDP9ng==</t>
  </si>
  <si>
    <t>M002097.WAV</t>
  </si>
  <si>
    <t>BtQHebu2EqPtquCToYKnDQ==</t>
  </si>
  <si>
    <t>M002098.WAV</t>
  </si>
  <si>
    <t>Egdu3plGYqd/9JGQgm/41g==</t>
  </si>
  <si>
    <t>M002099.WAV</t>
  </si>
  <si>
    <t>R3gFWTXo+PKQAsSASI039g==</t>
  </si>
  <si>
    <t>M002100.WAV</t>
  </si>
  <si>
    <t>zqewhqPiVNwP49537571GA==</t>
  </si>
  <si>
    <t>M002101.WAV</t>
  </si>
  <si>
    <t>B+Rg/JZQFg3NLk0xFTsFxQ==</t>
  </si>
  <si>
    <t>M002102.WAV</t>
  </si>
  <si>
    <t>2DL7PBtbUD/sIB16HHid4g==</t>
  </si>
  <si>
    <t>M002103.WAV</t>
  </si>
  <si>
    <t>+P0qoS3Pm26b7inb1qDHow==</t>
  </si>
  <si>
    <t>M002104.WAV</t>
  </si>
  <si>
    <t>HkMDgzmaJSi1UXUlqKdTRQ==</t>
  </si>
  <si>
    <t>M002105.WAV</t>
  </si>
  <si>
    <t>+0/a8lWDxaK6mFe6Hk/QAg==</t>
  </si>
  <si>
    <t>M002106.WAV</t>
  </si>
  <si>
    <t>dTzIVSvO2JGcb+keyFiDxA==</t>
  </si>
  <si>
    <t>M002107.WAV</t>
  </si>
  <si>
    <t>OqDpI5yaxqSZDUZueniPHA==</t>
  </si>
  <si>
    <t>M002108.WAV</t>
  </si>
  <si>
    <t>ljJ6h0rh3EXL0CCp+x0Q8Q==</t>
  </si>
  <si>
    <t>M002109.WAV</t>
  </si>
  <si>
    <t>RReb+eu3A2Mb5RW1ZhoTcw==</t>
  </si>
  <si>
    <t>M002110.WAV</t>
  </si>
  <si>
    <t>/ITVEXMhxsLpaYHScq4FYA==</t>
  </si>
  <si>
    <t>M002111.WAV</t>
  </si>
  <si>
    <t>C0MJRnkge4RhUTl1M4PGCg==</t>
  </si>
  <si>
    <t>M002112.WAV</t>
  </si>
  <si>
    <t>aGerpSA1IYNsd6Siw2vyJg==</t>
  </si>
  <si>
    <t>M002113.WAV</t>
  </si>
  <si>
    <t>jxtQS0FCdtCkhMDC7Qr/gQ==</t>
  </si>
  <si>
    <t>M002114.WAV</t>
  </si>
  <si>
    <t>d/xfOyO1Tq+Zv7FA0T5JBw==</t>
  </si>
  <si>
    <t>M002115.WAV</t>
  </si>
  <si>
    <t>ztqvKgyjvzX4WPO9JV4D3A==</t>
  </si>
  <si>
    <t>M002116.WAV</t>
  </si>
  <si>
    <t>rvFalqu/6PGDonXS0DGx1A==</t>
  </si>
  <si>
    <t>M002117.WAV</t>
  </si>
  <si>
    <t>djJzz3/wuIaZlDCBDv7jfQ==</t>
  </si>
  <si>
    <t>M002118.WAV</t>
  </si>
  <si>
    <t>nOfIxEJ8p02usFuZLYqWbg==</t>
  </si>
  <si>
    <t>M002119.WAV</t>
  </si>
  <si>
    <t>xhs8PaMRKnwLU7/ldXwxbQ==</t>
  </si>
  <si>
    <t>M002120.WAV</t>
  </si>
  <si>
    <t>/Y/vXnyd9qSxKy61XNSAWg==</t>
  </si>
  <si>
    <t>M002121.WAV</t>
  </si>
  <si>
    <t>jVtZt+blPh66bL8LkfUiOA==</t>
  </si>
  <si>
    <t>M002122.WAV</t>
  </si>
  <si>
    <t>Yt6JS7gsE0PRmv/UwkzsTw==</t>
  </si>
  <si>
    <t>M002123.WAV</t>
  </si>
  <si>
    <t>9B872JO1DtmYUv9OOYny/w==</t>
  </si>
  <si>
    <t>M002124.WAV</t>
  </si>
  <si>
    <t>YFt0zbQvaRHTmEXXzDbi6Q==</t>
  </si>
  <si>
    <t>M002125.WAV</t>
  </si>
  <si>
    <t>IyXZzsjniKqgi7opB7lXVA==</t>
  </si>
  <si>
    <t>M002126.WAV</t>
  </si>
  <si>
    <t>2bcwjrsCh7KIdhxWRIk9jg==</t>
  </si>
  <si>
    <t>M002127.WAV</t>
  </si>
  <si>
    <t>ZoOqvvYtJF002TIL4KdQnA==</t>
  </si>
  <si>
    <t>M002128.WAV</t>
  </si>
  <si>
    <t>J08RRRxBZilTbjRBRIQPfQ==</t>
  </si>
  <si>
    <t>M002129.WAV</t>
  </si>
  <si>
    <t>xGYIExEU0nAFI0fmTbMTnQ==</t>
  </si>
  <si>
    <t>M002130.WAV</t>
  </si>
  <si>
    <t>VKCnUgE46IEBTBunwAt/3A==</t>
  </si>
  <si>
    <t>M002131.WAV</t>
  </si>
  <si>
    <t>9U3TgWI4Cgr9GXHm1rClbA==</t>
  </si>
  <si>
    <t>M002132.WAV</t>
  </si>
  <si>
    <t>gF94ONkhbhtUzvZiIsWV5Q==</t>
  </si>
  <si>
    <t>M002133.WAV</t>
  </si>
  <si>
    <t>Ern8AkuflTwHofhKOwpytQ==</t>
  </si>
  <si>
    <t>M002134.WAV</t>
  </si>
  <si>
    <t>M4dEj9re+ybN+Qi8YuWx9A==</t>
  </si>
  <si>
    <t>M002135.WAV</t>
  </si>
  <si>
    <t>1ux40ZiiJnUtk103SgYAlQ==</t>
  </si>
  <si>
    <t>M002136.WAV</t>
  </si>
  <si>
    <t>6In4w7U1yih3n8KZ3f1tGQ==</t>
  </si>
  <si>
    <t>M002137.WAV</t>
  </si>
  <si>
    <t>FrBaISDY1W+FWA01rVv0mg==</t>
  </si>
  <si>
    <t>M002138.WAV</t>
  </si>
  <si>
    <t>ChKdNt0neKQ3SWa3UGxghw==</t>
  </si>
  <si>
    <t>M002139.WAV</t>
  </si>
  <si>
    <t>+rK6GPkWFPu06OMz4xbzZw==</t>
  </si>
  <si>
    <t>M002140.WAV</t>
  </si>
  <si>
    <t>W7nbdb5EMvqi8a5XFoM1jg==</t>
  </si>
  <si>
    <t>M002141.WAV</t>
  </si>
  <si>
    <t>HTUholIfuuTpAeKhIiAxYQ==</t>
  </si>
  <si>
    <t>M002142.WAV</t>
  </si>
  <si>
    <t>qEOVrV3NimZWsPKcWJj+Gw==</t>
  </si>
  <si>
    <t>M002143.WAV</t>
  </si>
  <si>
    <t>hTlO7G4JlNVSXwYCoOpGrA==</t>
  </si>
  <si>
    <t>M002144.WAV</t>
  </si>
  <si>
    <t>cyif2wX+InH69/v1+/KQLw==</t>
  </si>
  <si>
    <t>M002145.WAV</t>
  </si>
  <si>
    <t>gscfDJfvTKkrkURx9rhm9Q==</t>
  </si>
  <si>
    <t>M002146.WAV</t>
  </si>
  <si>
    <t>6QYG8z3ynuuHJod+O9jAgA==</t>
  </si>
  <si>
    <t>M002147.WAV</t>
  </si>
  <si>
    <t>XrjjibXLpmceRZjEpXJJ3A==</t>
  </si>
  <si>
    <t>M002148.WAV</t>
  </si>
  <si>
    <t>8CLgl2NtzJP+6SpdaeTFkw==</t>
  </si>
  <si>
    <t>M002149.WAV</t>
  </si>
  <si>
    <t>2KFSNb9eHbxvO9eAVAmEUA==</t>
  </si>
  <si>
    <t>M002150.WAV</t>
  </si>
  <si>
    <t>ntz7KzhG9I5iq+s4Fsajmg==</t>
  </si>
  <si>
    <t>M002151.WAV</t>
  </si>
  <si>
    <t>LC0/Hep2TLo223gRxJDTxA==</t>
  </si>
  <si>
    <t>M002152.WAV</t>
  </si>
  <si>
    <t>i8hwMmh7RqDoGHreMDym9w==</t>
  </si>
  <si>
    <t>M002153.WAV</t>
  </si>
  <si>
    <t>FLdGIrEFCBQBqfB49iSWSg==</t>
  </si>
  <si>
    <t>M002154.WAV</t>
  </si>
  <si>
    <t>CJuvIZ95RdcFemb9+YW16Q==</t>
  </si>
  <si>
    <t>M002155.WAV</t>
  </si>
  <si>
    <t>0aKtXXXORzz2aoZ+vkcfmA==</t>
  </si>
  <si>
    <t>M002156.WAV</t>
  </si>
  <si>
    <t>oCcCnebPybLkB5dNkNsjDw==</t>
  </si>
  <si>
    <t>M002157.WAV</t>
  </si>
  <si>
    <t>JhpUdzj4IOUdG/IZL1NRBw==</t>
  </si>
  <si>
    <t>M002158.WAV</t>
  </si>
  <si>
    <t>kZnt5PkRUo3D48I8R3DzNA==</t>
  </si>
  <si>
    <t>M002159.WAV</t>
  </si>
  <si>
    <t>w4t/RHJaUkR+ESDY6FDk/A==</t>
  </si>
  <si>
    <t>M002160.WAV</t>
  </si>
  <si>
    <t>CDwp+hgJ66ohTzdMs/slgQ==</t>
  </si>
  <si>
    <t>M002161.WAV</t>
  </si>
  <si>
    <t>0.667839</t>
  </si>
  <si>
    <t>EN4/8BJMM+fZYPpA+xoNNQ==</t>
  </si>
  <si>
    <t>M002162.WAV</t>
  </si>
  <si>
    <t>0.789146</t>
  </si>
  <si>
    <t>hqaCpj+xexMbYwOKlqCpuw==</t>
  </si>
  <si>
    <t>M002163.WAV</t>
  </si>
  <si>
    <t>0.26257</t>
  </si>
  <si>
    <t>ifg2ChKPPlXSuFULWbik1w==</t>
  </si>
  <si>
    <t>M002164.WAV</t>
  </si>
  <si>
    <t>0.357361</t>
  </si>
  <si>
    <t>tOJnM4p4+iuy9FSVgvZ5TQ==</t>
  </si>
  <si>
    <t>M002165.WAV</t>
  </si>
  <si>
    <t>0.652111</t>
  </si>
  <si>
    <t>ZxrSwTaPqcZC0Z7qvAQlAg==</t>
  </si>
  <si>
    <t>M002166.WAV</t>
  </si>
  <si>
    <t>0.754781</t>
  </si>
  <si>
    <t>WZ7Vhd0zQgJ8Pu8GKrGbRQ==</t>
  </si>
  <si>
    <t>M002167.WAV</t>
  </si>
  <si>
    <t>0.562984</t>
  </si>
  <si>
    <t>UTJ6W4S57QzTabLX7FHBHQ==</t>
  </si>
  <si>
    <t>M002168.WAV</t>
  </si>
  <si>
    <t>0.729333</t>
  </si>
  <si>
    <t>DEP2UggUFsjUxCFr6P8Fxw==</t>
  </si>
  <si>
    <t>M002169.WAV</t>
  </si>
  <si>
    <t>0.708912</t>
  </si>
  <si>
    <t>NGLO/zULmligBbpe3+lirg==</t>
  </si>
  <si>
    <t>M002170.WAV</t>
  </si>
  <si>
    <t>0.479991</t>
  </si>
  <si>
    <t>ss6UrYW0TKPgD03dMyxaZg==</t>
  </si>
  <si>
    <t>M002171.WAV</t>
  </si>
  <si>
    <t>0.565611</t>
  </si>
  <si>
    <t>npDKAE/Vxid2yLM3cjDDZw==</t>
  </si>
  <si>
    <t>M002172.WAV</t>
  </si>
  <si>
    <t>wKkc4aXnMIMC6hoxBhnglA==</t>
  </si>
  <si>
    <t>M002173.WAV</t>
  </si>
  <si>
    <t>cvHJOmCiuoNkiVT2WjH4mw==</t>
  </si>
  <si>
    <t>M002174.WAV</t>
  </si>
  <si>
    <t>/149u4NeFlmRoLwqz/0bNg==</t>
  </si>
  <si>
    <t>M002175.WAV</t>
  </si>
  <si>
    <t>q7sWc68M8A58PJYo+crqLA==</t>
  </si>
  <si>
    <t>M002176.WAV</t>
  </si>
  <si>
    <t>t6KEq8VOGm+Rd9fQ8l6qcA==</t>
  </si>
  <si>
    <t>M002177.WAV</t>
  </si>
  <si>
    <t>pje30Bj5G/nMs6JMCJOazw==</t>
  </si>
  <si>
    <t>M002178.WAV</t>
  </si>
  <si>
    <t>fYFTey0Zpc1KjNTF74pUPw==</t>
  </si>
  <si>
    <t>M002179.WAV</t>
  </si>
  <si>
    <t>Lqap7IQ4yvNlYDCpTyrRyw==</t>
  </si>
  <si>
    <t>M002180.WAV</t>
  </si>
  <si>
    <t>A6BwfEjSoF7S8//ea01uOw==</t>
  </si>
  <si>
    <t>M002181.WAV</t>
  </si>
  <si>
    <t>v6WmKxYIFsZRhaINs/C/+g==</t>
  </si>
  <si>
    <t>M002182.WAV</t>
  </si>
  <si>
    <t>pgShWrAJnhTKMGxn89HQiA==</t>
  </si>
  <si>
    <t>M002183.WAV</t>
  </si>
  <si>
    <t>gTzp6C9qhEwF7IMtbz6geQ==</t>
  </si>
  <si>
    <t>M002184.WAV</t>
  </si>
  <si>
    <t>pf3h1w5EGk1iYRby+gMyfA==</t>
  </si>
  <si>
    <t>M002185.WAV</t>
  </si>
  <si>
    <t>kRzIsByvNbZp4mGVdebEpg==</t>
  </si>
  <si>
    <t>M002186.WAV</t>
  </si>
  <si>
    <t>8QbIzJV+KWiJ+R/6PLibmw==</t>
  </si>
  <si>
    <t>M002187.WAV</t>
  </si>
  <si>
    <t>GspTrBWZtExK97V/RFtYgQ==</t>
  </si>
  <si>
    <t>M002188.WAV</t>
  </si>
  <si>
    <t>G0NlFdSBwo/DHcSrZGb+Cg==</t>
  </si>
  <si>
    <t>M002189.WAV</t>
  </si>
  <si>
    <t>fsznTGi6LjmnJTWbHyDMlw==</t>
  </si>
  <si>
    <t>M002190.WAV</t>
  </si>
  <si>
    <t>+tD7toiBjpon5tOE0UAoHQ==</t>
  </si>
  <si>
    <t>M002191.WAV</t>
  </si>
  <si>
    <t>CK/9SvCguZCXmmqIW080Pw==</t>
  </si>
  <si>
    <t>M002192.WAV</t>
  </si>
  <si>
    <t>q+Bh2IrC1KPpiSlOyBB7uQ==</t>
  </si>
  <si>
    <t>M002193.WAV</t>
  </si>
  <si>
    <t>V+hU4/ZH7auFi4HUjoX0vg==</t>
  </si>
  <si>
    <t>M002194.WAV</t>
  </si>
  <si>
    <t>DfUwbYjyDaNgPxMuTmGjGQ==</t>
  </si>
  <si>
    <t>M002195.WAV</t>
  </si>
  <si>
    <t>DteymvT9JzRvOcp/i1kDMQ==</t>
  </si>
  <si>
    <t>M002196.WAV</t>
  </si>
  <si>
    <t>64ww6ECDsnuweZHTAAx9LQ==</t>
  </si>
  <si>
    <t>M002197.WAV</t>
  </si>
  <si>
    <t>qmXAbIWiHR9T7+RqeWOwFQ==</t>
  </si>
  <si>
    <t>M002198.WAV</t>
  </si>
  <si>
    <t>jbXAOm88EN3gVq4o0WKNCQ==</t>
  </si>
  <si>
    <t>M002199.WAV</t>
  </si>
  <si>
    <t>N4LBRD/5rGMHLvIZKHJEoA==</t>
  </si>
  <si>
    <t>M002200.WAV</t>
  </si>
  <si>
    <t>0bxsst8/8t+PSUmY+1GQfg==</t>
  </si>
  <si>
    <t>M002201.WAV</t>
  </si>
  <si>
    <t>MYD+S8pfh9FaHktNyeYblw==</t>
  </si>
  <si>
    <t>M002202.WAV</t>
  </si>
  <si>
    <t>+S58LADersxunMM6vIswsA==</t>
  </si>
  <si>
    <t>M002203.WAV</t>
  </si>
  <si>
    <t>QMRf4m4pQyf1Go1uVr5Qzw==</t>
  </si>
  <si>
    <t>M002204.WAV</t>
  </si>
  <si>
    <t>D0BGhXyWCeudNF3jnjv/dg==</t>
  </si>
  <si>
    <t>M002205.WAV</t>
  </si>
  <si>
    <t>bFeumwUW+KXo79r7SqhIow==</t>
  </si>
  <si>
    <t>M002206.WAV</t>
  </si>
  <si>
    <t>KwlAVPHDGxBuzQk3i8ggjg==</t>
  </si>
  <si>
    <t>M002207.WAV</t>
  </si>
  <si>
    <t>TjD4f/80upKzpMrmll94IQ==</t>
  </si>
  <si>
    <t>M002208.WAV</t>
  </si>
  <si>
    <t>ELcL8Avck8DMBwkWjzHCZQ==</t>
  </si>
  <si>
    <t>M002209.WAV</t>
  </si>
  <si>
    <t>EKff6lVLXwALR6XtLrOcqQ==</t>
  </si>
  <si>
    <t>M002210.WAV</t>
  </si>
  <si>
    <t>ynG+uFkz+FttK0A+Ae5sfw==</t>
  </si>
  <si>
    <t>M002211.WAV</t>
  </si>
  <si>
    <t>EQQ7xHZNwvtVXxzHpAKqWg==</t>
  </si>
  <si>
    <t>M002212.WAV</t>
  </si>
  <si>
    <t>ieB9esux04IqABX7DTXXQw==</t>
  </si>
  <si>
    <t>M002213.WAV</t>
  </si>
  <si>
    <t>GL9Z8E/fqkE0Ruk5kw//0A==</t>
  </si>
  <si>
    <t>M002214.WAV</t>
  </si>
  <si>
    <t>bfoB4f8w4i4UkQq+WIIBXw==</t>
  </si>
  <si>
    <t>M002215.WAV</t>
  </si>
  <si>
    <t>ibo+9JEIL14qNTCVts3G5g==</t>
  </si>
  <si>
    <t>M002216.WAV</t>
  </si>
  <si>
    <t>yZ+bvNZmUWC0hxCxJM4HWg==</t>
  </si>
  <si>
    <t>M002217.WAV</t>
  </si>
  <si>
    <t>ACohin9kU3w3lH8iOezO3w==</t>
  </si>
  <si>
    <t>M002218.WAV</t>
  </si>
  <si>
    <t>pkaTDbM8nA0xSlfHtyCUBA==</t>
  </si>
  <si>
    <t>M002219.WAV</t>
  </si>
  <si>
    <t>H73sLiE00XZUMhRaaoPeLw==</t>
  </si>
  <si>
    <t>M002220.WAV</t>
  </si>
  <si>
    <t>9iiobpnDyHHgQewfPieeLg==</t>
  </si>
  <si>
    <t>M002221.WAV</t>
  </si>
  <si>
    <t>s+GRQHKNgKb2hnnvq1lQpg==</t>
  </si>
  <si>
    <t>M002222.WAV</t>
  </si>
  <si>
    <t>RP2aL5wkTNZpakQt8VPX/w==</t>
  </si>
  <si>
    <t>M002223.WAV</t>
  </si>
  <si>
    <t>5vxo1OX1dlXxjcEzOvnCew==</t>
  </si>
  <si>
    <t>M002224.WAV</t>
  </si>
  <si>
    <t>s3hQk5tcawNKH7d8aTfDzg==</t>
  </si>
  <si>
    <t>M002225.WAV</t>
  </si>
  <si>
    <t>CJEd0Da2PZjgE4X2ZJbFkA==</t>
  </si>
  <si>
    <t>M002226.WAV</t>
  </si>
  <si>
    <t>9ipX7iTV5Q72kmwtehPv+Q==</t>
  </si>
  <si>
    <t>M002227.WAV</t>
  </si>
  <si>
    <t>OiAbXG731fPJXeuiD7ohsw==</t>
  </si>
  <si>
    <t>M002228.WAV</t>
  </si>
  <si>
    <t>wgHFnWjHaBX2t70s89SBmg==</t>
  </si>
  <si>
    <t>M002229.WAV</t>
  </si>
  <si>
    <t>PRbivQ0K4ZzLyvPwDxOuAw==</t>
  </si>
  <si>
    <t>M002230.WAV</t>
  </si>
  <si>
    <t>m6te4g9ydV9xae7bWr7G0w==</t>
  </si>
  <si>
    <t>M002231.WAV</t>
  </si>
  <si>
    <t>/blJdrp+10cdRIaALTuq3w==</t>
  </si>
  <si>
    <t>M002232.WAV</t>
  </si>
  <si>
    <t>fulqpzP5UJeVrANPB3cCYg==</t>
  </si>
  <si>
    <t>M002233.WAV</t>
  </si>
  <si>
    <t>5GuliZbeSd+d8zej3BKrQA==</t>
  </si>
  <si>
    <t>M002234.WAV</t>
  </si>
  <si>
    <t>WI++M6rHqBKSqQgtpsyaAQ==</t>
  </si>
  <si>
    <t>M002235.WAV</t>
  </si>
  <si>
    <t>H0QMqbNYElky7+ub7bUp7g==</t>
  </si>
  <si>
    <t>M002236.WAV</t>
  </si>
  <si>
    <t>H51ZXAgEF7wUE36IWqnlGg==</t>
  </si>
  <si>
    <t>M002237.WAV</t>
  </si>
  <si>
    <t>J2D5WlU3/wXSQSjynUBjpg==</t>
  </si>
  <si>
    <t>M002238.WAV</t>
  </si>
  <si>
    <t>4rpell7O3XBICGAMnOh+kA==</t>
  </si>
  <si>
    <t>M002239.WAV</t>
  </si>
  <si>
    <t>mRLFxi2dbC19vFsrNoDO+g==</t>
  </si>
  <si>
    <t>M002240.WAV</t>
  </si>
  <si>
    <t>EuT4bugFQ5ZMxGb/oStGtw==</t>
  </si>
  <si>
    <t>M002241.WAV</t>
  </si>
  <si>
    <t>o/j1MQ9fceIWPmTz2FTvYA==</t>
  </si>
  <si>
    <t>M002242.WAV</t>
  </si>
  <si>
    <t>yNAHPqcBP7TUXw/N3ANEVw==</t>
  </si>
  <si>
    <t>M002243.WAV</t>
  </si>
  <si>
    <t>nNi9/sxe/1u1NlecJbpeHg==</t>
  </si>
  <si>
    <t>M002244.WAV</t>
  </si>
  <si>
    <t>W/Vvbiul03iZ3/LpKeG9Og==</t>
  </si>
  <si>
    <t>M002245.WAV</t>
  </si>
  <si>
    <t>fMpES8YrF98rwa5wX9ju2w==</t>
  </si>
  <si>
    <t>M002246.WAV</t>
  </si>
  <si>
    <t>4Zsf6qIXtyWFgmvt6QbHng==</t>
  </si>
  <si>
    <t>M002247.WAV</t>
  </si>
  <si>
    <t>DTsW+IDLRp5h0jA2ADST6g==</t>
  </si>
  <si>
    <t>M002248.WAV</t>
  </si>
  <si>
    <t>dDg2NXJLJoRsbbcYYM3Tow==</t>
  </si>
  <si>
    <t>M002249.WAV</t>
  </si>
  <si>
    <t>OtRgcA+PwerNSRktwUEWMg==</t>
  </si>
  <si>
    <t>M002250.WAV</t>
  </si>
  <si>
    <t>/Gl2D2xdL/aq1iSfZppz0w==</t>
  </si>
  <si>
    <t>M002251.WAV</t>
  </si>
  <si>
    <t>n0y3/3ooLK4Pg8D0w6BsqQ==</t>
  </si>
  <si>
    <t>M002252.WAV</t>
  </si>
  <si>
    <t>DruqKEAj+CMuzoXSFpfIow==</t>
  </si>
  <si>
    <t>M002253.WAV</t>
  </si>
  <si>
    <t>ojY1XbseLeL5sfhylaWBtQ==</t>
  </si>
  <si>
    <t>M002254.WAV</t>
  </si>
  <si>
    <t>uYHbRAdpgUbk0zjIrxyh2w==</t>
  </si>
  <si>
    <t>M002255.WAV</t>
  </si>
  <si>
    <t>2N5dg0xFZ/yz5EWX1l44RQ==</t>
  </si>
  <si>
    <t>M002256.WAV</t>
  </si>
  <si>
    <t>DiVBkPSKHekvWlVM2sUqqw==</t>
  </si>
  <si>
    <t>M002257.WAV</t>
  </si>
  <si>
    <t>qwzAGAMtEbS+hOx0eUq+RA==</t>
  </si>
  <si>
    <t>M002258.WAV</t>
  </si>
  <si>
    <t>iBFTsGhwHdrS9v9rRuWUDw==</t>
  </si>
  <si>
    <t>M002259.WAV</t>
  </si>
  <si>
    <t>Sqi9IWXyVK1rsAbXfQubRA==</t>
  </si>
  <si>
    <t>M002260.WAV</t>
  </si>
  <si>
    <t>ZVUfNpO4oseRjsXE2ECi0g==</t>
  </si>
  <si>
    <t>M002261.WAV</t>
  </si>
  <si>
    <t>Hwq8sjPsMrs9AMV+Ts8zKQ==</t>
  </si>
  <si>
    <t>M002262.WAV</t>
  </si>
  <si>
    <t>Thp+evrp/nyhtt06AHEo0w==</t>
  </si>
  <si>
    <t>M002263.WAV</t>
  </si>
  <si>
    <t>J5RAd+lo4QkIZkSDqyo1vg==</t>
  </si>
  <si>
    <t>M002264.WAV</t>
  </si>
  <si>
    <t>vY5Ik4/keBw7NtSw6yzL+g==</t>
  </si>
  <si>
    <t>M002265.WAV</t>
  </si>
  <si>
    <t>okH90++7v5ehVNtgl731oQ==</t>
  </si>
  <si>
    <t>M002266.WAV</t>
  </si>
  <si>
    <t>mqzXVWbq+Bb9zk21Qt9bJg==</t>
  </si>
  <si>
    <t>M002267.WAV</t>
  </si>
  <si>
    <t>Nsi0PGUnfNSMnEeAlI6d6A==</t>
  </si>
  <si>
    <t>M002268.WAV</t>
  </si>
  <si>
    <t>1TuOiqZXc6hySdMhPfwEEA==</t>
  </si>
  <si>
    <t>M002269.WAV</t>
  </si>
  <si>
    <t>cOm8xbGGrt1tLW9V+1gwsg==</t>
  </si>
  <si>
    <t>M002270.WAV</t>
  </si>
  <si>
    <t>WOPj38LEgzgRg9e0uKjSjA==</t>
  </si>
  <si>
    <t>M002271.WAV</t>
  </si>
  <si>
    <t>oKKPcH0qBKsPimDtDJTjfQ==</t>
  </si>
  <si>
    <t>M002272.WAV</t>
  </si>
  <si>
    <t>W7d/xT+K3ry273foIA8/lA==</t>
  </si>
  <si>
    <t>M002273.WAV</t>
  </si>
  <si>
    <t>5i3iY44IBU49w1tTf6Tkcg==</t>
  </si>
  <si>
    <t>M002274.WAV</t>
  </si>
  <si>
    <t>XKQdDssEMmuC4w4nBzrK4Q==</t>
  </si>
  <si>
    <t>M002275.WAV</t>
  </si>
  <si>
    <t>Ws+e+tsrmzgK/gfIpoUkYQ==</t>
  </si>
  <si>
    <t>M002276.WAV</t>
  </si>
  <si>
    <t>ErNOEcb4uIdkeXQU6KW6xg==</t>
  </si>
  <si>
    <t>M002277.WAV</t>
  </si>
  <si>
    <t>a36P6YmvU5wJbZ+Z2Zqyxg==</t>
  </si>
  <si>
    <t>M002278.WAV</t>
  </si>
  <si>
    <t>O9+mt3ZKM/8RH9nUr8ovjw==</t>
  </si>
  <si>
    <t>M002279.WAV</t>
  </si>
  <si>
    <t>OCsqOn1ajY0KJqnZ4pjwsg==</t>
  </si>
  <si>
    <t>M002280.WAV</t>
  </si>
  <si>
    <t>6eZKr+aeQ/sIcYlEWV/L8A==</t>
  </si>
  <si>
    <t>M002281.WAV</t>
  </si>
  <si>
    <t>zS0+C1hFNPKQ//jY+gaskA==</t>
  </si>
  <si>
    <t>M002282.WAV</t>
  </si>
  <si>
    <t>PewbJLqzjIT+AkPaO2jifQ==</t>
  </si>
  <si>
    <t>M002283.WAV</t>
  </si>
  <si>
    <t>MJZsaorssRFg+rZrbbRDDw==</t>
  </si>
  <si>
    <t>M002284.WAV</t>
  </si>
  <si>
    <t>ZHvfX4x5xhalBjUWYWpgYw==</t>
  </si>
  <si>
    <t>M002285.WAV</t>
  </si>
  <si>
    <t>WaC9/CcA33fGYvIMke251Q==</t>
  </si>
  <si>
    <t>M002286.WAV</t>
  </si>
  <si>
    <t>OdUPeKlWow2CmncM+RbA8w==</t>
  </si>
  <si>
    <t>M002287.WAV</t>
  </si>
  <si>
    <t>gN6HbdUeISjMh1cvVOPj+g==</t>
  </si>
  <si>
    <t>M002288.WAV</t>
  </si>
  <si>
    <t>20NiYIfGy+NpO5XUURg+0Q==</t>
  </si>
  <si>
    <t>M002289.WAV</t>
  </si>
  <si>
    <t>58dUjibaY2WLlrkInJdzWw==</t>
  </si>
  <si>
    <t>M002290.WAV</t>
  </si>
  <si>
    <t>+nvFjTnEA8d9ARywEdKP7A==</t>
  </si>
  <si>
    <t>M002291.WAV</t>
  </si>
  <si>
    <t>UFP2v4DfTJbzRpHgl3gS6w==</t>
  </si>
  <si>
    <t>M002292.WAV</t>
  </si>
  <si>
    <t>aeT7QmBrdGvLAwWWHAaJqw==</t>
  </si>
  <si>
    <t>M002293.WAV</t>
  </si>
  <si>
    <t>Ge60Djf8Ai04dcOJQExsyQ==</t>
  </si>
  <si>
    <t>M002294.WAV</t>
  </si>
  <si>
    <t>rK3bZa+yF/PHofSDlnRiVg==</t>
  </si>
  <si>
    <t>M002295.WAV</t>
  </si>
  <si>
    <t>xnQqvp4hJsDZ564RnKpyOg==</t>
  </si>
  <si>
    <t>M002296.WAV</t>
  </si>
  <si>
    <t>TU49uEXoH0ptw7TsR1+gag==</t>
  </si>
  <si>
    <t>M002297.WAV</t>
  </si>
  <si>
    <t>DWVKbxdcFBXY9POqNpTt7g==</t>
  </si>
  <si>
    <t>M002298.WAV</t>
  </si>
  <si>
    <t>TBAbDLwZvUnoyn64obPMHA==</t>
  </si>
  <si>
    <t>M002299.WAV</t>
  </si>
  <si>
    <t>1hr3qRFlGWCHK2U01DMrqQ==</t>
  </si>
  <si>
    <t>M002300.WAV</t>
  </si>
  <si>
    <t>Q/V+bqHX5T+Zte3TzFHA7g==</t>
  </si>
  <si>
    <t>M002301.WAV</t>
  </si>
  <si>
    <t>QJzIhWXgSSBcJniLABnhTA==</t>
  </si>
  <si>
    <t>M002302.WAV</t>
  </si>
  <si>
    <t>YvwoG+IiDfgKvv9BWHK9cQ==</t>
  </si>
  <si>
    <t>M002303.WAV</t>
  </si>
  <si>
    <t>XULQvQsZtmmYS7P54zp+Yw==</t>
  </si>
  <si>
    <t>M002304.WAV</t>
  </si>
  <si>
    <t>tJX1dMSWrZs0sCYDVED2yQ==</t>
  </si>
  <si>
    <t>M002305.WAV</t>
  </si>
  <si>
    <t>8wcMW3yA1gddjnRnffztuQ==</t>
  </si>
  <si>
    <t>M002306.WAV</t>
  </si>
  <si>
    <t>eM4NmXcXADLfrrHLryolow==</t>
  </si>
  <si>
    <t>M002307.WAV</t>
  </si>
  <si>
    <t>tbQnoYY7VIWff7JDdwkJvQ==</t>
  </si>
  <si>
    <t>M002308.WAV</t>
  </si>
  <si>
    <t>E45nnIraYNH8vt0T44jwhA==</t>
  </si>
  <si>
    <t>M002309.WAV</t>
  </si>
  <si>
    <t>6FAdVIxVW5nhNDP/itsEzw==</t>
  </si>
  <si>
    <t>M002310.WAV</t>
  </si>
  <si>
    <t>F6YkGRXIRUUfgWrNw4ttHg==</t>
  </si>
  <si>
    <t>M002311.WAV</t>
  </si>
  <si>
    <t>kKE12VGK2xY8U1+gBJgO1g==</t>
  </si>
  <si>
    <t>M002312.WAV</t>
  </si>
  <si>
    <t>empTm8j+yv/j3AEpjOfbxg==</t>
  </si>
  <si>
    <t>M002313.WAV</t>
  </si>
  <si>
    <t>bsbo+PRl7IwYAnmOdFVgYA==</t>
  </si>
  <si>
    <t>M002314.WAV</t>
  </si>
  <si>
    <t>eQ3+p9OotNT5KsT1PRN4BQ==</t>
  </si>
  <si>
    <t>M002315.WAV</t>
  </si>
  <si>
    <t>nihaIcRxXNKd0IONtL23hA==</t>
  </si>
  <si>
    <t>M002316.WAV</t>
  </si>
  <si>
    <t>hjZfvWtC2+0s+RHzb5fE7g==</t>
  </si>
  <si>
    <t>M002317.WAV</t>
  </si>
  <si>
    <t>L2WpFx8/E7lSMWcZxWTWFw==</t>
  </si>
  <si>
    <t>M002318.WAV</t>
  </si>
  <si>
    <t>iAe9M7jwvHTKQQ6R3H0Gew==</t>
  </si>
  <si>
    <t>M002319.WAV</t>
  </si>
  <si>
    <t>E0Uie9vP1ZBBto2odnrRGQ==</t>
  </si>
  <si>
    <t>M002320.WAV</t>
  </si>
  <si>
    <t>hSgTTsV5jAxfTcQ1RPBhDA==</t>
  </si>
  <si>
    <t>M002321.WAV</t>
  </si>
  <si>
    <t>Jnjb9fub6D2WePsxpelz3A==</t>
  </si>
  <si>
    <t>M002322.WAV</t>
  </si>
  <si>
    <t>Q83rIKQHqg32bew4kKHV+Q==</t>
  </si>
  <si>
    <t>M002323.WAV</t>
  </si>
  <si>
    <t>Auz4phYOKnnJ0gSN3DddCA==</t>
  </si>
  <si>
    <t>M002324.WAV</t>
  </si>
  <si>
    <t>ueamxKtpSTSkIc1CZ3Lx9Q==</t>
  </si>
  <si>
    <t>M002325.WAV</t>
  </si>
  <si>
    <t>H1zyBe2Q6UedkvuVY5LXvQ==</t>
  </si>
  <si>
    <t>M002326.WAV</t>
  </si>
  <si>
    <t>wMdAqFw7GIT+fPEUfcYJtw==</t>
  </si>
  <si>
    <t>M002327.WAV</t>
  </si>
  <si>
    <t>XNVNsQ0c67ITUf6KYPqnMA==</t>
  </si>
  <si>
    <t>M002328.WAV</t>
  </si>
  <si>
    <t>UHUM7+MRFO9Bq4NIbU2j+Q==</t>
  </si>
  <si>
    <t>M002329.WAV</t>
  </si>
  <si>
    <t>6EhoySKHou+T2Wd0iYo9UQ==</t>
  </si>
  <si>
    <t>M002330.WAV</t>
  </si>
  <si>
    <t>WimxJL0sqwObjpc2r8CZjw==</t>
  </si>
  <si>
    <t>M002331.WAV</t>
  </si>
  <si>
    <t>m0f5yCVrUZ+qytBmNxLTJw==</t>
  </si>
  <si>
    <t>M002332.WAV</t>
  </si>
  <si>
    <t>CMXvz3gXNOLKA73EN3Xclw==</t>
  </si>
  <si>
    <t>M002333.WAV</t>
  </si>
  <si>
    <t>LpZVFCYrtXs6LthwQ03/YA==</t>
  </si>
  <si>
    <t>M002334.WAV</t>
  </si>
  <si>
    <t>CquMKVl2DlvQKLqoTfnNjw==</t>
  </si>
  <si>
    <t>M002335.WAV</t>
  </si>
  <si>
    <t>0IDRCJ1mnFvR6854b5o0cg==</t>
  </si>
  <si>
    <t>M002336.WAV</t>
  </si>
  <si>
    <t>aQAe6+HYH/99HXL2YVS/Sw==</t>
  </si>
  <si>
    <t>M002337.WAV</t>
  </si>
  <si>
    <t>Lpj1V6d82BAikfir0xKxFQ==</t>
  </si>
  <si>
    <t>M002338.WAV</t>
  </si>
  <si>
    <t>ClfeZtqVnzwlXPyZTs/UUg==</t>
  </si>
  <si>
    <t>M002339.WAV</t>
  </si>
  <si>
    <t>MeTkVahxVIFAKN8xXkt9zA==</t>
  </si>
  <si>
    <t>M002340.WAV</t>
  </si>
  <si>
    <t>iVG62icnpZtALnpZLpTMKw==</t>
  </si>
  <si>
    <t>M002341.WAV</t>
  </si>
  <si>
    <t>jgg8blAi3D1F8UDxwrx0EQ==</t>
  </si>
  <si>
    <t>M002342.WAV</t>
  </si>
  <si>
    <t>em5IvFO1K1aYjDsZWvGRmQ==</t>
  </si>
  <si>
    <t>M002343.WAV</t>
  </si>
  <si>
    <t>hZuRU99Yppz78zdVXEnalw==</t>
  </si>
  <si>
    <t>M002344.WAV</t>
  </si>
  <si>
    <t>qrCt7puMyWJOb/woJKK+Iw==</t>
  </si>
  <si>
    <t>M002345.WAV</t>
  </si>
  <si>
    <t>8A3qVEVtm2QdvRLtpA4GIQ==</t>
  </si>
  <si>
    <t>M002346.WAV</t>
  </si>
  <si>
    <t>GZ060eqmQOd9fBzrK63P4g==</t>
  </si>
  <si>
    <t>M002347.WAV</t>
  </si>
  <si>
    <t>CBYpD6LeylsO9BJwmiS2cw==</t>
  </si>
  <si>
    <t>M002348.WAV</t>
  </si>
  <si>
    <t>S7pgwGn/Fham0hk+BiG1dQ==</t>
  </si>
  <si>
    <t>M002349.WAV</t>
  </si>
  <si>
    <t>jkUu1gJ2cfpA10MRiObI/A==</t>
  </si>
  <si>
    <t>M002350.WAV</t>
  </si>
  <si>
    <t>ZZCcU7hX+gEPNzPl+HOeJw==</t>
  </si>
  <si>
    <t>M002351.WAV</t>
  </si>
  <si>
    <t>88juAQ68f6J51jtMYean+Q==</t>
  </si>
  <si>
    <t>M002352.WAV</t>
  </si>
  <si>
    <t>6+uSjMfV4eGjReoJYV+Ztw==</t>
  </si>
  <si>
    <t>M002353.WAV</t>
  </si>
  <si>
    <t>MaFugFuZutU8rGNFkYH/ww==</t>
  </si>
  <si>
    <t>M002354.WAV</t>
  </si>
  <si>
    <t>G0xeD6l/NNv/wT/E6RE0gw==</t>
  </si>
  <si>
    <t>M002355.WAV</t>
  </si>
  <si>
    <t>FPPb4SOcR+nLox6QhmyxnA==</t>
  </si>
  <si>
    <t>M002356.WAV</t>
  </si>
  <si>
    <t>XY9Gn8yhjeK4Gmg8Mr09pw==</t>
  </si>
  <si>
    <t>M002357.WAV</t>
  </si>
  <si>
    <t>crDutRZFmMFrN+brFcDKAw==</t>
  </si>
  <si>
    <t>M002358.WAV</t>
  </si>
  <si>
    <t>tpLXloUVjYnycTJOa6Rjlw==</t>
  </si>
  <si>
    <t>M002359.WAV</t>
  </si>
  <si>
    <t>daMk0TzZctEo3s8yGmu3yA==</t>
  </si>
  <si>
    <t>M002360.WAV</t>
  </si>
  <si>
    <t>kqZA2XBMDGQ/onYhSGMKJQ==</t>
  </si>
  <si>
    <t>M002361.WAV</t>
  </si>
  <si>
    <t>mH13DHmZqsraOnSCer5bVw==</t>
  </si>
  <si>
    <t>M002362.WAV</t>
  </si>
  <si>
    <t>pjyXfXwjeIbBZEjQ6CqIDw==</t>
  </si>
  <si>
    <t>M002363.WAV</t>
  </si>
  <si>
    <t>8WMxzHP4wD9cd+2wmc7jHg==</t>
  </si>
  <si>
    <t>M002364.WAV</t>
  </si>
  <si>
    <t>QbSiELhKr5Ds59SqklYfoA==</t>
  </si>
  <si>
    <t>M002365.WAV</t>
  </si>
  <si>
    <t>bEYcE8wLkdK4XEfG4SKsAg==</t>
  </si>
  <si>
    <t>M002366.WAV</t>
  </si>
  <si>
    <t>P+39wuMgR5db5yoHYAIxiA==</t>
  </si>
  <si>
    <t>M002367.WAV</t>
  </si>
  <si>
    <t>H1GDIqicpKcL//FemOtsig==</t>
  </si>
  <si>
    <t>M002368.WAV</t>
  </si>
  <si>
    <t>8ahC9xtGuKXyUeImb35yrA==</t>
  </si>
  <si>
    <t>M002369.WAV</t>
  </si>
  <si>
    <t>ycPIufF1wNrCrOv8ciCJwg==</t>
  </si>
  <si>
    <t>M002370.WAV</t>
  </si>
  <si>
    <t>zP4naZra42V/yN/auxNWYQ==</t>
  </si>
  <si>
    <t>M002371.WAV</t>
  </si>
  <si>
    <t>1vI8SBaife28XoAQNmvg/A==</t>
  </si>
  <si>
    <t>M002372.WAV</t>
  </si>
  <si>
    <t>4ppU7aGKiOCCapXWEJsXlw==</t>
  </si>
  <si>
    <t>M002373.WAV</t>
  </si>
  <si>
    <t>kZZpzM+GOYRCzD0tyjsIow==</t>
  </si>
  <si>
    <t>M002374.WAV</t>
  </si>
  <si>
    <t>jM4NsYlUDfiSpATA7s9/iQ==</t>
  </si>
  <si>
    <t>M002375.WAV</t>
  </si>
  <si>
    <t>fxYGi3LqM0k6qnZieqi3DA==</t>
  </si>
  <si>
    <t>M002376.WAV</t>
  </si>
  <si>
    <t>31UYmubYJyeBv+KY5LAdtw==</t>
  </si>
  <si>
    <t>M002377.WAV</t>
  </si>
  <si>
    <t>aiDCRY3E4g27WJn6ElaKFA==</t>
  </si>
  <si>
    <t>M002378.WAV</t>
  </si>
  <si>
    <t>Md8Gtzuuq2vp6PJWN9rHhA==</t>
  </si>
  <si>
    <t>M002379.WAV</t>
  </si>
  <si>
    <t>UZjE4SNXIlfOoU9dd4EbLA==</t>
  </si>
  <si>
    <t>M002380.WAV</t>
  </si>
  <si>
    <t>7/FVA9LvPFS6vJ9fLdyDoQ==</t>
  </si>
  <si>
    <t>M002381.WAV</t>
  </si>
  <si>
    <t>Y/5wv5q8zkPIr3EjpTHrpQ==</t>
  </si>
  <si>
    <t>M002382.WAV</t>
  </si>
  <si>
    <t>5zyBxg+Oyxbk3E45mSKeQg==</t>
  </si>
  <si>
    <t>M002383.WAV</t>
  </si>
  <si>
    <t>GhpluiggwbPy3JYhcBbznw==</t>
  </si>
  <si>
    <t>M002384.WAV</t>
  </si>
  <si>
    <t>qdl7QkxqN8n7Ii+yhBoiEg==</t>
  </si>
  <si>
    <t>M002385.WAV</t>
  </si>
  <si>
    <t>9venxDoal0Repxtare3xYQ==</t>
  </si>
  <si>
    <t>M002386.WAV</t>
  </si>
  <si>
    <t>tN8xqKpi5W4e7sBDGm6NQg==</t>
  </si>
  <si>
    <t>M002387.WAV</t>
  </si>
  <si>
    <t>uVSqeuWJVI+fqMgi2MfIzw==</t>
  </si>
  <si>
    <t>M002388.WAV</t>
  </si>
  <si>
    <t>Rq9T07m9mXI5fsGIarxN0Q==</t>
  </si>
  <si>
    <t>M002389.WAV</t>
  </si>
  <si>
    <t>9x0u/vYPsZr7seVQJhxfQA==</t>
  </si>
  <si>
    <t>M002390.WAV</t>
  </si>
  <si>
    <t>LphFjsKOmYqKOYXw55R+5w==</t>
  </si>
  <si>
    <t>M002391.WAV</t>
  </si>
  <si>
    <t>SZrDs5hcyeFDVqCrW2H7rw==</t>
  </si>
  <si>
    <t>M002392.WAV</t>
  </si>
  <si>
    <t>/8nFxalnrlO1cOPcUSQPSw==</t>
  </si>
  <si>
    <t>M002393.WAV</t>
  </si>
  <si>
    <t>RK3ZdveppKzRQepqrEFfEQ==</t>
  </si>
  <si>
    <t>M002394.WAV</t>
  </si>
  <si>
    <t>H9EIpSu2dsNDEIPmPtDhyg==</t>
  </si>
  <si>
    <t>M002395.WAV</t>
  </si>
  <si>
    <t>aXHNsMzc9EVj8xL2pnDXew==</t>
  </si>
  <si>
    <t>M002396.WAV</t>
  </si>
  <si>
    <t>RKVitmHLH/6zaPUr315Kzw==</t>
  </si>
  <si>
    <t>M002397.WAV</t>
  </si>
  <si>
    <t>+gzCVtNZEC44spTyYUZQ1g==</t>
  </si>
  <si>
    <t>M002398.WAV</t>
  </si>
  <si>
    <t>5BIrs73wrze7WBXN6mBaXw==</t>
  </si>
  <si>
    <t>M002399.WAV</t>
  </si>
  <si>
    <t>nMfMoWjtKeKU4AlCqSgf4Q==</t>
  </si>
  <si>
    <t>M002400.WAV</t>
  </si>
  <si>
    <t>ZJgI+I1OQ5hFEP+3qK7hmw==</t>
  </si>
  <si>
    <t>M002401.WAV</t>
  </si>
  <si>
    <t>0Efw9uGYnubVZ5/Jbz17KQ==</t>
  </si>
  <si>
    <t>M002402.WAV</t>
  </si>
  <si>
    <t>+Y7zh+1ls/meg5Z12SzUqA==</t>
  </si>
  <si>
    <t>M002403.WAV</t>
  </si>
  <si>
    <t>CkyxWQTlxhhxWEbQD7l2gQ==</t>
  </si>
  <si>
    <t>M002404.WAV</t>
  </si>
  <si>
    <t>WMTq5KZqDrMbjMuUl0rA7w==</t>
  </si>
  <si>
    <t>M002405.WAV</t>
  </si>
  <si>
    <t>WbsANm+y3K1NgffsYkI5TA==</t>
  </si>
  <si>
    <t>M002406.WAV</t>
  </si>
  <si>
    <t>sVoRqFoA9Ek6QZFpxs7jPg==</t>
  </si>
  <si>
    <t>M002407.WAV</t>
  </si>
  <si>
    <t>GRsjcDCC7P+5GKiZCS014g==</t>
  </si>
  <si>
    <t>M002408.WAV</t>
  </si>
  <si>
    <t>9x8bCZ390mVX/g7PDainjg==</t>
  </si>
  <si>
    <t>M002409.WAV</t>
  </si>
  <si>
    <t>8BJx0UsuIqrOTKKNdwJDdA==</t>
  </si>
  <si>
    <t>M002410.WAV</t>
  </si>
  <si>
    <t>4gtAfaR7BhCtDSFFCDxzHg==</t>
  </si>
  <si>
    <t>M002411.WAV</t>
  </si>
  <si>
    <t>Nf1mc3UEAKdywPbQ0unrjA==</t>
  </si>
  <si>
    <t>M002412.WAV</t>
  </si>
  <si>
    <t>0CaFZWA1xweoblU58ZzcSA==</t>
  </si>
  <si>
    <t>M002413.WAV</t>
  </si>
  <si>
    <t>CfblyQ83VnbGMiJpUfewOA==</t>
  </si>
  <si>
    <t>M002414.WAV</t>
  </si>
  <si>
    <t>fv/brEUYsSk8H6e4cNvgNw==</t>
  </si>
  <si>
    <t>M002415.WAV</t>
  </si>
  <si>
    <t>2+T6eTKbEEB8hOsjGgLeWA==</t>
  </si>
  <si>
    <t>M002416.WAV</t>
  </si>
  <si>
    <t>ZHYdUc+Hgiek5UAyqsvdPw==</t>
  </si>
  <si>
    <t>M002417.WAV</t>
  </si>
  <si>
    <t>8lVM7AXZrtLJf/QWi7obDA==</t>
  </si>
  <si>
    <t>M002418.WAV</t>
  </si>
  <si>
    <t>dcXrSScstPCD9s8YefoZmQ==</t>
  </si>
  <si>
    <t>M002419.WAV</t>
  </si>
  <si>
    <t>M7WtuW5OG1M+8LRqC4SvHw==</t>
  </si>
  <si>
    <t>M002420.WAV</t>
  </si>
  <si>
    <t>boLYX1rKTcHVHVgwJn39mg==</t>
  </si>
  <si>
    <t>M002421.WAV</t>
  </si>
  <si>
    <t>Tp8jNMsB7EYRjLBDRMigqw==</t>
  </si>
  <si>
    <t>M002422.WAV</t>
  </si>
  <si>
    <t>fEt7ogblIoV39d9T29QPUg==</t>
  </si>
  <si>
    <t>M002423.WAV</t>
  </si>
  <si>
    <t>VmgbMG591w0k+gTNVs8v2Q==</t>
  </si>
  <si>
    <t>M002424.WAV</t>
  </si>
  <si>
    <t>z8F3RQbDXU6++fuI1u42KQ==</t>
  </si>
  <si>
    <t>M002425.WAV</t>
  </si>
  <si>
    <t>MzIS6CsXwgIGkeS4147viw==</t>
  </si>
  <si>
    <t>M002426.WAV</t>
  </si>
  <si>
    <t>Bzwcoc7SK3mRQPEOHy51bg==</t>
  </si>
  <si>
    <t>M002427.WAV</t>
  </si>
  <si>
    <t>iD6EcgQVG4yQjeledBMT0w==</t>
  </si>
  <si>
    <t>M002428.WAV</t>
  </si>
  <si>
    <t>Azno2Ugfo6tmv/hlMTmUZA==</t>
  </si>
  <si>
    <t>M002429.WAV</t>
  </si>
  <si>
    <t>92UWumEvvqyP7HPail9GzA==</t>
  </si>
  <si>
    <t>M002430.WAV</t>
  </si>
  <si>
    <t>hS0GuXS5ZzKc5TGV5lJzvg==</t>
  </si>
  <si>
    <t>M002431.WAV</t>
  </si>
  <si>
    <t>S3LcA9IYo4fHOQ9hZAB08Q==</t>
  </si>
  <si>
    <t>M002432.WAV</t>
  </si>
  <si>
    <t>ilRUdI/pCIUhRbQ/jchcZg==</t>
  </si>
  <si>
    <t>M002433.WAV</t>
  </si>
  <si>
    <t>dagSWLJVjXkh6d9AI7nmhw==</t>
  </si>
  <si>
    <t>M002434.WAV</t>
  </si>
  <si>
    <t>I8+Y3VgGnOYE0cYWvGsmpA==</t>
  </si>
  <si>
    <t>M002435.WAV</t>
  </si>
  <si>
    <t>yJytVMdIGANS2OxCyht1mQ==</t>
  </si>
  <si>
    <t>M002436.WAV</t>
  </si>
  <si>
    <t>EUpzJIwttLz+bw2J4ln/rw==</t>
  </si>
  <si>
    <t>M002437.WAV</t>
  </si>
  <si>
    <t>dNllKz4pKpLcNIPN23HCAA==</t>
  </si>
  <si>
    <t>M002438.WAV</t>
  </si>
  <si>
    <t>vteyugZAE+E00sXhrNkeBA==</t>
  </si>
  <si>
    <t>M002439.WAV</t>
  </si>
  <si>
    <t>YeUD8k6rfR69svNcFuiYMg==</t>
  </si>
  <si>
    <t>M002440.WAV</t>
  </si>
  <si>
    <t>I6dcvKEHOkibQ1FjGlyjXQ==</t>
  </si>
  <si>
    <t>M002441.WAV</t>
  </si>
  <si>
    <t>EVm9R72rmaNU2Ds06TWaqw==</t>
  </si>
  <si>
    <t>M002442.WAV</t>
  </si>
  <si>
    <t>tzwSBsfN4637BpOK6cCg7g==</t>
  </si>
  <si>
    <t>M002443.WAV</t>
  </si>
  <si>
    <t>2fNvFR8ENUrRo5Gcxfo4Gg==</t>
  </si>
  <si>
    <t>M002444.WAV</t>
  </si>
  <si>
    <t>nnMI3L7yE06EqhNW6RFPiA==</t>
  </si>
  <si>
    <t>M002445.WAV</t>
  </si>
  <si>
    <t>vGJjtY418xRqT5PDxoSutg==</t>
  </si>
  <si>
    <t>M002446.WAV</t>
  </si>
  <si>
    <t>MWt0AJpeSWc0Qc/vgHxgsQ==</t>
  </si>
  <si>
    <t>M002447.WAV</t>
  </si>
  <si>
    <t>X7eQiwNjmdKwergnliqHzg==</t>
  </si>
  <si>
    <t>M002448.WAV</t>
  </si>
  <si>
    <t>ZQZaiCnNjsJFUNq+gJPmWA==</t>
  </si>
  <si>
    <t>M002449.WAV</t>
  </si>
  <si>
    <t>sBtYYu0TAxT1fLFsqTUS2w==</t>
  </si>
  <si>
    <t>M002450.WAV</t>
  </si>
  <si>
    <t>vcnfEQ1sWtqGWIACT584wA==</t>
  </si>
  <si>
    <t>M002451.WAV</t>
  </si>
  <si>
    <t>qezaU74MOHLBGwb42q2jlw==</t>
  </si>
  <si>
    <t>M002452.WAV</t>
  </si>
  <si>
    <t>5kDUXD0FUgxJ13ZohVbOcA==</t>
  </si>
  <si>
    <t>M002453.WAV</t>
  </si>
  <si>
    <t>5wAFCyhLJUOkzSQYpdf+oA==</t>
  </si>
  <si>
    <t>M002454.WAV</t>
  </si>
  <si>
    <t>p6THzzny+JB0vyIq5EbE/w==</t>
  </si>
  <si>
    <t>M002455.WAV</t>
  </si>
  <si>
    <t>OcgdhLRClge3LFreVBgJtA==</t>
  </si>
  <si>
    <t>M002456.WAV</t>
  </si>
  <si>
    <t>05ZO/YtfYlW6rvv0dVM/bQ==</t>
  </si>
  <si>
    <t>M002457.WAV</t>
  </si>
  <si>
    <t>jLeavOa8iKiwfGy0wfcI6Q==</t>
  </si>
  <si>
    <t>M002458.WAV</t>
  </si>
  <si>
    <t>pW3gv9rXbK5pm7XV57noWw==</t>
  </si>
  <si>
    <t>M002459.WAV</t>
  </si>
  <si>
    <t>g2bxCvGbWLsPe6DoJynP/g==</t>
  </si>
  <si>
    <t>M002460.WAV</t>
  </si>
  <si>
    <t>9KuCzUHJBfOFinvHzK8kiA==</t>
  </si>
  <si>
    <t>M002461.WAV</t>
  </si>
  <si>
    <t>btiELLJ8CmylZOKRKZ0Gyg==</t>
  </si>
  <si>
    <t>M002462.WAV</t>
  </si>
  <si>
    <t>GtAdiss71Q/9Rp6zDi9Irg==</t>
  </si>
  <si>
    <t>M002463.WAV</t>
  </si>
  <si>
    <t>EW2ayO6d7GtASptmyVZWWg==</t>
  </si>
  <si>
    <t>M002464.WAV</t>
  </si>
  <si>
    <t>sZfXDdW2w9DrS6SJbvfw3Q==</t>
  </si>
  <si>
    <t>M002465.WAV</t>
  </si>
  <si>
    <t>sMfV2LjfS1o+axaJOGsoEQ==</t>
  </si>
  <si>
    <t>M002466.WAV</t>
  </si>
  <si>
    <t>I/8jMaLLZbwqP2KOs34XyA==</t>
  </si>
  <si>
    <t>M002467.WAV</t>
  </si>
  <si>
    <t>JLKXwCzd/s0AFa+dHMQ7dQ==</t>
  </si>
  <si>
    <t>M002468.WAV</t>
  </si>
  <si>
    <t>FONBmkCuV6/3QeJbfioN+g==</t>
  </si>
  <si>
    <t>M002469.WAV</t>
  </si>
  <si>
    <t>K6xXmsGbooHsHxjQCw+04Q==</t>
  </si>
  <si>
    <t>M002470.WAV</t>
  </si>
  <si>
    <t>91Uj5UOx6Z31iy5x9ja0rA==</t>
  </si>
  <si>
    <t>M002471.WAV</t>
  </si>
  <si>
    <t>rE6xaNjFyqZhZ6/+VP/4yA==</t>
  </si>
  <si>
    <t>M002472.WAV</t>
  </si>
  <si>
    <t>b+47WHl6oRl1B3amUQ2kOw==</t>
  </si>
  <si>
    <t>M002473.WAV</t>
  </si>
  <si>
    <t>uB9sT7INBVMDsBCAjFR82Q==</t>
  </si>
  <si>
    <t>M002474.WAV</t>
  </si>
  <si>
    <t>3oTA+TtBV8bhk10Eb50y7A==</t>
  </si>
  <si>
    <t>M002475.WAV</t>
  </si>
  <si>
    <t>iii4/z1JmoWATF076V33tw==</t>
  </si>
  <si>
    <t>M002476.WAV</t>
  </si>
  <si>
    <t>rx4XTC9XAfjNG6Joo5sjPQ==</t>
  </si>
  <si>
    <t>M002477.WAV</t>
  </si>
  <si>
    <t>TzdLG35i57OkA9w3v8zXNA==</t>
  </si>
  <si>
    <t>M002478.WAV</t>
  </si>
  <si>
    <t>QuoaTxafdLj/Mze0WU/ctQ==</t>
  </si>
  <si>
    <t>M002479.WAV</t>
  </si>
  <si>
    <t>Qpm+e5oo3vonNBTrjNu3gw==</t>
  </si>
  <si>
    <t>M002480.WAV</t>
  </si>
  <si>
    <t>lno+MpXdhhlnkD143mx86w==</t>
  </si>
  <si>
    <t>M002481.WAV</t>
  </si>
  <si>
    <t>Vx5FiVZhxmuc3x964m4U8Q==</t>
  </si>
  <si>
    <t>M002482.WAV</t>
  </si>
  <si>
    <t>P7+oM18+bOL4OxCfQdtvXA==</t>
  </si>
  <si>
    <t>M002483.WAV</t>
  </si>
  <si>
    <t>uNKsIUF4hk8zWAy7Jd4TWQ==</t>
  </si>
  <si>
    <t>M002484.WAV</t>
  </si>
  <si>
    <t>wp9llZ3F89w2Ijo0lg4/Dw==</t>
  </si>
  <si>
    <t>M002485.WAV</t>
  </si>
  <si>
    <t>ycO2E5gl7qeFCEwI/ixigA==</t>
  </si>
  <si>
    <t>M002486.WAV</t>
  </si>
  <si>
    <t>513mAbdKKkTIQgy2sDom8A==</t>
  </si>
  <si>
    <t>M002487.WAV</t>
  </si>
  <si>
    <t>v7kIVg+XATZkn+koNygkfA==</t>
  </si>
  <si>
    <t>M002488.WAV</t>
  </si>
  <si>
    <t>rP7f6B5oNtn8OGWJs5wIPg==</t>
  </si>
  <si>
    <t>M002489.WAV</t>
  </si>
  <si>
    <t>pchNftYS4kK19C9y57FIPg==</t>
  </si>
  <si>
    <t>M002490.WAV</t>
  </si>
  <si>
    <t>JQ8jfc/wsellIVJOzesBug==</t>
  </si>
  <si>
    <t>M002491.WAV</t>
  </si>
  <si>
    <t>h1WDhZu1vmC7Rtem3AgbjQ==</t>
  </si>
  <si>
    <t>M002492.WAV</t>
  </si>
  <si>
    <t>qwOglUgBKHOWK6U7flW1gg==</t>
  </si>
  <si>
    <t>M002493.WAV</t>
  </si>
  <si>
    <t>OEH6bKWETyqn8lqvZbNn5w==</t>
  </si>
  <si>
    <t>M002494.WAV</t>
  </si>
  <si>
    <t>dyFNmwphCFjdCcrprtrg7w==</t>
  </si>
  <si>
    <t>M002495.WAV</t>
  </si>
  <si>
    <t>sGxgiOZixwnp/j/AV57uCw==</t>
  </si>
  <si>
    <t>M002496.WAV</t>
  </si>
  <si>
    <t>bkj4pvovm/mKDI9uIs6qyg==</t>
  </si>
  <si>
    <t>M002497.WAV</t>
  </si>
  <si>
    <t>4rdnhAmSgHKSbi7CjMxEVA==</t>
  </si>
  <si>
    <t>M002498.WAV</t>
  </si>
  <si>
    <t>xDAx9objGTTVKORUKGBvIQ==</t>
  </si>
  <si>
    <t>M002499.WAV</t>
  </si>
  <si>
    <t>RLaklp5GHc6PdL2Jk9Ntow==</t>
  </si>
  <si>
    <t>M002500.WAV</t>
  </si>
  <si>
    <t>uDinCBStPEmjSSp63bn51g==</t>
  </si>
  <si>
    <t>M002501.WAV</t>
  </si>
  <si>
    <t>5jynDUi5VRYExbhF1uHv1w==</t>
  </si>
  <si>
    <t>M002502.WAV</t>
  </si>
  <si>
    <t>SHLJ9qp9SwKDNsR4WOwN3Q==</t>
  </si>
  <si>
    <t>M002503.WAV</t>
  </si>
  <si>
    <t>skrKdBig2/Kx+cA5hhOJzA==</t>
  </si>
  <si>
    <t>M002504.WAV</t>
  </si>
  <si>
    <t>XwbgHlGkTuTBjCv+OciMUg==</t>
  </si>
  <si>
    <t>M002505.WAV</t>
  </si>
  <si>
    <t>IQkOWdD8yIZuHc8gGIgviQ==</t>
  </si>
  <si>
    <t>M002506.WAV</t>
  </si>
  <si>
    <t>fUtho2/A1eAkjqBvYETkwQ==</t>
  </si>
  <si>
    <t>M002507.WAV</t>
  </si>
  <si>
    <t>i2xg0caTUYY03CH0d+JrDQ==</t>
  </si>
  <si>
    <t>M002508.WAV</t>
  </si>
  <si>
    <t>sxMyTEtgaOeTi75yqYMQ5Q==</t>
  </si>
  <si>
    <t>M002509.WAV</t>
  </si>
  <si>
    <t>Sfy8nsoVRGFHzowCN1jZcg==</t>
  </si>
  <si>
    <t>M002510.WAV</t>
  </si>
  <si>
    <t>q+py77dvgVhvmyH39usLSw==</t>
  </si>
  <si>
    <t>M002511.WAV</t>
  </si>
  <si>
    <t>TzdN+p5Ss/3ClPrkAqGjHg==</t>
  </si>
  <si>
    <t>M002512.WAV</t>
  </si>
  <si>
    <t>7bFfGdBB4qMQVki7rLo/cw==</t>
  </si>
  <si>
    <t>M002513.WAV</t>
  </si>
  <si>
    <t>BpRSeT3OvUBqyL7jr2WQ8A==</t>
  </si>
  <si>
    <t>M002514.WAV</t>
  </si>
  <si>
    <t>DF7xfOTczrf5X3sWYBo4wg==</t>
  </si>
  <si>
    <t>M002515.WAV</t>
  </si>
  <si>
    <t>xsb0S9ss7t2NhcOCzzX9dg==</t>
  </si>
  <si>
    <t>M002516.WAV</t>
  </si>
  <si>
    <t>NgTaDbIHyZBDT0x0M8RLaQ==</t>
  </si>
  <si>
    <t>M002517.WAV</t>
  </si>
  <si>
    <t>vfNqGtYvg5PYpv0UwiPRVw==</t>
  </si>
  <si>
    <t>M002518.WAV</t>
  </si>
  <si>
    <t>xiIh1bL/rISuljH9TVxjBw==</t>
  </si>
  <si>
    <t>M002519.WAV</t>
  </si>
  <si>
    <t>u7tH7q+mxm78txhBjF7rjA==</t>
  </si>
  <si>
    <t>M002520.WAV</t>
  </si>
  <si>
    <t>ArRKAYPeZODRjWhexP1xdA==</t>
  </si>
  <si>
    <t>M002521.WAV</t>
  </si>
  <si>
    <t>z8c4hZp8lfVx9KoKjIHaeg==</t>
  </si>
  <si>
    <t>M002522.WAV</t>
  </si>
  <si>
    <t>TNTiVNPWwoZCdKnWokPP2A==</t>
  </si>
  <si>
    <t>M002523.WAV</t>
  </si>
  <si>
    <t>CDzQuYnpq+zyZDp7Z/ZK4Q==</t>
  </si>
  <si>
    <t>M002524.WAV</t>
  </si>
  <si>
    <t>isx9vEKcErRGcDa99yIR8w==</t>
  </si>
  <si>
    <t>M002525.WAV</t>
  </si>
  <si>
    <t>3gZVAX2mwuKvBi4zyAo24g==</t>
  </si>
  <si>
    <t>M002526.WAV</t>
  </si>
  <si>
    <t>CBapDW5olFJvJI/K03R1zg==</t>
  </si>
  <si>
    <t>M002527.WAV</t>
  </si>
  <si>
    <t>t7lYuj4mSXpoh9h4f3cLhw==</t>
  </si>
  <si>
    <t>M002528.WAV</t>
  </si>
  <si>
    <t>kf+d2gfmYY8BOEVP3+O23w==</t>
  </si>
  <si>
    <t>M002529.WAV</t>
  </si>
  <si>
    <t>GRJ5U6USsrZYTFLvM63xOQ==</t>
  </si>
  <si>
    <t>M002530.WAV</t>
  </si>
  <si>
    <t>s4X/XauBDm7yITU6QYeAng==</t>
  </si>
  <si>
    <t>M002531.WAV</t>
  </si>
  <si>
    <t>5JcfZK3G4L9KXLl3UbD3GA==</t>
  </si>
  <si>
    <t>M002532.WAV</t>
  </si>
  <si>
    <t>I3OCQNngbF8gfNwC27oURw==</t>
  </si>
  <si>
    <t>M002533.WAV</t>
  </si>
  <si>
    <t>kcpCcQwaY5aQPXs0ixG3ng==</t>
  </si>
  <si>
    <t>M002534.WAV</t>
  </si>
  <si>
    <t>FQIvO9dH+46WCOfVmouUgg==</t>
  </si>
  <si>
    <t>M002535.WAV</t>
  </si>
  <si>
    <t>Q6Locr595RX1h8OBlFFd0A==</t>
  </si>
  <si>
    <t>M002536.WAV</t>
  </si>
  <si>
    <t>i3VlXB0k/9PzzhuvrgxozQ==</t>
  </si>
  <si>
    <t>M002537.WAV</t>
  </si>
  <si>
    <t>qIBlsT8akd5Cd+f2tKnmkQ==</t>
  </si>
  <si>
    <t>M002538.WAV</t>
  </si>
  <si>
    <t>5USGtgGFzshg1Q7TcMzdeQ==</t>
  </si>
  <si>
    <t>M002539.WAV</t>
  </si>
  <si>
    <t>fc+KT+qAiFNv55Q2mQm6Uw==</t>
  </si>
  <si>
    <t>M002540.WAV</t>
  </si>
  <si>
    <t>I1cRbv9t/oVNZ8w/ta9HJg==</t>
  </si>
  <si>
    <t>M002541.WAV</t>
  </si>
  <si>
    <t>KM3ljo3gv9Ak+v3T5KKCww==</t>
  </si>
  <si>
    <t>M002542.WAV</t>
  </si>
  <si>
    <t>dod0ivHDub1w8VpxYTKv8g==</t>
  </si>
  <si>
    <t>M002543.WAV</t>
  </si>
  <si>
    <t>Q0aM5P5miOOjeIUuIAP23A==</t>
  </si>
  <si>
    <t>M002544.WAV</t>
  </si>
  <si>
    <t>yZ6V2wvd/e3bdXM8F1hZnw==</t>
  </si>
  <si>
    <t>M002545.WAV</t>
  </si>
  <si>
    <t>l6Z+LhOv6f2mcnlpRbfFxw==</t>
  </si>
  <si>
    <t>M002546.WAV</t>
  </si>
  <si>
    <t>GL0faD+n21FoqoS65o/FhA==</t>
  </si>
  <si>
    <t>M002547.WAV</t>
  </si>
  <si>
    <t>YkAjihw06cpFrYJj0LLOYQ==</t>
  </si>
  <si>
    <t>M002548.WAV</t>
  </si>
  <si>
    <t>Tefx3dc/m7V+JkycO7kicw==</t>
  </si>
  <si>
    <t>M002549.WAV</t>
  </si>
  <si>
    <t>lNX1+EVWNdC0NaxTuFfgjA==</t>
  </si>
  <si>
    <t>M002550.WAV</t>
  </si>
  <si>
    <t>20f0AdKKWHrGtMt3GSUM1w==</t>
  </si>
  <si>
    <t>M002551.WAV</t>
  </si>
  <si>
    <t>anZrrkSLCPPM2qt9evj9lA==</t>
  </si>
  <si>
    <t>M002552.WAV</t>
  </si>
  <si>
    <t>7PlAoqSk2gQaKJpyPhyT4A==</t>
  </si>
  <si>
    <t>M002553.WAV</t>
  </si>
  <si>
    <t>OZ/KgDpA3gAdQFySLrk3KA==</t>
  </si>
  <si>
    <t>M002554.WAV</t>
  </si>
  <si>
    <t>jvlEZYCxSUXKXpPjGm+q/Q==</t>
  </si>
  <si>
    <t>M002555.WAV</t>
  </si>
  <si>
    <t>RzMR7QpmOb3jeT+k4VZDCw==</t>
  </si>
  <si>
    <t>M002556.WAV</t>
  </si>
  <si>
    <t>o7WpkWr/7TGTkWohbLkaag==</t>
  </si>
  <si>
    <t>M002557.WAV</t>
  </si>
  <si>
    <t>BLZRHlOwvNMBnDg/1usqLg==</t>
  </si>
  <si>
    <t>M002558.WAV</t>
  </si>
  <si>
    <t>c2M1bdoipfl0GrTKjHCFEw==</t>
  </si>
  <si>
    <t>M002559.WAV</t>
  </si>
  <si>
    <t>PrGK+WoIPS/H3g8Eg3F0PA==</t>
  </si>
  <si>
    <t>M002560.WAV</t>
  </si>
  <si>
    <t>ZQbV0CcejhCySfdgO87dfg==</t>
  </si>
  <si>
    <t>M002561.WAV</t>
  </si>
  <si>
    <t>UGC1s+vevWAzotWSThaDhQ==</t>
  </si>
  <si>
    <t>M002562.WAV</t>
  </si>
  <si>
    <t>UwRWSAdlPlP/BIjEniQONQ==</t>
  </si>
  <si>
    <t>M002563.WAV</t>
  </si>
  <si>
    <t>Z3nPPr5WnH9t5G3VO9eoOg==</t>
  </si>
  <si>
    <t>M002564.WAV</t>
  </si>
  <si>
    <t>GYmIrF3Rw3IRLuFTo2oHLw==</t>
  </si>
  <si>
    <t>M002565.WAV</t>
  </si>
  <si>
    <t>fZjPvGelX7km0hT/DQNP3g==</t>
  </si>
  <si>
    <t>M002566.WAV</t>
  </si>
  <si>
    <t>1oDEyK8HiYV0sTJ84yw8ow==</t>
  </si>
  <si>
    <t>M002567.WAV</t>
  </si>
  <si>
    <t>kB0/3WTugcFMMS2EfeQLvQ==</t>
  </si>
  <si>
    <t>M002568.WAV</t>
  </si>
  <si>
    <t>JxbeFpOd3u2nNmj5rDa1jw==</t>
  </si>
  <si>
    <t>M002569.WAV</t>
  </si>
  <si>
    <t>toymPHzjotU7i4o6kEWuiA==</t>
  </si>
  <si>
    <t>M002570.WAV</t>
  </si>
  <si>
    <t>pIDSinDheoRDs7vWaYzmqQ==</t>
  </si>
  <si>
    <t>M002571.WAV</t>
  </si>
  <si>
    <t>pHH8uIx5lX1A3xvYlXuFlg==</t>
  </si>
  <si>
    <t>M002572.WAV</t>
  </si>
  <si>
    <t>DMza4o97NdVfa4I3KNp5nw==</t>
  </si>
  <si>
    <t>M002573.WAV</t>
  </si>
  <si>
    <t>DRuvQ7LpwUiiHcUhC2F9Vg==</t>
  </si>
  <si>
    <t>M002574.WAV</t>
  </si>
  <si>
    <t>rRnDqTYs18z81WcA0NL6UQ==</t>
  </si>
  <si>
    <t>M002575.WAV</t>
  </si>
  <si>
    <t>WhEhr54Pj4i2Xm3gl0XwOQ==</t>
  </si>
  <si>
    <t>M002576.WAV</t>
  </si>
  <si>
    <t>IINEmvKyr6WcWMhMYdjZ4A==</t>
  </si>
  <si>
    <t>M002577.WAV</t>
  </si>
  <si>
    <t>Vikvcd2NPVik0sIC/e9+zw==</t>
  </si>
  <si>
    <t>M002578.WAV</t>
  </si>
  <si>
    <t>bOVGuvYKOrVNdyOMBJuU6A==</t>
  </si>
  <si>
    <t>M002579.WAV</t>
  </si>
  <si>
    <t>Iv8xDz/Bvw++H6e6IfhIEg==</t>
  </si>
  <si>
    <t>M002580.WAV</t>
  </si>
  <si>
    <t>QcmNoCxXtrpPQCytQ9TXGg==</t>
  </si>
  <si>
    <t>M002581.WAV</t>
  </si>
  <si>
    <t>h8Oyugp4B+xGFr8RxAJ10A==</t>
  </si>
  <si>
    <t>M002582.WAV</t>
  </si>
  <si>
    <t>mRsos5omuuY1SHQ57+F6NA==</t>
  </si>
  <si>
    <t>M002583.WAV</t>
  </si>
  <si>
    <t>2/7TEaaeA83uVedGVzvq/Q==</t>
  </si>
  <si>
    <t>M002584.WAV</t>
  </si>
  <si>
    <t>qGe5PUgdjFwtYs0IMOB55w==</t>
  </si>
  <si>
    <t>M002585.WAV</t>
  </si>
  <si>
    <t>eoQ6yDPfrk1eXK02YtybYg==</t>
  </si>
  <si>
    <t>M002586.WAV</t>
  </si>
  <si>
    <t>UKoc+nyhMuOtp3ZXppJ2kg==</t>
  </si>
  <si>
    <t>M002587.WAV</t>
  </si>
  <si>
    <t>fD+CFhqxuH2kJwDjfHXnlw==</t>
  </si>
  <si>
    <t>M002588.WAV</t>
  </si>
  <si>
    <t>0HeFuzYwaOQHawBiEHCT5Q==</t>
  </si>
  <si>
    <t>M002589.WAV</t>
  </si>
  <si>
    <t>MM70AtPP5H52IRLrYDMMgw==</t>
  </si>
  <si>
    <t>M002590.WAV</t>
  </si>
  <si>
    <t>RYUdr8fFD3XAiJ2Iv9YSPg==</t>
  </si>
  <si>
    <t>M002591.WAV</t>
  </si>
  <si>
    <t>CF4TysA6NKQ46gTDODmTjw==</t>
  </si>
  <si>
    <t>M002592.WAV</t>
  </si>
  <si>
    <t>7VQm193Xmyu0tA+R3KUuLA==</t>
  </si>
  <si>
    <t>M002593.WAV</t>
  </si>
  <si>
    <t>lBgsCiNcJNEOriYGnLf/fw==</t>
  </si>
  <si>
    <t>M002594.WAV</t>
  </si>
  <si>
    <t>jMK1aC9QWWICfkLVAhQMyQ==</t>
  </si>
  <si>
    <t>M002595.WAV</t>
  </si>
  <si>
    <t>ilc/KxhF+YAoCrq3ENDDzA==</t>
  </si>
  <si>
    <t>M002596.WAV</t>
  </si>
  <si>
    <t>nxHzeVwEDdEs2k7q9tu+1A==</t>
  </si>
  <si>
    <t>M002597.WAV</t>
  </si>
  <si>
    <t>QUyr/dcXrfVqDN/obq5dwQ==</t>
  </si>
  <si>
    <t>M002598.WAV</t>
  </si>
  <si>
    <t>7fq9YMHdklTjWO6MFZll3g==</t>
  </si>
  <si>
    <t>M002599.WAV</t>
  </si>
  <si>
    <t>1rn0q30VXmmh6s5VZiYjLA==</t>
  </si>
  <si>
    <t>M002600.WAV</t>
  </si>
  <si>
    <t>wlveSCEaJigLIFC1Sgc41Q==</t>
  </si>
  <si>
    <t>M002601.WAV</t>
  </si>
  <si>
    <t>wVIsCUWkaNcXn0yholonvA==</t>
  </si>
  <si>
    <t>M002602.WAV</t>
  </si>
  <si>
    <t>qEnixiuOF75I9mobJulz+Q==</t>
  </si>
  <si>
    <t>M002603.WAV</t>
  </si>
  <si>
    <t>+gfaejpmXNXmIux/+w8POQ==</t>
  </si>
  <si>
    <t>M002604.WAV</t>
  </si>
  <si>
    <t>99SxstWCaWloGKFdDMwrYA==</t>
  </si>
  <si>
    <t>M002605.WAV</t>
  </si>
  <si>
    <t>7mxAiGaVlh+EnFCSe2bH2A==</t>
  </si>
  <si>
    <t>M002606.WAV</t>
  </si>
  <si>
    <t>GWbcg1JVbsPz+wGbB19TlQ==</t>
  </si>
  <si>
    <t>M002607.WAV</t>
  </si>
  <si>
    <t>9YM5ZGXDK14EEzzifSF4TQ==</t>
  </si>
  <si>
    <t>M002608.WAV</t>
  </si>
  <si>
    <t>idXSfnIQeerBllQ3j0YPrA==</t>
  </si>
  <si>
    <t>M002609.WAV</t>
  </si>
  <si>
    <t>s/lfjfNB7OC4UkHyeOpG5A==</t>
  </si>
  <si>
    <t>M002610.WAV</t>
  </si>
  <si>
    <t>HY8shO/j/n4qhUTKTRrCQw==</t>
  </si>
  <si>
    <t>M002611.WAV</t>
  </si>
  <si>
    <t>fqOlDDbwN1xy2hyCuC16lA==</t>
  </si>
  <si>
    <t>M002612.WAV</t>
  </si>
  <si>
    <t>L9YMvSoAZ0LMnaZE2ydzWA==</t>
  </si>
  <si>
    <t>M002613.WAV</t>
  </si>
  <si>
    <t>zhokobA3+dkaizELSYA4yw==</t>
  </si>
  <si>
    <t>M002614.WAV</t>
  </si>
  <si>
    <t>pq7WHQAZm2+bPUaSL7XyNQ==</t>
  </si>
  <si>
    <t>M002615.WAV</t>
  </si>
  <si>
    <t>ENzNp9KD7LQ9sXaJHkLfWQ==</t>
  </si>
  <si>
    <t>M002616.WAV</t>
  </si>
  <si>
    <t>rxkfq0BBYpzGC09SPqrwuA==</t>
  </si>
  <si>
    <t>M002617.WAV</t>
  </si>
  <si>
    <t>QYlVnDQAt1nMkYz9mPtjyQ==</t>
  </si>
  <si>
    <t>M002618.WAV</t>
  </si>
  <si>
    <t>S9fZ9sSm+x8Z3bsA3usRtQ==</t>
  </si>
  <si>
    <t>M002619.WAV</t>
  </si>
  <si>
    <t>KgoPWKWCSc5d+LzZw05k1Q==</t>
  </si>
  <si>
    <t>M002620.WAV</t>
  </si>
  <si>
    <t>xuLm+zWo5LQiP6kIt+4uBQ==</t>
  </si>
  <si>
    <t>M002621.WAV</t>
  </si>
  <si>
    <t>AzGih8ikh7M5ApbTvHOfZw==</t>
  </si>
  <si>
    <t>M002622.WAV</t>
  </si>
  <si>
    <t>dd/mnJjPt3yds362sDeR7A==</t>
  </si>
  <si>
    <t>M002623.WAV</t>
  </si>
  <si>
    <t>IpTQAFjBK5Up4Z3wo9bqCg==</t>
  </si>
  <si>
    <t>M002624.WAV</t>
  </si>
  <si>
    <t>IKea/sZNz+UA/R9fIwuxFQ==</t>
  </si>
  <si>
    <t>M002625.WAV</t>
  </si>
  <si>
    <t>vK6xvA9SocRuBARSu7tVYQ==</t>
  </si>
  <si>
    <t>M002626.WAV</t>
  </si>
  <si>
    <t>bjN9VPConeW9gf429ERXog==</t>
  </si>
  <si>
    <t>M002627.WAV</t>
  </si>
  <si>
    <t>DAqyvxMwoIeTvo3jS7xPMQ==</t>
  </si>
  <si>
    <t>M002628.WAV</t>
  </si>
  <si>
    <t>PqwyNkZ8LMgAIa2KGu0zUg==</t>
  </si>
  <si>
    <t>M002629.WAV</t>
  </si>
  <si>
    <t>PlSqhqYOSc3KB9PUdVvVig==</t>
  </si>
  <si>
    <t>M002630.WAV</t>
  </si>
  <si>
    <t>/G/ABejIa0huu8Kolxd4Nw==</t>
  </si>
  <si>
    <t>M002631.WAV</t>
  </si>
  <si>
    <t>4aAf6mbvCMrNw9xLHO/fXg==</t>
  </si>
  <si>
    <t>M002632.WAV</t>
  </si>
  <si>
    <t>pd/p6qNyR9T+Zo99inyTQQ==</t>
  </si>
  <si>
    <t>M002633.WAV</t>
  </si>
  <si>
    <t>/z7SV4BYnfiwPlzTJTM2zw==</t>
  </si>
  <si>
    <t>M002634.WAV</t>
  </si>
  <si>
    <t>EYVN3AWzcq6Ia0OkeYgD9A==</t>
  </si>
  <si>
    <t>M002635.WAV</t>
  </si>
  <si>
    <t>eoCfyGwAz+i08o90ySzdHA==</t>
  </si>
  <si>
    <t>M002636.WAV</t>
  </si>
  <si>
    <t>IULsQL49R/pnQ4dzeiDdWQ==</t>
  </si>
  <si>
    <t>M002637.WAV</t>
  </si>
  <si>
    <t>EmhQTX98iEiZAZxkhhiUzg==</t>
  </si>
  <si>
    <t>M002638.WAV</t>
  </si>
  <si>
    <t>UngteEV3Ho5bgl2Wpoyvlg==</t>
  </si>
  <si>
    <t>M002639.WAV</t>
  </si>
  <si>
    <t>UnrqPahvJNTDiHGO7OpdcA==</t>
  </si>
  <si>
    <t>M002640.WAV</t>
  </si>
  <si>
    <t>KN8KJ6BN2oMGQsQ9spmYcg==</t>
  </si>
  <si>
    <t>M002641.WAV</t>
  </si>
  <si>
    <t>QHKv14IDQVpnBOligHiuqA==</t>
  </si>
  <si>
    <t>M002642.WAV</t>
  </si>
  <si>
    <t>Wa3YCU8jlL8uxadmLqz6Fg==</t>
  </si>
  <si>
    <t>M002643.WAV</t>
  </si>
  <si>
    <t>LP8v0XGIR/W1wXM7oqXYlQ==</t>
  </si>
  <si>
    <t>M002644.WAV</t>
  </si>
  <si>
    <t>/qzzUAacwZGClLZx6UmSDg==</t>
  </si>
  <si>
    <t>M002645.WAV</t>
  </si>
  <si>
    <t>kqIC68FtT1aAyjVsOfXGSQ==</t>
  </si>
  <si>
    <t>M002646.WAV</t>
  </si>
  <si>
    <t>cAnAlh0HguU/sN5RaWVIUA==</t>
  </si>
  <si>
    <t>M002647.WAV</t>
  </si>
  <si>
    <t>OSwduqXE43BQgolCr7AdgA==</t>
  </si>
  <si>
    <t>M002648.WAV</t>
  </si>
  <si>
    <t>GUxjDZMJxRJ+AHMqKrAusw==</t>
  </si>
  <si>
    <t>M002649.WAV</t>
  </si>
  <si>
    <t>CxCAMhi9ox3lQRlNKpTuvA==</t>
  </si>
  <si>
    <t>M002650.WAV</t>
  </si>
  <si>
    <t>+rAtFD/Pz9tWdjIOC/Gv0A==</t>
  </si>
  <si>
    <t>M002651.WAV</t>
  </si>
  <si>
    <t>Roo6fCTIp7DiLRynsVX4Kg==</t>
  </si>
  <si>
    <t>M002652.WAV</t>
  </si>
  <si>
    <t>UOjwU+G36KgfjS5VzgpThw==</t>
  </si>
  <si>
    <t>M002653.WAV</t>
  </si>
  <si>
    <t>8PFUlZFpzhmDF5s3Vuijwg==</t>
  </si>
  <si>
    <t>M002654.WAV</t>
  </si>
  <si>
    <t>UOu/ywqc3NINvjLkPs816A==</t>
  </si>
  <si>
    <t>M002655.WAV</t>
  </si>
  <si>
    <t>vqool7JDjaR51/pHXKOQ4w==</t>
  </si>
  <si>
    <t>M002656.WAV</t>
  </si>
  <si>
    <t>MxXGUqs6x1U5k20szpy9Vw==</t>
  </si>
  <si>
    <t>M002657.WAV</t>
  </si>
  <si>
    <t>V3DiEu4st0fqKu/tTk/piQ==</t>
  </si>
  <si>
    <t>M002658.WAV</t>
  </si>
  <si>
    <t>jpksCnh1KSwKEB/j71WhJw==</t>
  </si>
  <si>
    <t>M002659.WAV</t>
  </si>
  <si>
    <t>gkEPXsin+aH2+cI+qKkIvw==</t>
  </si>
  <si>
    <t>M002660.WAV</t>
  </si>
  <si>
    <t>7oB91/gY0SDPjCGpTHiADA==</t>
  </si>
  <si>
    <t>M002661.WAV</t>
  </si>
  <si>
    <t>FTvnOf8gIGs2mg1yxQltyg==</t>
  </si>
  <si>
    <t>M002662.WAV</t>
  </si>
  <si>
    <t>WmRlvB1HbDfxwnI1nroUvQ==</t>
  </si>
  <si>
    <t>M002663.WAV</t>
  </si>
  <si>
    <t>S8fWbXVPA5MwkYQrG5FbAg==</t>
  </si>
  <si>
    <t>M002664.WAV</t>
  </si>
  <si>
    <t>HBZHpy0r3OXYDBZpMoUjSw==</t>
  </si>
  <si>
    <t>M002665.WAV</t>
  </si>
  <si>
    <t>WTstzYclgB4OU6ogPXCWcA==</t>
  </si>
  <si>
    <t>M002666.WAV</t>
  </si>
  <si>
    <t>+/fVHjVojQ19/LL+BLnVRA==</t>
  </si>
  <si>
    <t>M002667.WAV</t>
  </si>
  <si>
    <t>EQaVFNk/891oNLJJbmMFbw==</t>
  </si>
  <si>
    <t>M002668.WAV</t>
  </si>
  <si>
    <t>f5z65a5S6GOWVky/lkrIpQ==</t>
  </si>
  <si>
    <t>M002669.WAV</t>
  </si>
  <si>
    <t>xG1MxL/1bbrjZAwxKwGPDg==</t>
  </si>
  <si>
    <t>M002670.WAV</t>
  </si>
  <si>
    <t>fuv43Fc6E0VliOEo/YHDQg==</t>
  </si>
  <si>
    <t>M002671.WAV</t>
  </si>
  <si>
    <t>oxYt2SsPzwIrfVs5vRdQpg==</t>
  </si>
  <si>
    <t>M002672.WAV</t>
  </si>
  <si>
    <t>fSsuxtHCTsPOv9ZaDGqYbw==</t>
  </si>
  <si>
    <t>M002673.WAV</t>
  </si>
  <si>
    <t>ueO9z71eoDElg3vGFpE7rw==</t>
  </si>
  <si>
    <t>M002674.WAV</t>
  </si>
  <si>
    <t>aU+c9KiCChIFP+ZWiiTIYg==</t>
  </si>
  <si>
    <t>M002675.WAV</t>
  </si>
  <si>
    <t>88WWAO4R1quzjShQb5ERxQ==</t>
  </si>
  <si>
    <t>M002676.WAV</t>
  </si>
  <si>
    <t>RqCI+TqE5dPofEzeAeG0mw==</t>
  </si>
  <si>
    <t>M002677.WAV</t>
  </si>
  <si>
    <t>3/Ry1AtxSK4Nec0hUREaUg==</t>
  </si>
  <si>
    <t>M002678.WAV</t>
  </si>
  <si>
    <t>KYOTRxi2s0vo0kHkz7h/rA==</t>
  </si>
  <si>
    <t>M002679.WAV</t>
  </si>
  <si>
    <t>raRB7Gub/JAi6kM+/YKjNg==</t>
  </si>
  <si>
    <t>M002680.WAV</t>
  </si>
  <si>
    <t>eFa9alEoeW0fE1yQ5hkNmg==</t>
  </si>
  <si>
    <t>M002681.WAV</t>
  </si>
  <si>
    <t>oAmktWVXMr1ciUC+DcVQVg==</t>
  </si>
  <si>
    <t>M002682.WAV</t>
  </si>
  <si>
    <t>8jMBpXGOSxPPm/OIhp7vNA==</t>
  </si>
  <si>
    <t>M002683.WAV</t>
  </si>
  <si>
    <t>5DvdUqKMGfPn+suxvXhPyQ==</t>
  </si>
  <si>
    <t>M002684.WAV</t>
  </si>
  <si>
    <t>Glbkd7MfxC4ZwPcfCpEFFg==</t>
  </si>
  <si>
    <t>M002685.WAV</t>
  </si>
  <si>
    <t>Lm4Po7kI1u9YUlEGZwExmg==</t>
  </si>
  <si>
    <t>M002686.WAV</t>
  </si>
  <si>
    <t>PFZbL+XUKAJWP4Yvg/B10g==</t>
  </si>
  <si>
    <t>M002687.WAV</t>
  </si>
  <si>
    <t>vm6PisS6ztCZ2Rk9c13ycg==</t>
  </si>
  <si>
    <t>M002688.WAV</t>
  </si>
  <si>
    <t>n4aWWX1qcpwtT2LXvwhg4g==</t>
  </si>
  <si>
    <t>M002689.WAV</t>
  </si>
  <si>
    <t>IN5qetPpgG42LOKCTFGo7w==</t>
  </si>
  <si>
    <t>M002690.WAV</t>
  </si>
  <si>
    <t>XkTl1PSTGvPXrEPcVIR6yg==</t>
  </si>
  <si>
    <t>M002691.WAV</t>
  </si>
  <si>
    <t>psp4eMTyaPsGlX/EQp8MIg==</t>
  </si>
  <si>
    <t>M002692.WAV</t>
  </si>
  <si>
    <t>lEYl1+x/OPpamljrGcdg1Q==</t>
  </si>
  <si>
    <t>M002693.WAV</t>
  </si>
  <si>
    <t>Sk48dXsZH2Ah2nImkWOExQ==</t>
  </si>
  <si>
    <t>M002694.WAV</t>
  </si>
  <si>
    <t>0YIst0ZaGxF8ZgxjtJkkKQ==</t>
  </si>
  <si>
    <t>M002695.WAV</t>
  </si>
  <si>
    <t>8blg5534/feB4J3bre+5BQ==</t>
  </si>
  <si>
    <t>M002696.WAV</t>
  </si>
  <si>
    <t>Ix2NCesZryoTNU12tHNWgw==</t>
  </si>
  <si>
    <t>M002697.WAV</t>
  </si>
  <si>
    <t>UjnCppnyNjl6m7utDMWRvQ==</t>
  </si>
  <si>
    <t>M002698.WAV</t>
  </si>
  <si>
    <t>i+bC1RXpXSSMPyq8ytCwxQ==</t>
  </si>
  <si>
    <t>M002699.WAV</t>
  </si>
  <si>
    <t>BYlz1X+dgU8EprxS9TExoQ==</t>
  </si>
  <si>
    <t>M002700.WAV</t>
  </si>
  <si>
    <t>Zh/Vujm6kz5cAAuksod7WA==</t>
  </si>
  <si>
    <t>M002701.WAV</t>
  </si>
  <si>
    <t>200ORVxRUfn5NPgDqp2G8A==</t>
  </si>
  <si>
    <t>M002702.WAV</t>
  </si>
  <si>
    <t>yocE7CYCkp1ag16A8a2o8g==</t>
  </si>
  <si>
    <t>M002703.WAV</t>
  </si>
  <si>
    <t>eCvNPJku2VF3UOazM/m4/Q==</t>
  </si>
  <si>
    <t>M002704.WAV</t>
  </si>
  <si>
    <t>kfUrsihlyAcqwmTxoJYQKw==</t>
  </si>
  <si>
    <t>M002705.WAV</t>
  </si>
  <si>
    <t>j2D+inNL+0sVjlnX4gUChA==</t>
  </si>
  <si>
    <t>M002706.WAV</t>
  </si>
  <si>
    <t>5w8h0SSnVLiQIMAByN2KDg==</t>
  </si>
  <si>
    <t>M002707.WAV</t>
  </si>
  <si>
    <t>ReoHsq+Gbgp5amcEK5Ecxw==</t>
  </si>
  <si>
    <t>M002708.WAV</t>
  </si>
  <si>
    <t>0LnPfi4qkQBzsR/RngSb/Q==</t>
  </si>
  <si>
    <t>M002709.WAV</t>
  </si>
  <si>
    <t>DgjPSjENHBLcu3HRZ2qWMg==</t>
  </si>
  <si>
    <t>M002710.WAV</t>
  </si>
  <si>
    <t>Txez8dcRGXgrXvGOH66MvA==</t>
  </si>
  <si>
    <t>M002711.WAV</t>
  </si>
  <si>
    <t>abOy+49FUAlmAwxGkeBMRQ==</t>
  </si>
  <si>
    <t>M002712.WAV</t>
  </si>
  <si>
    <t>SVHB0gWWiZ35TQcC+efE8w==</t>
  </si>
  <si>
    <t>M002713.WAV</t>
  </si>
  <si>
    <t>qY/mCUEUzxKyQXefUaYH3Q==</t>
  </si>
  <si>
    <t>M002714.WAV</t>
  </si>
  <si>
    <t>OdxQLNSl/yitSHiKSnD43Q==</t>
  </si>
  <si>
    <t>M002715.WAV</t>
  </si>
  <si>
    <t>y0H2ohQhXHcBgWJ6LHuPXw==</t>
  </si>
  <si>
    <t>M002716.WAV</t>
  </si>
  <si>
    <t>mqIXhMjNwJiYRm6XIsqyjw==</t>
  </si>
  <si>
    <t>M002717.WAV</t>
  </si>
  <si>
    <t>UWtQ1Pi1Dncuo+mOBipK2w==</t>
  </si>
  <si>
    <t>M002718.WAV</t>
  </si>
  <si>
    <t>p/AO0pO6mBD6/ihAcn9yhg==</t>
  </si>
  <si>
    <t>M002719.WAV</t>
  </si>
  <si>
    <t>ZnEKIWwneQPF3LU+r8fjAA==</t>
  </si>
  <si>
    <t>M002720.WAV</t>
  </si>
  <si>
    <t>kXIRMJjDRDagFXWWzYyHUA==</t>
  </si>
  <si>
    <t>M002721.WAV</t>
  </si>
  <si>
    <t>Mn8gv+NQHLWjBZbwpeeVBg==</t>
  </si>
  <si>
    <t>M002722.WAV</t>
  </si>
  <si>
    <t>iinURDFW3XittYxqzdeDuQ==</t>
  </si>
  <si>
    <t>M002723.WAV</t>
  </si>
  <si>
    <t>5BNxQrU5+RhIig7t61tMCg==</t>
  </si>
  <si>
    <t>M002724.WAV</t>
  </si>
  <si>
    <t>LDPKG8A0ulyh+/E5Fa9ZGQ==</t>
  </si>
  <si>
    <t>M002725.WAV</t>
  </si>
  <si>
    <t>wMWPVsSXvInBx1zjSXsPBg==</t>
  </si>
  <si>
    <t>M002726.WAV</t>
  </si>
  <si>
    <t>4MlKFFTeq3WjEJjjuq0muA==</t>
  </si>
  <si>
    <t>M002727.WAV</t>
  </si>
  <si>
    <t>aP9sNmPrAhHeZnc6jzfCzg==</t>
  </si>
  <si>
    <t>M002728.WAV</t>
  </si>
  <si>
    <t>bg+MWdnnETvDmoiJtFJbvQ==</t>
  </si>
  <si>
    <t>M002729.WAV</t>
  </si>
  <si>
    <t>SNaUajpK0ZVBEG5fSCWBQw==</t>
  </si>
  <si>
    <t>M002730.WAV</t>
  </si>
  <si>
    <t>uGTTfpYLmG+uAz3u/9KEFw==</t>
  </si>
  <si>
    <t>M002731.WAV</t>
  </si>
  <si>
    <t>sJFYw8RnyAVtbCxpMZ29jQ==</t>
  </si>
  <si>
    <t>M002732.WAV</t>
  </si>
  <si>
    <t>/DemSkEiQZiXb640xAcFbw==</t>
  </si>
  <si>
    <t>M002733.WAV</t>
  </si>
  <si>
    <t>j/8wTlu6Drsos/5RClDH3g==</t>
  </si>
  <si>
    <t>M002734.WAV</t>
  </si>
  <si>
    <t>XbKCmktDgZx2Mgi4gaOS4w==</t>
  </si>
  <si>
    <t>M002735.WAV</t>
  </si>
  <si>
    <t>WWyhjtw874mHx3qVMU11ng==</t>
  </si>
  <si>
    <t>M002736.WAV</t>
  </si>
  <si>
    <t>nViM7Edw0UngSleNwGvkqg==</t>
  </si>
  <si>
    <t>M002737.WAV</t>
  </si>
  <si>
    <t>NAoKxBQn+sYSByKWVVqI0A==</t>
  </si>
  <si>
    <t>M002738.WAV</t>
  </si>
  <si>
    <t>J37B6aTyYM5wftFC+IPjPQ==</t>
  </si>
  <si>
    <t>M002739.WAV</t>
  </si>
  <si>
    <t>Wk5UaeLm1DvXRtfXjy61Wg==</t>
  </si>
  <si>
    <t>M002740.WAV</t>
  </si>
  <si>
    <t>3RsJd6SF/NhLUPpH7Af/Zw==</t>
  </si>
  <si>
    <t>M002741.WAV</t>
  </si>
  <si>
    <t>+AFx9w8X+Atre+8F0UMPCw==</t>
  </si>
  <si>
    <t>M002742.WAV</t>
  </si>
  <si>
    <t>RqYPazhD/WkAi32wz3prkQ==</t>
  </si>
  <si>
    <t>M002743.WAV</t>
  </si>
  <si>
    <t>0tnBj2nH9DguyJZ5UdcMIA==</t>
  </si>
  <si>
    <t>M002744.WAV</t>
  </si>
  <si>
    <t>wfysLSzz4LAGGKPIw3iQFg==</t>
  </si>
  <si>
    <t>M002745.WAV</t>
  </si>
  <si>
    <t>C+/lJX4flfGrLrC67Kzg/A==</t>
  </si>
  <si>
    <t>M002746.WAV</t>
  </si>
  <si>
    <t>/yXxN9OIg+FRBzL0XXLAaQ==</t>
  </si>
  <si>
    <t>M002747.WAV</t>
  </si>
  <si>
    <t>uzgQDPbpaAGbOlcLWOCMJA==</t>
  </si>
  <si>
    <t>M002748.WAV</t>
  </si>
  <si>
    <t>2Ik3p6F17EUBA8am1+ssvg==</t>
  </si>
  <si>
    <t>M002749.WAV</t>
  </si>
  <si>
    <t>+c6Dwa0zk1tuZbKOaIxfjQ==</t>
  </si>
  <si>
    <t>M002750.WAV</t>
  </si>
  <si>
    <t>Bup1+vY+yHCvelkRbjnFRQ==</t>
  </si>
  <si>
    <t>M002751.WAV</t>
  </si>
  <si>
    <t>dbNGffz7CIAzXpHUZVmqGQ==</t>
  </si>
  <si>
    <t>M002752.WAV</t>
  </si>
  <si>
    <t>ZHN9WAVYECtQ7QszVDreQA==</t>
  </si>
  <si>
    <t>M002753.WAV</t>
  </si>
  <si>
    <t>4DR/dYSoJ6xoKzMlUTPk7Q==</t>
  </si>
  <si>
    <t>M002754.WAV</t>
  </si>
  <si>
    <t>c/Yy8rS6MhGxq4RRxVYFYA==</t>
  </si>
  <si>
    <t>M002755.WAV</t>
  </si>
  <si>
    <t>JcZmNFZIRwuckRmW+XQ4vA==</t>
  </si>
  <si>
    <t>M002756.WAV</t>
  </si>
  <si>
    <t>MbboxeqWNWIiSQG6H9lqXQ==</t>
  </si>
  <si>
    <t>M002757.WAV</t>
  </si>
  <si>
    <t>2FFD+uDr+kR5i4W3tzr+mw==</t>
  </si>
  <si>
    <t>M002758.WAV</t>
  </si>
  <si>
    <t>uB94Relg1Nscdlv6hy34cA==</t>
  </si>
  <si>
    <t>M002759.WAV</t>
  </si>
  <si>
    <t>X82uJU9sC2QvQdx1PFs/1w==</t>
  </si>
  <si>
    <t>M002760.WAV</t>
  </si>
  <si>
    <t>779A80NmLrclYBPmyTkS3Q==</t>
  </si>
  <si>
    <t>M002761.WAV</t>
  </si>
  <si>
    <t>UiJxogstsdq4/1IA2V9bvQ==</t>
  </si>
  <si>
    <t>M002762.WAV</t>
  </si>
  <si>
    <t>ZqL2ecJe57aMWYypvYnyfg==</t>
  </si>
  <si>
    <t>M002763.WAV</t>
  </si>
  <si>
    <t>xCTOjR8iXW2CqD0LsQA98A==</t>
  </si>
  <si>
    <t>M002764.WAV</t>
  </si>
  <si>
    <t>ZdxGCPnoooKGipoARFMQ6A==</t>
  </si>
  <si>
    <t>M002765.WAV</t>
  </si>
  <si>
    <t>eIYkUm58PXG8vwC8lXHqiA==</t>
  </si>
  <si>
    <t>M002766.WAV</t>
  </si>
  <si>
    <t>aCVyBX3WQFNbOv6lR3lWSw==</t>
  </si>
  <si>
    <t>M002767.WAV</t>
  </si>
  <si>
    <t>CMFhBcv5nU6iGzpZE93OCg==</t>
  </si>
  <si>
    <t>M002768.WAV</t>
  </si>
  <si>
    <t>JaK2P+ouuAUkwXf10xJmrQ==</t>
  </si>
  <si>
    <t>M002769.WAV</t>
  </si>
  <si>
    <t>y7+nFrqlZCfc73wLwpK5rg==</t>
  </si>
  <si>
    <t>M002770.WAV</t>
  </si>
  <si>
    <t>4tJmJk+XkDwGvpsaFAEhtQ==</t>
  </si>
  <si>
    <t>M002771.WAV</t>
  </si>
  <si>
    <t>nx80ir/WpIDNnvWojGgfQg==</t>
  </si>
  <si>
    <t>M002772.WAV</t>
  </si>
  <si>
    <t>4Yc3tbLLZOQdeuKNDsxktg==</t>
  </si>
  <si>
    <t>M002773.WAV</t>
  </si>
  <si>
    <t>y8NcK6bQw7YYnBJz2DaVwQ==</t>
  </si>
  <si>
    <t>M002774.WAV</t>
  </si>
  <si>
    <t>zBhkmHSp1WF1Fr38pVX+GA==</t>
  </si>
  <si>
    <t>M002775.WAV</t>
  </si>
  <si>
    <t>43WZHN7Rd4CKBH+OSl75cg==</t>
  </si>
  <si>
    <t>M002776.WAV</t>
  </si>
  <si>
    <t>1l06q+qrJyejvDevUO4PFQ==</t>
  </si>
  <si>
    <t>M002777.WAV</t>
  </si>
  <si>
    <t>vJw9sKUbldBREbeAc55Tnw==</t>
  </si>
  <si>
    <t>M002778.WAV</t>
  </si>
  <si>
    <t>rSo2yOk/gTVJ9QSuUrHDZg==</t>
  </si>
  <si>
    <t>M002779.WAV</t>
  </si>
  <si>
    <t>P0l+FCgTkeJpbj5qZ1ak1A==</t>
  </si>
  <si>
    <t>M002780.WAV</t>
  </si>
  <si>
    <t>ZwiMy5Rbo2NQrs6c29B9xw==</t>
  </si>
  <si>
    <t>M002781.WAV</t>
  </si>
  <si>
    <t>0oVgzgURSDQcXWYJSYv8QA==</t>
  </si>
  <si>
    <t>M002782.WAV</t>
  </si>
  <si>
    <t>z8++1zrVVEPvwQnp8BzWXg==</t>
  </si>
  <si>
    <t>M002783.WAV</t>
  </si>
  <si>
    <t>A//LbuiZ9XChtCw8PFxlgg==</t>
  </si>
  <si>
    <t>M002784.WAV</t>
  </si>
  <si>
    <t>HbMjR+ORGyK3w0GzRBYQaw==</t>
  </si>
  <si>
    <t>M002785.WAV</t>
  </si>
  <si>
    <t>2hqeIUbh7H3G9b6VpZiyCg==</t>
  </si>
  <si>
    <t>M002786.WAV</t>
  </si>
  <si>
    <t>QxNaKBhAAtsYsTMPRxYdMg==</t>
  </si>
  <si>
    <t>M002787.WAV</t>
  </si>
  <si>
    <t>yEt3vNUgBog6Te4/qbECEQ==</t>
  </si>
  <si>
    <t>M002788.WAV</t>
  </si>
  <si>
    <t>FepyrOF2Pdeco5o84IX9Iw==</t>
  </si>
  <si>
    <t>M002789.WAV</t>
  </si>
  <si>
    <t>d6zMjkE+7OCih6IIYx7Pog==</t>
  </si>
  <si>
    <t>M002790.WAV</t>
  </si>
  <si>
    <t>Pvsq+uLUSfI5Z7eipg2mdg==</t>
  </si>
  <si>
    <t>M002791.WAV</t>
  </si>
  <si>
    <t>2ffMVmcV0vcEpwEoj0WJkw==</t>
  </si>
  <si>
    <t>M002792.WAV</t>
  </si>
  <si>
    <t>/8TJi0rYtOyvaDrRb9bbFQ==</t>
  </si>
  <si>
    <t>M002793.WAV</t>
  </si>
  <si>
    <t>9z1reVp7DcIAWsLldLvN+w==</t>
  </si>
  <si>
    <t>M002794.WAV</t>
  </si>
  <si>
    <t>tV36U8dqICznqNiR0Ny+EA==</t>
  </si>
  <si>
    <t>M002795.WAV</t>
  </si>
  <si>
    <t>GPurY+1eELPLoGW+vI02qA==</t>
  </si>
  <si>
    <t>M002796.WAV</t>
  </si>
  <si>
    <t>dl4e0JTSaOU+jg0MpQeaAg==</t>
  </si>
  <si>
    <t>M002797.WAV</t>
  </si>
  <si>
    <t>0fzSYYLEtS8tOKYTYo4tHw==</t>
  </si>
  <si>
    <t>M002798.WAV</t>
  </si>
  <si>
    <t>u30KTto7djpzvJ0Y7dTf2w==</t>
  </si>
  <si>
    <t>M002799.WAV</t>
  </si>
  <si>
    <t>Gj28Ybi/IqcV6sxbWnw7MA==</t>
  </si>
  <si>
    <t>M002800.WAV</t>
  </si>
  <si>
    <t>UEKZye9Q7q9KO6byQmMqZA==</t>
  </si>
  <si>
    <t>M002801.WAV</t>
  </si>
  <si>
    <t>ZQXr977QLCWaxscZYtV/lA==</t>
  </si>
  <si>
    <t>M002802.WAV</t>
  </si>
  <si>
    <t>RliLfEs/3P4epxzPKAXkRw==</t>
  </si>
  <si>
    <t>M002803.WAV</t>
  </si>
  <si>
    <t>FlDOK4tUlvgoPP/7WuWCng==</t>
  </si>
  <si>
    <t>M002804.WAV</t>
  </si>
  <si>
    <t>OC4tf6tz6v6wb/0N5nmOtw==</t>
  </si>
  <si>
    <t>M002805.WAV</t>
  </si>
  <si>
    <t>3m6v+xCry5iZt1qAgt5CNw==</t>
  </si>
  <si>
    <t>M002806.WAV</t>
  </si>
  <si>
    <t>eRqTIRFKh+O+0+IHV/2h8A==</t>
  </si>
  <si>
    <t>M002807.WAV</t>
  </si>
  <si>
    <t>2baT5YjHPsk5+XjS7ak8ig==</t>
  </si>
  <si>
    <t>M002808.WAV</t>
  </si>
  <si>
    <t>/NZepB6nAD+cNRJAigkZVA==</t>
  </si>
  <si>
    <t>M002809.WAV</t>
  </si>
  <si>
    <t>88xFA10OPAKqKyzjLJ/KOA==</t>
  </si>
  <si>
    <t>M002810.WAV</t>
  </si>
  <si>
    <t>4IScq+jUDsdKtPaiIQg+mw==</t>
  </si>
  <si>
    <t>M002811.WAV</t>
  </si>
  <si>
    <t>F3I8y624JQpy9pFw+zV7YQ==</t>
  </si>
  <si>
    <t>M002812.WAV</t>
  </si>
  <si>
    <t>INaUE0kXAqVH9PsyzYr+xA==</t>
  </si>
  <si>
    <t>M002813.WAV</t>
  </si>
  <si>
    <t>TxMiuTJsvcnMir2xvACKlQ==</t>
  </si>
  <si>
    <t>M002814.WAV</t>
  </si>
  <si>
    <t>A9zqAUsSChIQtgpUJt9OKA==</t>
  </si>
  <si>
    <t>M002815.WAV</t>
  </si>
  <si>
    <t>HNIDL6LyOi9LMsUEFCRXjA==</t>
  </si>
  <si>
    <t>M002816.WAV</t>
  </si>
  <si>
    <t>SR5T4auUjOQuV0VsSEJBLg==</t>
  </si>
  <si>
    <t>M002817.WAV</t>
  </si>
  <si>
    <t>4C7BVV0KStcG5Mekg28mkw==</t>
  </si>
  <si>
    <t>M002818.WAV</t>
  </si>
  <si>
    <t>HUFqVkCUXtvY+5sjxbTRyw==</t>
  </si>
  <si>
    <t>M002819.WAV</t>
  </si>
  <si>
    <t>mak+COC0TWnTeDP5a793Dg==</t>
  </si>
  <si>
    <t>M002820.WAV</t>
  </si>
  <si>
    <t>TWzdo3K9t6Jw1U4pomPEjQ==</t>
  </si>
  <si>
    <t>M002821.WAV</t>
  </si>
  <si>
    <t>0SpIIRL70y0aGW9tmNq0eQ==</t>
  </si>
  <si>
    <t>M002822.WAV</t>
  </si>
  <si>
    <t>rgRCIpUzAGVXM3RfDV2ZIQ==</t>
  </si>
  <si>
    <t>M002823.WAV</t>
  </si>
  <si>
    <t>o6ta8FHdDX/RuRTQyIQoog==</t>
  </si>
  <si>
    <t>M002824.WAV</t>
  </si>
  <si>
    <t>TgSm1f7dIh8Li0IFjfSTAQ==</t>
  </si>
  <si>
    <t>M002825.WAV</t>
  </si>
  <si>
    <t>5R6brKlqXZ4HJjBpq3qklw==</t>
  </si>
  <si>
    <t>M002826.WAV</t>
  </si>
  <si>
    <t>krj29kcjenifBytM4Jb5pw==</t>
  </si>
  <si>
    <t>M002827.WAV</t>
  </si>
  <si>
    <t>oCE7DTcJBD9SGHfBWqwkug==</t>
  </si>
  <si>
    <t>M002828.WAV</t>
  </si>
  <si>
    <t>9ftat/mgYg0cEk7klcrlGQ==</t>
  </si>
  <si>
    <t>M002829.WAV</t>
  </si>
  <si>
    <t>pyj5XrgMjjnK6qSiMpvTEw==</t>
  </si>
  <si>
    <t>M002830.WAV</t>
  </si>
  <si>
    <t>R1l3jEyuGA1UQcLi1WsRgA==</t>
  </si>
  <si>
    <t>M002831.WAV</t>
  </si>
  <si>
    <t>UgzzFtEyf/uLhWGFy0qZNw==</t>
  </si>
  <si>
    <t>M002832.WAV</t>
  </si>
  <si>
    <t>rkBwlTK2F4Qm9GUo6irkFA==</t>
  </si>
  <si>
    <t>M002833.WAV</t>
  </si>
  <si>
    <t>9KpLWhZIvK9dqy2TPq0BhA==</t>
  </si>
  <si>
    <t>M002834.WAV</t>
  </si>
  <si>
    <t>+5Pd2f/14l26Eavb2fU+bQ==</t>
  </si>
  <si>
    <t>M002835.WAV</t>
  </si>
  <si>
    <t>Hlt7Um0haMGfab6GhNHq6A==</t>
  </si>
  <si>
    <t>M002836.WAV</t>
  </si>
  <si>
    <t>zy++uu+SIWrb+VMgLS0stg==</t>
  </si>
  <si>
    <t>M002837.WAV</t>
  </si>
  <si>
    <t>C+iVNCqmIx3yOih+ytZv8g==</t>
  </si>
  <si>
    <t>M002838.WAV</t>
  </si>
  <si>
    <t>4d++1PyNtBcvFjK/o/orLg==</t>
  </si>
  <si>
    <t>M002839.WAV</t>
  </si>
  <si>
    <t>qz6KdwrNBvyrj3AvFpQiaQ==</t>
  </si>
  <si>
    <t>M002840.WAV</t>
  </si>
  <si>
    <t>Vmjs5rWRiOYvocNhu3UMgQ==</t>
  </si>
  <si>
    <t>M002841.WAV</t>
  </si>
  <si>
    <t>/1k1HX2fQ1kAlc3UeHIk4w==</t>
  </si>
  <si>
    <t>M002842.WAV</t>
  </si>
  <si>
    <t>+mr0hmc+7mEy5mAZDqiWSw==</t>
  </si>
  <si>
    <t>M002843.WAV</t>
  </si>
  <si>
    <t>G12BcazFehkwwRUQ8sWN6Q==</t>
  </si>
  <si>
    <t>M002844.WAV</t>
  </si>
  <si>
    <t>uwdnLni94ttr9XCb/1lp8w==</t>
  </si>
  <si>
    <t>M002845.WAV</t>
  </si>
  <si>
    <t>n7TNqKaOwmadic1aEVDDag==</t>
  </si>
  <si>
    <t>M002846.WAV</t>
  </si>
  <si>
    <t>eeB6b7whSkgovK9Q2ywfGQ==</t>
  </si>
  <si>
    <t>M002847.WAV</t>
  </si>
  <si>
    <t>5ZFUMYuYSPFinJD6ggEaqA==</t>
  </si>
  <si>
    <t>M002848.WAV</t>
  </si>
  <si>
    <t>m6XSYvU9r8tBhWBlAJCr/g==</t>
  </si>
  <si>
    <t>M002849.WAV</t>
  </si>
  <si>
    <t>46Lr/SHBaTLL/gtEhMQfbw==</t>
  </si>
  <si>
    <t>M002850.WAV</t>
  </si>
  <si>
    <t>SQPKZy6GUfMl0mx/6AE1Pg==</t>
  </si>
  <si>
    <t>M002851.WAV</t>
  </si>
  <si>
    <t>BG5WUzzW9gdgGPpUtvjV5A==</t>
  </si>
  <si>
    <t>M002852.WAV</t>
  </si>
  <si>
    <t>0ewJMO20Y04eZpsDWC13RA==</t>
  </si>
  <si>
    <t>M002853.WAV</t>
  </si>
  <si>
    <t>AjxvlMtHB0lBpcvSjpMGCQ==</t>
  </si>
  <si>
    <t>M002854.WAV</t>
  </si>
  <si>
    <t>EkeHY08LqtLILatJ7W3j3A==</t>
  </si>
  <si>
    <t>M002855.WAV</t>
  </si>
  <si>
    <t>s5yWEkVRAkUJtHqdXatgOw==</t>
  </si>
  <si>
    <t>M002856.WAV</t>
  </si>
  <si>
    <t>vuSFPbPtb2MepW5z4ohi3A==</t>
  </si>
  <si>
    <t>M002857.WAV</t>
  </si>
  <si>
    <t>Dkudym2h+S6WWce5GmaaNA==</t>
  </si>
  <si>
    <t>nordfladdermus, 
Eptesicus nilssonii</t>
  </si>
  <si>
    <t>vattenfladdermus, 
Myotis daubentonii</t>
  </si>
  <si>
    <t>brunlångöra, 
Plecotus auritus</t>
  </si>
  <si>
    <t>oidentifierad 23-35 kHZ inom gruppen Nyctaloid**</t>
  </si>
  <si>
    <t>Fladdermusregistreringar: 430</t>
  </si>
  <si>
    <t>mindre brunfladdermus, 
Nyctalus leisleri</t>
  </si>
  <si>
    <t>Totalt antal ljud: 2 857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</si>
</sst>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F400]h:mm:ss\ AM/PM"/>
    <numFmt numFmtId="165" formatCode="0%;0%;;@"/>
    <numFmt numFmtId="166" formatCode="0;0;;@"/>
    <numFmt numFmtId="167" formatCode="hh:mm;0;;@"/>
    <numFmt numFmtId="168" formatCode="0.0"/>
    <numFmt numFmtId="169" formatCode="hh:mm:ss;@"/>
  </numFmts>
  <fonts count="22" x14ac:knownFonts="1">
    <font>
      <sz val="10"/>
      <name val="Arial"/>
    </font>
    <font>
      <sz val="11"/>
      <color theme="0"/>
      <name val="Arial"/>
      <family val="2"/>
      <scheme val="minor"/>
    </font>
    <font>
      <sz val="11"/>
      <color rgb="FFFFFFFF"/>
      <name val="Calibri"/>
      <family val="2"/>
    </font>
    <font>
      <sz val="10"/>
      <color theme="0"/>
      <name val="Arial"/>
      <family val="2"/>
    </font>
    <font>
      <i/>
      <sz val="10"/>
      <color theme="1"/>
      <name val="Arial"/>
      <family val="2"/>
      <scheme val="minor"/>
    </font>
    <font>
      <sz val="9"/>
      <name val="Arial"/>
      <family val="2"/>
    </font>
    <font>
      <sz val="9"/>
      <color theme="1"/>
      <name val="Arial"/>
      <family val="2"/>
      <scheme val="minor"/>
    </font>
    <font>
      <sz val="8"/>
      <color theme="1"/>
      <name val="Arial"/>
      <family val="2"/>
      <scheme val="minor"/>
    </font>
    <font>
      <sz val="10"/>
      <color theme="1"/>
      <name val="Arial"/>
      <family val="2"/>
      <scheme val="minor"/>
    </font>
    <font>
      <sz val="10"/>
      <name val="Arial"/>
      <family val="2"/>
      <scheme val="minor"/>
    </font>
    <font>
      <sz val="10"/>
      <color theme="0" tint="-4.9989318521683403E-2"/>
      <name val="Arial"/>
      <family val="2"/>
      <scheme val="minor"/>
    </font>
    <font>
      <b/>
      <sz val="10"/>
      <color theme="1"/>
      <name val="Arial"/>
      <family val="2"/>
      <scheme val="minor"/>
    </font>
    <font>
      <sz val="8"/>
      <name val="Arial"/>
      <family val="2"/>
    </font>
    <font>
      <i/>
      <sz val="8"/>
      <color theme="0" tint="-0.499984740745262"/>
      <name val="Arial"/>
      <family val="2"/>
    </font>
    <font>
      <i/>
      <sz val="10"/>
      <color theme="0" tint="-0.499984740745262"/>
      <name val="Arial"/>
      <family val="2"/>
    </font>
    <font>
      <i/>
      <sz val="8"/>
      <color theme="1" tint="0.34998626667073579"/>
      <name val="Arial"/>
      <family val="2"/>
    </font>
    <font>
      <b/>
      <sz val="10"/>
      <name val="Arial"/>
      <family val="2"/>
    </font>
    <font>
      <sz val="10"/>
      <name val="Arial"/>
      <family val="2"/>
    </font>
    <font>
      <sz val="11"/>
      <name val="Calibri"/>
      <family val="2"/>
    </font>
    <font>
      <sz val="9"/>
      <name val="Arial"/>
      <family val="2"/>
      <scheme val="minor"/>
    </font>
    <font>
      <sz val="9"/>
      <color theme="0"/>
      <name val="Arial"/>
      <family val="2"/>
      <scheme val="minor"/>
    </font>
    <font>
      <b/>
      <sz val="9"/>
      <color rgb="FFFFFFFF"/>
      <name val="Arial"/>
      <family val="2"/>
      <scheme val="minor"/>
    </font>
  </fonts>
  <fills count="21">
    <fill>
      <patternFill patternType="none"/>
    </fill>
    <fill>
      <patternFill patternType="gray125"/>
    </fill>
    <fill>
      <patternFill patternType="solid">
        <fgColor rgb="FF4F81BD"/>
      </patternFill>
    </fill>
    <fill>
      <patternFill patternType="solid">
        <fgColor theme="8" tint="0.79998168889431442"/>
        <bgColor indexed="64"/>
      </patternFill>
    </fill>
    <fill>
      <patternFill patternType="solid">
        <fgColor rgb="FFFF0000"/>
        <bgColor indexed="64"/>
      </patternFill>
    </fill>
    <fill>
      <patternFill patternType="solid">
        <fgColor theme="6" tint="-0.499984740745262"/>
        <bgColor indexed="64"/>
      </patternFill>
    </fill>
    <fill>
      <patternFill patternType="solid">
        <fgColor theme="5" tint="-0.499984740745262"/>
        <bgColor indexed="64"/>
      </patternFill>
    </fill>
    <fill>
      <patternFill patternType="solid">
        <fgColor theme="3" tint="0.79998168889431442"/>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2" tint="-0.749992370372631"/>
        <bgColor indexed="64"/>
      </patternFill>
    </fill>
    <fill>
      <patternFill patternType="solid">
        <fgColor theme="3" tint="0.39997558519241921"/>
        <bgColor indexed="64"/>
      </patternFill>
    </fill>
    <fill>
      <patternFill patternType="solid">
        <fgColor theme="7" tint="-9.9978637043366805E-2"/>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2" tint="-0.499984740745262"/>
        <bgColor indexed="64"/>
      </patternFill>
    </fill>
    <fill>
      <patternFill patternType="solid">
        <fgColor theme="3" tint="-0.249977111117893"/>
        <bgColor indexed="64"/>
      </patternFill>
    </fill>
    <fill>
      <patternFill patternType="solid">
        <fgColor rgb="FF7030A0"/>
        <bgColor indexed="64"/>
      </patternFill>
    </fill>
    <fill>
      <patternFill patternType="solid">
        <fgColor theme="0" tint="-4.9989318521683403E-2"/>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diagonal/>
    </border>
    <border>
      <left/>
      <right style="thin">
        <color auto="1"/>
      </right>
      <top style="thin">
        <color auto="1"/>
      </top>
      <bottom/>
      <diagonal/>
    </border>
    <border>
      <left/>
      <right/>
      <top style="thin">
        <color auto="1"/>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style="thin">
        <color indexed="64"/>
      </left>
      <right style="thin">
        <color indexed="64"/>
      </right>
      <top/>
      <bottom style="thin">
        <color auto="1"/>
      </bottom>
      <diagonal/>
    </border>
    <border>
      <left/>
      <right style="thin">
        <color auto="1"/>
      </right>
      <top/>
      <bottom style="thin">
        <color auto="1"/>
      </bottom>
      <diagonal/>
    </border>
    <border>
      <left/>
      <right/>
      <top/>
      <bottom style="thin">
        <color auto="1"/>
      </bottom>
      <diagonal/>
    </border>
    <border>
      <left style="thin">
        <color indexed="64"/>
      </left>
      <right/>
      <top/>
      <bottom style="thin">
        <color indexed="64"/>
      </bottom>
      <diagonal/>
    </border>
    <border>
      <left style="thin">
        <color indexed="64"/>
      </left>
      <right style="thin">
        <color indexed="64"/>
      </right>
      <top/>
      <bottom/>
      <diagonal/>
    </border>
    <border>
      <left/>
      <right style="thin">
        <color auto="1"/>
      </right>
      <top/>
      <bottom/>
      <diagonal/>
    </border>
    <border>
      <left style="thin">
        <color auto="1"/>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s>
  <cellStyleXfs count="3">
    <xf numFmtId="0" fontId="0" fillId="0" borderId="0"/>
    <xf numFmtId="14" fontId="18" fillId="0" borderId="0"/>
    <xf numFmtId="21" fontId="18" fillId="0" borderId="0"/>
  </cellStyleXfs>
  <cellXfs count="189">
    <xf numFmtId="0" fontId="0" fillId="0" borderId="0" xfId="0"/>
    <xf numFmtId="14" fontId="0" fillId="0" borderId="0" xfId="0" applyNumberFormat="1"/>
    <xf numFmtId="164" fontId="0" fillId="0" borderId="0" xfId="0" applyNumberFormat="1"/>
    <xf numFmtId="0" fontId="2" fillId="2" borderId="1" xfId="0" applyFont="1" applyFill="1" applyBorder="1" applyAlignment="1">
      <alignment horizontal="center" vertical="center" textRotation="90"/>
    </xf>
    <xf numFmtId="0" fontId="2" fillId="2" borderId="2" xfId="0" applyFont="1" applyFill="1" applyBorder="1" applyAlignment="1">
      <alignment horizontal="center" vertical="center" textRotation="90"/>
    </xf>
    <xf numFmtId="0" fontId="2" fillId="2" borderId="3" xfId="0" applyFont="1" applyFill="1" applyBorder="1" applyAlignment="1">
      <alignment horizontal="center" vertical="center" textRotation="90"/>
    </xf>
    <xf numFmtId="0" fontId="2" fillId="2" borderId="4" xfId="0" applyFont="1" applyFill="1" applyBorder="1" applyAlignment="1">
      <alignment horizontal="center" vertical="center" textRotation="90"/>
    </xf>
    <xf numFmtId="0" fontId="0" fillId="3" borderId="0" xfId="0" applyFill="1"/>
    <xf numFmtId="0" fontId="3" fillId="4" borderId="0" xfId="0" applyFont="1" applyFill="1" applyAlignment="1">
      <alignment horizontal="center" vertical="center" textRotation="90" wrapText="1"/>
    </xf>
    <xf numFmtId="0" fontId="1" fillId="5" borderId="1" xfId="0" applyFont="1" applyFill="1" applyBorder="1" applyAlignment="1">
      <alignment horizontal="center" vertical="center"/>
    </xf>
    <xf numFmtId="0" fontId="0" fillId="0" borderId="1" xfId="0" applyBorder="1" applyAlignment="1">
      <alignment horizontal="left" vertical="center"/>
    </xf>
    <xf numFmtId="0" fontId="4" fillId="0" borderId="2" xfId="0" applyFont="1" applyBorder="1" applyAlignment="1">
      <alignment horizontal="left" vertical="center"/>
    </xf>
    <xf numFmtId="0" fontId="0" fillId="0" borderId="3" xfId="0" applyBorder="1" applyAlignment="1">
      <alignment horizontal="lef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165" fontId="6" fillId="0" borderId="1" xfId="0" applyNumberFormat="1" applyFont="1" applyBorder="1" applyAlignment="1">
      <alignment horizontal="center" vertical="center"/>
    </xf>
    <xf numFmtId="166" fontId="6" fillId="0" borderId="1" xfId="0" applyNumberFormat="1" applyFont="1" applyBorder="1" applyAlignment="1">
      <alignment horizontal="center" vertical="center"/>
    </xf>
    <xf numFmtId="166" fontId="6" fillId="0" borderId="5" xfId="0" applyNumberFormat="1" applyFont="1" applyBorder="1" applyAlignment="1">
      <alignment horizontal="center" vertical="center"/>
    </xf>
    <xf numFmtId="167" fontId="7" fillId="0" borderId="1" xfId="0" applyNumberFormat="1" applyFont="1" applyBorder="1" applyAlignment="1">
      <alignment horizontal="center" vertical="center"/>
    </xf>
    <xf numFmtId="166" fontId="0" fillId="0" borderId="2" xfId="0" applyNumberFormat="1" applyBorder="1" applyAlignment="1">
      <alignment horizontal="center" vertical="center"/>
    </xf>
    <xf numFmtId="166" fontId="0" fillId="0" borderId="3" xfId="0" applyNumberFormat="1" applyBorder="1" applyAlignment="1">
      <alignment horizontal="center" vertical="center"/>
    </xf>
    <xf numFmtId="0" fontId="1" fillId="6" borderId="2" xfId="0" applyFont="1" applyFill="1" applyBorder="1" applyAlignment="1">
      <alignment horizontal="center" vertical="center"/>
    </xf>
    <xf numFmtId="0" fontId="0" fillId="0" borderId="1" xfId="0" applyBorder="1"/>
    <xf numFmtId="0" fontId="0" fillId="7" borderId="1" xfId="0" applyFill="1" applyBorder="1" applyAlignment="1">
      <alignment horizontal="center"/>
    </xf>
    <xf numFmtId="0" fontId="1" fillId="5" borderId="6" xfId="0" applyFont="1" applyFill="1" applyBorder="1" applyAlignment="1">
      <alignment horizontal="center" vertical="center"/>
    </xf>
    <xf numFmtId="0" fontId="0" fillId="0" borderId="6" xfId="0" applyBorder="1" applyAlignment="1">
      <alignment horizontal="left" vertical="center"/>
    </xf>
    <xf numFmtId="0" fontId="4" fillId="0" borderId="7" xfId="0" applyFont="1" applyBorder="1" applyAlignment="1">
      <alignment horizontal="left" vertical="center"/>
    </xf>
    <xf numFmtId="0" fontId="0" fillId="0" borderId="8" xfId="0" applyBorder="1" applyAlignment="1">
      <alignment horizontal="left"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165" fontId="6" fillId="0" borderId="6" xfId="0" applyNumberFormat="1" applyFont="1" applyBorder="1" applyAlignment="1">
      <alignment horizontal="center" vertical="center"/>
    </xf>
    <xf numFmtId="166" fontId="6" fillId="0" borderId="6" xfId="0" applyNumberFormat="1" applyFont="1" applyBorder="1" applyAlignment="1">
      <alignment horizontal="center" vertical="center"/>
    </xf>
    <xf numFmtId="166" fontId="6" fillId="0" borderId="9" xfId="0" applyNumberFormat="1" applyFont="1" applyBorder="1" applyAlignment="1">
      <alignment horizontal="center" vertical="center"/>
    </xf>
    <xf numFmtId="167" fontId="7" fillId="0" borderId="10" xfId="0" applyNumberFormat="1" applyFont="1" applyBorder="1" applyAlignment="1">
      <alignment horizontal="center" vertical="center"/>
    </xf>
    <xf numFmtId="166" fontId="0" fillId="0" borderId="7" xfId="0" applyNumberFormat="1" applyBorder="1" applyAlignment="1">
      <alignment horizontal="center" vertical="center"/>
    </xf>
    <xf numFmtId="166" fontId="0" fillId="0" borderId="8" xfId="0" applyNumberFormat="1" applyBorder="1" applyAlignment="1">
      <alignment horizontal="center" vertical="center"/>
    </xf>
    <xf numFmtId="0" fontId="1" fillId="6" borderId="7" xfId="0" applyFont="1" applyFill="1" applyBorder="1" applyAlignment="1">
      <alignment horizontal="center" vertical="center"/>
    </xf>
    <xf numFmtId="0" fontId="0" fillId="0" borderId="6" xfId="0" applyBorder="1"/>
    <xf numFmtId="0" fontId="0" fillId="0" borderId="10" xfId="0" applyBorder="1" applyAlignment="1">
      <alignment horizontal="center"/>
    </xf>
    <xf numFmtId="0" fontId="1" fillId="8" borderId="1" xfId="0" applyFont="1" applyFill="1" applyBorder="1" applyAlignment="1">
      <alignment horizontal="center" vertical="center"/>
    </xf>
    <xf numFmtId="0" fontId="1" fillId="9" borderId="2" xfId="0" applyFont="1" applyFill="1" applyBorder="1" applyAlignment="1">
      <alignment horizontal="center" vertical="center"/>
    </xf>
    <xf numFmtId="0" fontId="1" fillId="10" borderId="1" xfId="0" applyFont="1" applyFill="1" applyBorder="1" applyAlignment="1">
      <alignment horizontal="center" vertical="center"/>
    </xf>
    <xf numFmtId="0" fontId="1" fillId="8" borderId="10" xfId="0" applyFont="1" applyFill="1" applyBorder="1" applyAlignment="1">
      <alignment horizontal="center" vertical="center"/>
    </xf>
    <xf numFmtId="0" fontId="0" fillId="0" borderId="10" xfId="0" applyBorder="1" applyAlignment="1">
      <alignment horizontal="left" vertical="center"/>
    </xf>
    <xf numFmtId="0" fontId="4" fillId="0" borderId="11" xfId="0" applyFont="1" applyBorder="1" applyAlignment="1">
      <alignment horizontal="left" vertical="center"/>
    </xf>
    <xf numFmtId="0" fontId="0" fillId="0" borderId="0" xfId="0" applyAlignment="1">
      <alignment horizontal="left"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165" fontId="6" fillId="0" borderId="10" xfId="0" applyNumberFormat="1" applyFont="1" applyBorder="1" applyAlignment="1">
      <alignment horizontal="center" vertical="center"/>
    </xf>
    <xf numFmtId="166" fontId="6" fillId="0" borderId="10" xfId="0" applyNumberFormat="1" applyFont="1" applyBorder="1" applyAlignment="1">
      <alignment horizontal="center" vertical="center"/>
    </xf>
    <xf numFmtId="166" fontId="6" fillId="0" borderId="12" xfId="0" applyNumberFormat="1" applyFont="1" applyBorder="1" applyAlignment="1">
      <alignment horizontal="center" vertical="center"/>
    </xf>
    <xf numFmtId="166" fontId="0" fillId="0" borderId="11" xfId="0" applyNumberFormat="1" applyBorder="1" applyAlignment="1">
      <alignment horizontal="center" vertical="center"/>
    </xf>
    <xf numFmtId="166" fontId="0" fillId="0" borderId="0" xfId="0" applyNumberFormat="1" applyAlignment="1">
      <alignment horizontal="center" vertical="center"/>
    </xf>
    <xf numFmtId="0" fontId="1" fillId="9" borderId="11" xfId="0" applyFont="1" applyFill="1" applyBorder="1" applyAlignment="1">
      <alignment horizontal="center" vertical="center"/>
    </xf>
    <xf numFmtId="0" fontId="1" fillId="10" borderId="10" xfId="0" applyFont="1" applyFill="1" applyBorder="1" applyAlignment="1">
      <alignment horizontal="center" vertical="center"/>
    </xf>
    <xf numFmtId="0" fontId="0" fillId="7" borderId="10" xfId="0" applyFill="1" applyBorder="1" applyAlignment="1">
      <alignment horizontal="center"/>
    </xf>
    <xf numFmtId="0" fontId="1" fillId="8" borderId="6" xfId="0" applyFont="1" applyFill="1" applyBorder="1" applyAlignment="1">
      <alignment horizontal="center" vertical="center"/>
    </xf>
    <xf numFmtId="167" fontId="7" fillId="0" borderId="6" xfId="0" applyNumberFormat="1" applyFont="1" applyBorder="1" applyAlignment="1">
      <alignment horizontal="center" vertical="center"/>
    </xf>
    <xf numFmtId="0" fontId="1" fillId="9" borderId="7" xfId="0" applyFont="1" applyFill="1" applyBorder="1" applyAlignment="1">
      <alignment horizontal="center" vertical="center"/>
    </xf>
    <xf numFmtId="0" fontId="1" fillId="10" borderId="6" xfId="0" applyFont="1" applyFill="1" applyBorder="1" applyAlignment="1">
      <alignment horizontal="center" vertical="center"/>
    </xf>
    <xf numFmtId="0" fontId="1" fillId="0" borderId="6" xfId="0" applyFont="1" applyBorder="1" applyAlignment="1">
      <alignment horizontal="center" vertical="center"/>
    </xf>
    <xf numFmtId="0" fontId="0" fillId="11" borderId="10" xfId="0" applyFill="1" applyBorder="1" applyAlignment="1">
      <alignment horizontal="center"/>
    </xf>
    <xf numFmtId="0" fontId="1" fillId="5" borderId="10" xfId="0" applyFont="1" applyFill="1" applyBorder="1" applyAlignment="1">
      <alignment horizontal="center" vertical="center"/>
    </xf>
    <xf numFmtId="0" fontId="1" fillId="6" borderId="11" xfId="0" applyFont="1" applyFill="1" applyBorder="1" applyAlignment="1">
      <alignment horizontal="center" vertical="center"/>
    </xf>
    <xf numFmtId="0" fontId="0" fillId="0" borderId="10" xfId="0" applyBorder="1"/>
    <xf numFmtId="0" fontId="1" fillId="12" borderId="10" xfId="0" applyFont="1" applyFill="1" applyBorder="1" applyAlignment="1">
      <alignment horizontal="center" vertical="center"/>
    </xf>
    <xf numFmtId="0" fontId="1" fillId="5" borderId="12" xfId="0" applyFont="1" applyFill="1" applyBorder="1" applyAlignment="1">
      <alignment horizontal="center" vertical="center"/>
    </xf>
    <xf numFmtId="0" fontId="0" fillId="0" borderId="10" xfId="0" applyBorder="1" applyAlignment="1">
      <alignment horizontal="right"/>
    </xf>
    <xf numFmtId="0" fontId="0" fillId="0" borderId="6" xfId="0" applyBorder="1" applyAlignment="1">
      <alignment horizontal="center"/>
    </xf>
    <xf numFmtId="0" fontId="1" fillId="13" borderId="1" xfId="0" applyFont="1" applyFill="1" applyBorder="1" applyAlignment="1">
      <alignment horizontal="center" vertical="center"/>
    </xf>
    <xf numFmtId="0" fontId="0" fillId="14" borderId="10" xfId="0" applyFill="1" applyBorder="1" applyAlignment="1">
      <alignment horizontal="center"/>
    </xf>
    <xf numFmtId="0" fontId="1" fillId="13" borderId="10" xfId="0" applyFont="1" applyFill="1" applyBorder="1" applyAlignment="1">
      <alignment horizontal="center" vertical="center"/>
    </xf>
    <xf numFmtId="0" fontId="1" fillId="13" borderId="6" xfId="0" applyFont="1" applyFill="1" applyBorder="1" applyAlignment="1">
      <alignment horizontal="center" vertical="center"/>
    </xf>
    <xf numFmtId="0" fontId="1" fillId="15" borderId="2" xfId="0" applyFont="1" applyFill="1" applyBorder="1" applyAlignment="1">
      <alignment horizontal="center" vertical="center"/>
    </xf>
    <xf numFmtId="0" fontId="1" fillId="16" borderId="1" xfId="0" applyFont="1" applyFill="1" applyBorder="1" applyAlignment="1">
      <alignment horizontal="center" vertical="center"/>
    </xf>
    <xf numFmtId="0" fontId="0" fillId="0" borderId="1" xfId="0" applyBorder="1" applyAlignment="1">
      <alignment horizontal="center"/>
    </xf>
    <xf numFmtId="0" fontId="0" fillId="7" borderId="0" xfId="0" applyFill="1"/>
    <xf numFmtId="0" fontId="1" fillId="15" borderId="11" xfId="0" applyFont="1" applyFill="1" applyBorder="1" applyAlignment="1">
      <alignment horizontal="center" vertical="center"/>
    </xf>
    <xf numFmtId="0" fontId="1" fillId="16" borderId="10" xfId="0" applyFont="1" applyFill="1" applyBorder="1" applyAlignment="1">
      <alignment horizontal="center" vertical="center"/>
    </xf>
    <xf numFmtId="0" fontId="1" fillId="15" borderId="7" xfId="0" applyFont="1" applyFill="1" applyBorder="1" applyAlignment="1">
      <alignment horizontal="center" vertical="center"/>
    </xf>
    <xf numFmtId="0" fontId="1" fillId="16" borderId="6"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0" xfId="0" applyFont="1" applyFill="1" applyAlignment="1">
      <alignment horizontal="center" vertical="center"/>
    </xf>
    <xf numFmtId="0" fontId="3" fillId="17" borderId="10" xfId="0" applyFont="1" applyFill="1" applyBorder="1" applyAlignment="1">
      <alignment horizontal="center"/>
    </xf>
    <xf numFmtId="0" fontId="1" fillId="6" borderId="8" xfId="0" applyFont="1" applyFill="1" applyBorder="1" applyAlignment="1">
      <alignment horizontal="center" vertical="center"/>
    </xf>
    <xf numFmtId="0" fontId="1" fillId="13" borderId="4" xfId="0" applyFont="1" applyFill="1" applyBorder="1" applyAlignment="1">
      <alignment horizontal="center" vertical="center"/>
    </xf>
    <xf numFmtId="0" fontId="0" fillId="0" borderId="4" xfId="0" applyBorder="1" applyAlignment="1">
      <alignment horizontal="right" vertical="center"/>
    </xf>
    <xf numFmtId="0" fontId="0" fillId="0" borderId="13" xfId="0" applyBorder="1" applyAlignment="1">
      <alignment horizontal="left" vertical="center"/>
    </xf>
    <xf numFmtId="0" fontId="0" fillId="0" borderId="14" xfId="0" applyBorder="1" applyAlignment="1">
      <alignment horizontal="left" vertical="center"/>
    </xf>
    <xf numFmtId="0" fontId="5" fillId="0" borderId="4" xfId="0" applyFont="1" applyBorder="1" applyAlignment="1">
      <alignment horizontal="center" vertical="center"/>
    </xf>
    <xf numFmtId="165" fontId="6" fillId="0" borderId="4" xfId="0" applyNumberFormat="1" applyFont="1" applyBorder="1" applyAlignment="1">
      <alignment horizontal="center" vertical="center"/>
    </xf>
    <xf numFmtId="166" fontId="6" fillId="0" borderId="4" xfId="0" applyNumberFormat="1" applyFont="1" applyBorder="1" applyAlignment="1">
      <alignment horizontal="center" vertical="center"/>
    </xf>
    <xf numFmtId="166" fontId="0" fillId="0" borderId="6" xfId="0" applyNumberFormat="1" applyBorder="1" applyAlignment="1">
      <alignment horizontal="center" vertical="center"/>
    </xf>
    <xf numFmtId="0" fontId="1" fillId="18" borderId="13" xfId="0" applyFont="1" applyFill="1" applyBorder="1" applyAlignment="1">
      <alignment horizontal="center" vertical="center"/>
    </xf>
    <xf numFmtId="0" fontId="1" fillId="10" borderId="4" xfId="0" applyFont="1" applyFill="1" applyBorder="1" applyAlignment="1">
      <alignment horizontal="center" vertical="center"/>
    </xf>
    <xf numFmtId="0" fontId="1" fillId="18" borderId="10" xfId="0" applyFont="1" applyFill="1" applyBorder="1" applyAlignment="1">
      <alignment horizontal="center" vertical="center"/>
    </xf>
    <xf numFmtId="0" fontId="0" fillId="0" borderId="11" xfId="0" applyBorder="1" applyAlignment="1">
      <alignment horizontal="left" vertical="center"/>
    </xf>
    <xf numFmtId="167" fontId="7" fillId="0" borderId="4" xfId="0" applyNumberFormat="1" applyFont="1" applyBorder="1" applyAlignment="1">
      <alignment horizontal="center" vertical="center"/>
    </xf>
    <xf numFmtId="166" fontId="0" fillId="0" borderId="10" xfId="0" applyNumberFormat="1" applyBorder="1" applyAlignment="1">
      <alignment horizontal="center" vertical="center"/>
    </xf>
    <xf numFmtId="0" fontId="1" fillId="18" borderId="11" xfId="0" applyFont="1" applyFill="1" applyBorder="1" applyAlignment="1">
      <alignment horizontal="center" vertical="center"/>
    </xf>
    <xf numFmtId="0" fontId="8" fillId="19" borderId="5" xfId="0" applyFont="1" applyFill="1" applyBorder="1" applyAlignment="1">
      <alignment horizontal="left" vertical="center"/>
    </xf>
    <xf numFmtId="0" fontId="8" fillId="19" borderId="3" xfId="0" applyFont="1" applyFill="1" applyBorder="1" applyAlignment="1">
      <alignment horizontal="left" vertical="center"/>
    </xf>
    <xf numFmtId="0" fontId="8" fillId="19" borderId="3" xfId="0" applyFont="1" applyFill="1" applyBorder="1" applyAlignment="1">
      <alignment horizontal="left" vertical="center" readingOrder="1"/>
    </xf>
    <xf numFmtId="0" fontId="8" fillId="19" borderId="3" xfId="0" applyFont="1" applyFill="1" applyBorder="1" applyAlignment="1">
      <alignment horizontal="center" vertical="center"/>
    </xf>
    <xf numFmtId="0" fontId="9" fillId="19" borderId="0" xfId="0" applyFont="1" applyFill="1" applyAlignment="1">
      <alignment horizontal="center" vertical="center"/>
    </xf>
    <xf numFmtId="0" fontId="9" fillId="19" borderId="3" xfId="0" applyFont="1" applyFill="1" applyBorder="1" applyAlignment="1">
      <alignment horizontal="center" vertical="center"/>
    </xf>
    <xf numFmtId="0" fontId="10" fillId="19" borderId="2" xfId="0" applyFont="1" applyFill="1" applyBorder="1" applyAlignment="1">
      <alignment horizontal="left" vertical="center"/>
    </xf>
    <xf numFmtId="0" fontId="0" fillId="19" borderId="1" xfId="0" applyFill="1" applyBorder="1"/>
    <xf numFmtId="0" fontId="0" fillId="0" borderId="3" xfId="0" applyBorder="1"/>
    <xf numFmtId="0" fontId="8" fillId="19" borderId="12" xfId="0" applyFont="1" applyFill="1" applyBorder="1" applyAlignment="1">
      <alignment horizontal="left" vertical="center"/>
    </xf>
    <xf numFmtId="0" fontId="8" fillId="19" borderId="0" xfId="0" applyFont="1" applyFill="1" applyAlignment="1">
      <alignment horizontal="left" vertical="center"/>
    </xf>
    <xf numFmtId="0" fontId="8" fillId="19" borderId="0" xfId="0" applyFont="1" applyFill="1"/>
    <xf numFmtId="0" fontId="8" fillId="19" borderId="0" xfId="0" applyFont="1" applyFill="1" applyAlignment="1">
      <alignment horizontal="center" vertical="center"/>
    </xf>
    <xf numFmtId="168" fontId="8" fillId="19" borderId="0" xfId="0" applyNumberFormat="1" applyFont="1" applyFill="1" applyAlignment="1">
      <alignment horizontal="center" vertical="center"/>
    </xf>
    <xf numFmtId="0" fontId="8" fillId="19" borderId="11" xfId="0" applyFont="1" applyFill="1" applyBorder="1" applyAlignment="1">
      <alignment horizontal="left" vertical="center"/>
    </xf>
    <xf numFmtId="0" fontId="0" fillId="19" borderId="10" xfId="0" applyFill="1" applyBorder="1"/>
    <xf numFmtId="0" fontId="0" fillId="0" borderId="11" xfId="0" applyBorder="1"/>
    <xf numFmtId="0" fontId="8" fillId="19" borderId="0" xfId="0" quotePrefix="1" applyFont="1" applyFill="1" applyAlignment="1">
      <alignment horizontal="right" vertical="center"/>
    </xf>
    <xf numFmtId="168" fontId="11" fillId="19" borderId="0" xfId="0" quotePrefix="1" applyNumberFormat="1" applyFont="1" applyFill="1" applyAlignment="1">
      <alignment horizontal="right" vertical="center"/>
    </xf>
    <xf numFmtId="0" fontId="8" fillId="19" borderId="0" xfId="0" quotePrefix="1" applyFont="1" applyFill="1" applyAlignment="1">
      <alignment horizontal="center" vertical="center"/>
    </xf>
    <xf numFmtId="0" fontId="8" fillId="19" borderId="0" xfId="0" applyFont="1" applyFill="1" applyAlignment="1">
      <alignment vertical="center"/>
    </xf>
    <xf numFmtId="0" fontId="0" fillId="0" borderId="8" xfId="0" applyBorder="1"/>
    <xf numFmtId="0" fontId="0" fillId="0" borderId="7" xfId="0" applyBorder="1"/>
    <xf numFmtId="0" fontId="12" fillId="0" borderId="12" xfId="0" applyFont="1" applyBorder="1"/>
    <xf numFmtId="0" fontId="13" fillId="0" borderId="0" xfId="0" applyFont="1"/>
    <xf numFmtId="0" fontId="14" fillId="0" borderId="0" xfId="0" applyFont="1"/>
    <xf numFmtId="0" fontId="12" fillId="0" borderId="9" xfId="0" applyFont="1" applyBorder="1"/>
    <xf numFmtId="0" fontId="15" fillId="0" borderId="8" xfId="0" applyFont="1" applyBorder="1"/>
    <xf numFmtId="14" fontId="15" fillId="0" borderId="8" xfId="0" applyNumberFormat="1" applyFont="1" applyBorder="1"/>
    <xf numFmtId="14" fontId="7" fillId="0" borderId="8" xfId="0" applyNumberFormat="1" applyFont="1" applyBorder="1" applyAlignment="1">
      <alignment horizontal="center" vertical="center"/>
    </xf>
    <xf numFmtId="0" fontId="6" fillId="0" borderId="11" xfId="0" applyFont="1" applyBorder="1" applyAlignment="1">
      <alignment horizontal="center" vertical="center"/>
    </xf>
    <xf numFmtId="0" fontId="16" fillId="0" borderId="0" xfId="0" applyFont="1"/>
    <xf numFmtId="0" fontId="17" fillId="0" borderId="0" xfId="0" applyFont="1"/>
    <xf numFmtId="14" fontId="18" fillId="0" borderId="0" xfId="1"/>
    <xf numFmtId="169" fontId="16" fillId="0" borderId="0" xfId="0" applyNumberFormat="1" applyFont="1"/>
    <xf numFmtId="169" fontId="0" fillId="0" borderId="0" xfId="0" applyNumberFormat="1"/>
    <xf numFmtId="18" fontId="0" fillId="0" borderId="0" xfId="0" applyNumberFormat="1"/>
    <xf numFmtId="0" fontId="19" fillId="0" borderId="1" xfId="0" applyFont="1" applyBorder="1" applyAlignment="1">
      <alignment horizontal="left" vertical="center" wrapText="1"/>
    </xf>
    <xf numFmtId="0" fontId="19" fillId="0" borderId="10" xfId="0" applyFont="1" applyBorder="1" applyAlignment="1">
      <alignment horizontal="left" vertical="center" wrapText="1"/>
    </xf>
    <xf numFmtId="0" fontId="19" fillId="0" borderId="1" xfId="0" applyFont="1" applyBorder="1" applyAlignment="1">
      <alignment horizontal="center" vertical="center"/>
    </xf>
    <xf numFmtId="0" fontId="19" fillId="0" borderId="10" xfId="0" applyFont="1" applyBorder="1" applyAlignment="1">
      <alignment horizontal="center" vertical="center"/>
    </xf>
    <xf numFmtId="167" fontId="6" fillId="0" borderId="1" xfId="0" applyNumberFormat="1" applyFont="1" applyBorder="1" applyAlignment="1">
      <alignment horizontal="center" vertical="center"/>
    </xf>
    <xf numFmtId="166" fontId="19" fillId="0" borderId="2" xfId="0" applyNumberFormat="1" applyFont="1" applyBorder="1" applyAlignment="1">
      <alignment horizontal="center" vertical="center"/>
    </xf>
    <xf numFmtId="0" fontId="20" fillId="12" borderId="10" xfId="0" applyFont="1" applyFill="1" applyBorder="1" applyAlignment="1">
      <alignment horizontal="center" vertical="center"/>
    </xf>
    <xf numFmtId="167" fontId="6" fillId="0" borderId="10" xfId="0" applyNumberFormat="1" applyFont="1" applyBorder="1" applyAlignment="1">
      <alignment horizontal="center" vertical="center"/>
    </xf>
    <xf numFmtId="166" fontId="19" fillId="0" borderId="11" xfId="0" applyNumberFormat="1" applyFont="1" applyBorder="1" applyAlignment="1">
      <alignment horizontal="center" vertical="center"/>
    </xf>
    <xf numFmtId="0" fontId="20" fillId="5" borderId="1" xfId="0" applyFont="1" applyFill="1" applyBorder="1" applyAlignment="1">
      <alignment horizontal="center" vertical="center"/>
    </xf>
    <xf numFmtId="0" fontId="6" fillId="19" borderId="5" xfId="0" applyFont="1" applyFill="1" applyBorder="1" applyAlignment="1">
      <alignment horizontal="left" vertical="center"/>
    </xf>
    <xf numFmtId="0" fontId="6" fillId="19" borderId="3" xfId="0" applyFont="1" applyFill="1" applyBorder="1" applyAlignment="1">
      <alignment horizontal="left" vertical="center"/>
    </xf>
    <xf numFmtId="168" fontId="6" fillId="19" borderId="3" xfId="0" applyNumberFormat="1" applyFont="1" applyFill="1" applyBorder="1" applyAlignment="1">
      <alignment horizontal="center" vertical="center"/>
    </xf>
    <xf numFmtId="0" fontId="6" fillId="19" borderId="3" xfId="0" applyFont="1" applyFill="1" applyBorder="1" applyAlignment="1">
      <alignment horizontal="center" vertical="center"/>
    </xf>
    <xf numFmtId="0" fontId="6" fillId="19" borderId="2" xfId="0" applyFont="1" applyFill="1" applyBorder="1" applyAlignment="1">
      <alignment horizontal="center" vertical="center"/>
    </xf>
    <xf numFmtId="0" fontId="6" fillId="19" borderId="12" xfId="0" applyFont="1" applyFill="1" applyBorder="1" applyAlignment="1">
      <alignment horizontal="left" vertical="center"/>
    </xf>
    <xf numFmtId="0" fontId="6" fillId="19" borderId="0" xfId="0" applyFont="1" applyFill="1" applyBorder="1" applyAlignment="1">
      <alignment horizontal="left" vertical="center"/>
    </xf>
    <xf numFmtId="0" fontId="6" fillId="19" borderId="0" xfId="0" applyFont="1" applyFill="1" applyBorder="1" applyAlignment="1">
      <alignment vertical="center"/>
    </xf>
    <xf numFmtId="0" fontId="6" fillId="19" borderId="11" xfId="0" applyFont="1" applyFill="1" applyBorder="1" applyAlignment="1">
      <alignment vertical="center"/>
    </xf>
    <xf numFmtId="0" fontId="6" fillId="19" borderId="0" xfId="0" applyFont="1" applyFill="1" applyBorder="1" applyAlignment="1">
      <alignment horizontal="left" vertical="center" readingOrder="1"/>
    </xf>
    <xf numFmtId="0" fontId="19" fillId="19" borderId="0" xfId="0" applyFont="1" applyFill="1" applyBorder="1" applyAlignment="1">
      <alignment horizontal="center" vertical="center"/>
    </xf>
    <xf numFmtId="0" fontId="19" fillId="19" borderId="11" xfId="0" applyFont="1" applyFill="1" applyBorder="1" applyAlignment="1">
      <alignment horizontal="center" vertical="center"/>
    </xf>
    <xf numFmtId="0" fontId="6" fillId="19" borderId="0" xfId="0" applyFont="1" applyFill="1" applyBorder="1" applyAlignment="1">
      <alignment horizontal="center" vertical="center"/>
    </xf>
    <xf numFmtId="0" fontId="6" fillId="19" borderId="8" xfId="0" applyFont="1" applyFill="1" applyBorder="1" applyAlignment="1">
      <alignment horizontal="left" vertical="center"/>
    </xf>
    <xf numFmtId="0" fontId="6" fillId="19" borderId="8" xfId="0" applyFont="1" applyFill="1" applyBorder="1" applyAlignment="1">
      <alignment vertical="center"/>
    </xf>
    <xf numFmtId="0" fontId="21" fillId="20" borderId="1" xfId="0" applyFont="1" applyFill="1" applyBorder="1" applyAlignment="1">
      <alignment horizontal="center" vertical="center" textRotation="90"/>
    </xf>
    <xf numFmtId="0" fontId="21" fillId="20" borderId="4" xfId="0" applyFont="1" applyFill="1" applyBorder="1" applyAlignment="1">
      <alignment horizontal="center" vertical="center" textRotation="90"/>
    </xf>
    <xf numFmtId="0" fontId="21" fillId="20" borderId="2" xfId="0" applyFont="1" applyFill="1" applyBorder="1" applyAlignment="1">
      <alignment horizontal="center" vertical="center" textRotation="90"/>
    </xf>
    <xf numFmtId="0" fontId="19" fillId="19" borderId="3" xfId="0" applyFont="1" applyFill="1" applyBorder="1" applyAlignment="1">
      <alignment horizontal="center" vertical="center"/>
    </xf>
    <xf numFmtId="165" fontId="6" fillId="19" borderId="3" xfId="0" applyNumberFormat="1" applyFont="1" applyFill="1" applyBorder="1" applyAlignment="1">
      <alignment horizontal="center" vertical="center"/>
    </xf>
    <xf numFmtId="165" fontId="6" fillId="19" borderId="0" xfId="0" applyNumberFormat="1" applyFont="1" applyFill="1" applyBorder="1" applyAlignment="1">
      <alignment horizontal="center" vertical="center"/>
    </xf>
    <xf numFmtId="0" fontId="19" fillId="19" borderId="0" xfId="0" applyFont="1" applyFill="1" applyBorder="1"/>
    <xf numFmtId="0" fontId="19" fillId="19" borderId="11" xfId="0" applyFont="1" applyFill="1" applyBorder="1"/>
    <xf numFmtId="0" fontId="19" fillId="19" borderId="8" xfId="0" applyFont="1" applyFill="1" applyBorder="1"/>
    <xf numFmtId="0" fontId="19" fillId="19" borderId="7" xfId="0" applyFont="1" applyFill="1" applyBorder="1"/>
    <xf numFmtId="0" fontId="20" fillId="13" borderId="4" xfId="0" applyFont="1" applyFill="1" applyBorder="1" applyAlignment="1">
      <alignment horizontal="center" vertical="center"/>
    </xf>
    <xf numFmtId="0" fontId="19" fillId="0" borderId="4" xfId="0" applyFont="1" applyBorder="1" applyAlignment="1">
      <alignment horizontal="center" vertical="center"/>
    </xf>
    <xf numFmtId="0" fontId="20" fillId="8" borderId="4" xfId="0" applyFont="1" applyFill="1" applyBorder="1" applyAlignment="1">
      <alignment horizontal="center" vertical="center"/>
    </xf>
    <xf numFmtId="0" fontId="19" fillId="0" borderId="4" xfId="0" applyFont="1" applyBorder="1" applyAlignment="1">
      <alignment horizontal="left" vertical="center" wrapText="1"/>
    </xf>
    <xf numFmtId="166" fontId="6" fillId="0" borderId="15" xfId="0" applyNumberFormat="1" applyFont="1" applyBorder="1" applyAlignment="1">
      <alignment horizontal="center" vertical="center"/>
    </xf>
    <xf numFmtId="167" fontId="6" fillId="0" borderId="4" xfId="0" applyNumberFormat="1" applyFont="1" applyBorder="1" applyAlignment="1">
      <alignment horizontal="center" vertical="center"/>
    </xf>
    <xf numFmtId="166" fontId="19" fillId="0" borderId="13" xfId="0" applyNumberFormat="1" applyFont="1" applyBorder="1" applyAlignment="1">
      <alignment horizontal="center" vertical="center"/>
    </xf>
    <xf numFmtId="166" fontId="19" fillId="0" borderId="4" xfId="0" applyNumberFormat="1" applyFont="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0" fillId="0" borderId="0" xfId="0" applyAlignment="1">
      <alignment horizontal="center" vertical="center"/>
    </xf>
    <xf numFmtId="0" fontId="6" fillId="19" borderId="9" xfId="0" applyFont="1" applyFill="1" applyBorder="1" applyAlignment="1">
      <alignment horizontal="left" vertical="center"/>
    </xf>
    <xf numFmtId="0" fontId="19" fillId="0" borderId="4" xfId="0" applyFont="1" applyBorder="1" applyAlignment="1">
      <alignment horizontal="left" vertical="center"/>
    </xf>
  </cellXfs>
  <cellStyles count="3">
    <cellStyle name="date_style" xfId="1" xr:uid="{0880126A-BBCF-481A-A26C-D5DB5E824202}"/>
    <cellStyle name="Normal" xfId="0" builtinId="0"/>
    <cellStyle name="time_style" xfId="2" xr:uid="{F4DFE111-E338-451C-94C0-78190FF01589}"/>
  </cellStyles>
  <dxfs count="14">
    <dxf>
      <font>
        <b/>
        <i val="0"/>
        <color theme="1"/>
      </font>
      <fill>
        <patternFill>
          <bgColor theme="9" tint="0.79998168889431442"/>
        </patternFill>
      </fill>
    </dxf>
    <dxf>
      <font>
        <b/>
        <i val="0"/>
      </font>
      <fill>
        <patternFill patternType="none">
          <bgColor auto="1"/>
        </patternFill>
      </fill>
    </dxf>
    <dxf>
      <font>
        <b/>
        <i val="0"/>
      </font>
      <fill>
        <patternFill>
          <bgColor theme="9" tint="0.59996337778862885"/>
        </patternFill>
      </fill>
    </dxf>
    <dxf>
      <font>
        <b/>
        <i val="0"/>
      </font>
      <fill>
        <patternFill>
          <bgColor theme="9" tint="0.59996337778862885"/>
        </patternFill>
      </fill>
    </dxf>
    <dxf>
      <font>
        <b/>
        <i val="0"/>
        <color theme="1"/>
      </font>
      <fill>
        <patternFill>
          <bgColor theme="9" tint="0.59996337778862885"/>
        </patternFill>
      </fill>
    </dxf>
    <dxf>
      <font>
        <b/>
        <i val="0"/>
        <color theme="1"/>
      </font>
      <fill>
        <patternFill>
          <bgColor theme="9" tint="0.59996337778862885"/>
        </patternFill>
      </fill>
    </dxf>
    <dxf>
      <font>
        <b/>
        <i val="0"/>
        <color theme="1"/>
      </font>
      <fill>
        <patternFill patternType="solid">
          <fgColor auto="1"/>
          <bgColor theme="9" tint="0.79998168889431442"/>
        </patternFill>
      </fill>
    </dxf>
    <dxf>
      <font>
        <b/>
        <i val="0"/>
        <color theme="1"/>
      </font>
      <fill>
        <patternFill>
          <bgColor theme="9" tint="0.79998168889431442"/>
        </patternFill>
      </fill>
    </dxf>
    <dxf>
      <font>
        <b/>
        <i val="0"/>
        <color theme="1"/>
      </font>
      <fill>
        <patternFill>
          <bgColor theme="9" tint="0.59996337778862885"/>
        </patternFill>
      </fill>
    </dxf>
    <dxf>
      <font>
        <b/>
        <i val="0"/>
      </font>
      <fill>
        <patternFill patternType="none">
          <bgColor auto="1"/>
        </patternFill>
      </fill>
    </dxf>
    <dxf>
      <font>
        <b/>
        <i val="0"/>
      </font>
      <fill>
        <patternFill>
          <bgColor theme="9" tint="0.59996337778862885"/>
        </patternFill>
      </fill>
    </dxf>
    <dxf>
      <font>
        <b/>
        <i val="0"/>
        <color theme="1"/>
      </font>
      <fill>
        <patternFill>
          <bgColor theme="9" tint="0.59996337778862885"/>
        </patternFill>
      </fill>
    </dxf>
    <dxf>
      <font>
        <b/>
        <i val="0"/>
      </font>
      <fill>
        <patternFill>
          <bgColor theme="9" tint="0.59996337778862885"/>
        </patternFill>
      </fill>
    </dxf>
    <dxf>
      <font>
        <b/>
        <i val="0"/>
        <color theme="1"/>
      </font>
      <fill>
        <patternFill patternType="solid">
          <fgColor auto="1"/>
          <bgColor theme="9" tint="0.79998168889431442"/>
        </patternFill>
      </fill>
    </dxf>
  </dxfs>
  <tableStyles count="1" defaultTableStyle="TableStyleMedium9" defaultPivotStyle="PivotStyleLight16">
    <tableStyle name="Invisible" pivot="0" table="0" count="0" xr9:uid="{D33252FE-BDA9-4137-B797-234633655F4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theme" Target="theme/theme1.xml"/><Relationship Id="rId7" Type="http://schemas.openxmlformats.org/officeDocument/2006/relationships/sheetMetadata" Target="metadata.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connections" Target="connections.xml"/><Relationship Id="rId9" Type="http://schemas.openxmlformats.org/officeDocument/2006/relationships/customXml" Target="../customXml/item1.xml"/><Relationship Id="rId14" Type="http://schemas.openxmlformats.org/officeDocument/2006/relationships/customXml" Target="../customXml/item6.xml"/></Relationships>
</file>

<file path=xl/theme/theme1.xml><?xml version="1.0" encoding="utf-8"?>
<a:theme xmlns:a="http://schemas.openxmlformats.org/drawingml/2006/main" name="Office Theme">
  <a:themeElements>
    <a:clrScheme name="Sweco 2022">
      <a:dk1>
        <a:sysClr val="windowText" lastClr="000000"/>
      </a:dk1>
      <a:lt1>
        <a:srgbClr val="FFFFFF"/>
      </a:lt1>
      <a:dk2>
        <a:srgbClr val="3F3F42"/>
      </a:dk2>
      <a:lt2>
        <a:srgbClr val="E2E0DA"/>
      </a:lt2>
      <a:accent1>
        <a:srgbClr val="A4A4A6"/>
      </a:accent1>
      <a:accent2>
        <a:srgbClr val="DEC55B"/>
      </a:accent2>
      <a:accent3>
        <a:srgbClr val="9DD354"/>
      </a:accent3>
      <a:accent4>
        <a:srgbClr val="C0D4FD"/>
      </a:accent4>
      <a:accent5>
        <a:srgbClr val="7A9B62"/>
      </a:accent5>
      <a:accent6>
        <a:srgbClr val="3F3F42"/>
      </a:accent6>
      <a:hlink>
        <a:srgbClr val="548AF9"/>
      </a:hlink>
      <a:folHlink>
        <a:srgbClr val="78AF2D"/>
      </a:folHlink>
    </a:clrScheme>
    <a:fontScheme name="Sweco - Word">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W2" dT="2025-07-08T15:42:34.96" personId="{00000000-0000-0000-0000-000000000000}" id="{CBF2E4DA-95E0-4610-99D9-5B80F4F9E931}">
    <text xml:space="preserve">Dessa celler fr o m här t o m "Matrisversion" kopierar du och klistrar in i det excelark du skapar utifrån den csv-fil med defaultnamn "meta" som du får ut av Kaleidoscope. Klistra in cellerna på samma plats, i kolumn W, ett snäpp till vänster om artbestämningarna </text>
  </threadedComment>
  <threadedComment ref="AW33" dT="2025-07-08T17:14:28.32" personId="{00000000-0000-0000-0000-000000000000}" id="{51C6D2D2-F69A-472E-879D-77D7373E9D89}">
    <text>De här tre fälten behöver du fylla i själv. Antalet timmar per natt menar jag kan standardmässigt anges till 8, oavsett verklig aktivitetstid första till sista obs som i t ex juli är betydligt kortare. Poängen är mer att ha en jämförelseaktivitet per timme som jag tycker är lättare att greppa utifrån fälterfarenheten än obsar per natt</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7-08T15:42:34.96" personId="{00000000-0000-0000-0000-000000000000}" id="{E223C669-E862-4C3D-8CC1-B03C9FE2E2AE}">
    <text xml:space="preserve">Dessa celler fr o m här t o m "Matrisversion" kopierar du och klistrar in i det excelark du skapar utifrån den csv-fil med defaultnamn "meta" som du får ut av Kaleidoscope. Klistra in cellerna på samma plats, i kolumn W, ett snäpp till vänster om artbestämningarna </text>
  </threadedComment>
  <threadedComment ref="A7" dT="2025-07-08T17:14:28.32" personId="{00000000-0000-0000-0000-000000000000}" id="{F9AEF389-7441-401E-A4EE-CA98156F2438}">
    <text>De här tre fälten behöver du fylla i själv. Antalet timmar per natt menar jag kan standardmässigt anges till 8, oavsett verklig aktivitetstid första till sista obs som i t ex juli är betydligt kortare. Poängen är mer att ha en jämförelseaktivitet per timme som jag tycker är lättare att greppa utifrån fälterfarenheten än obsar per natt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BC468-5B20-4754-9C1C-58EFBB1F7DB9}">
  <dimension ref="A1:BX3254"/>
  <sheetViews>
    <sheetView topLeftCell="I1" workbookViewId="0">
      <selection activeCell="AW2" sqref="AW2:BI35"/>
    </sheetView>
  </sheetViews>
  <sheetFormatPr defaultRowHeight="12.5" x14ac:dyDescent="0.25"/>
  <cols>
    <col min="1" max="1" width="46.6328125" customWidth="1"/>
    <col min="3" max="3" width="22.7265625" customWidth="1"/>
    <col min="5" max="5" width="10.08984375" bestFit="1" customWidth="1"/>
    <col min="6" max="6" width="11.7265625" bestFit="1" customWidth="1"/>
    <col min="8" max="8" width="10.453125" bestFit="1" customWidth="1"/>
    <col min="9" max="9" width="14.7265625" style="135" customWidth="1"/>
    <col min="23" max="23" width="4.7265625" customWidth="1"/>
    <col min="24" max="24" width="35.81640625" customWidth="1"/>
    <col min="25" max="25" width="22.7265625" hidden="1" customWidth="1"/>
    <col min="26" max="26" width="16.7265625" hidden="1" customWidth="1"/>
    <col min="27" max="27" width="4.7265625" hidden="1" customWidth="1"/>
    <col min="28" max="29" width="4.7265625" customWidth="1"/>
    <col min="30" max="30" width="5.7265625" customWidth="1"/>
    <col min="31" max="31" width="9.54296875" customWidth="1"/>
    <col min="32" max="35" width="4.7265625" hidden="1" customWidth="1"/>
    <col min="36" max="46" width="0" hidden="1" customWidth="1"/>
    <col min="47" max="47" width="5.36328125" customWidth="1"/>
  </cols>
  <sheetData>
    <row r="1" spans="1:76" ht="13" x14ac:dyDescent="0.3">
      <c r="A1" s="131" t="s">
        <v>0</v>
      </c>
      <c r="B1" s="131" t="s">
        <v>1</v>
      </c>
      <c r="C1" s="131" t="s">
        <v>2</v>
      </c>
      <c r="D1" s="131" t="s">
        <v>3</v>
      </c>
      <c r="E1" s="131" t="s">
        <v>4</v>
      </c>
      <c r="F1" s="131" t="s">
        <v>5</v>
      </c>
      <c r="G1" s="131" t="s">
        <v>6</v>
      </c>
      <c r="H1" s="131" t="s">
        <v>7</v>
      </c>
      <c r="I1" s="134" t="s">
        <v>8</v>
      </c>
      <c r="J1" s="131" t="s">
        <v>9</v>
      </c>
      <c r="K1" t="s">
        <v>10</v>
      </c>
      <c r="L1" t="s">
        <v>11</v>
      </c>
      <c r="M1" t="s">
        <v>12</v>
      </c>
      <c r="N1" t="s">
        <v>13</v>
      </c>
      <c r="O1" t="s">
        <v>14</v>
      </c>
      <c r="P1" t="s">
        <v>15</v>
      </c>
      <c r="Q1" t="s">
        <v>16</v>
      </c>
      <c r="R1" s="131" t="s">
        <v>17</v>
      </c>
      <c r="S1" s="131" t="s">
        <v>18</v>
      </c>
      <c r="T1" s="131" t="s">
        <v>19</v>
      </c>
      <c r="U1" s="131" t="s">
        <v>20</v>
      </c>
      <c r="V1" s="131" t="s">
        <v>21</v>
      </c>
      <c r="W1" s="131" t="s">
        <v>22</v>
      </c>
      <c r="X1" s="131" t="s">
        <v>23</v>
      </c>
      <c r="Y1" t="s">
        <v>24</v>
      </c>
      <c r="Z1" t="s">
        <v>25</v>
      </c>
      <c r="AA1" t="s">
        <v>26</v>
      </c>
      <c r="AB1" t="s">
        <v>27</v>
      </c>
      <c r="AC1" s="131" t="s">
        <v>28</v>
      </c>
      <c r="AD1" s="132"/>
    </row>
    <row r="2" spans="1:76" ht="110" x14ac:dyDescent="0.35">
      <c r="A2" t="s">
        <v>396</v>
      </c>
      <c r="C2" t="s">
        <v>32</v>
      </c>
      <c r="D2" t="s">
        <v>385</v>
      </c>
      <c r="E2" s="133">
        <v>45838</v>
      </c>
      <c r="F2" s="2">
        <v>0.9250694444444445</v>
      </c>
      <c r="G2">
        <v>22</v>
      </c>
      <c r="H2" s="133">
        <v>45838</v>
      </c>
      <c r="I2" s="2">
        <v>0.42506944444444444</v>
      </c>
      <c r="J2">
        <v>10</v>
      </c>
      <c r="R2" t="s">
        <v>30</v>
      </c>
      <c r="W2">
        <v>1</v>
      </c>
      <c r="X2" t="s">
        <v>30</v>
      </c>
      <c r="AC2" t="s">
        <v>397</v>
      </c>
      <c r="AE2" s="135"/>
      <c r="AV2" s="136"/>
      <c r="AW2" s="3" t="s">
        <v>241</v>
      </c>
      <c r="AX2" s="3" t="s">
        <v>242</v>
      </c>
      <c r="AY2" s="4" t="s">
        <v>243</v>
      </c>
      <c r="AZ2" s="5" t="s">
        <v>244</v>
      </c>
      <c r="BA2" s="6" t="s">
        <v>245</v>
      </c>
      <c r="BB2" s="6" t="s">
        <v>246</v>
      </c>
      <c r="BC2" s="4" t="s">
        <v>247</v>
      </c>
      <c r="BD2" s="4" t="s">
        <v>248</v>
      </c>
      <c r="BE2" s="4" t="s">
        <v>249</v>
      </c>
      <c r="BF2" s="4" t="s">
        <v>250</v>
      </c>
      <c r="BG2" s="4" t="s">
        <v>251</v>
      </c>
      <c r="BH2" s="3" t="s">
        <v>252</v>
      </c>
      <c r="BI2" s="4" t="s">
        <v>253</v>
      </c>
      <c r="BJ2" s="3" t="s">
        <v>254</v>
      </c>
      <c r="BK2" s="3" t="s">
        <v>255</v>
      </c>
      <c r="BL2" s="3" t="s">
        <v>256</v>
      </c>
      <c r="BM2" s="7" t="s">
        <v>257</v>
      </c>
      <c r="BN2" s="7" t="s">
        <v>258</v>
      </c>
      <c r="BO2" s="7" t="s">
        <v>259</v>
      </c>
      <c r="BP2" s="7" t="s">
        <v>260</v>
      </c>
      <c r="BQ2" s="7" t="s">
        <v>261</v>
      </c>
      <c r="BR2" s="7" t="s">
        <v>262</v>
      </c>
      <c r="BS2" s="7" t="s">
        <v>263</v>
      </c>
      <c r="BT2" s="7" t="s">
        <v>264</v>
      </c>
      <c r="BU2" s="7" t="s">
        <v>265</v>
      </c>
      <c r="BW2" s="8" t="s">
        <v>266</v>
      </c>
      <c r="BX2" s="8" t="s">
        <v>267</v>
      </c>
    </row>
    <row r="3" spans="1:76" ht="14.5" x14ac:dyDescent="0.35">
      <c r="A3" t="s">
        <v>396</v>
      </c>
      <c r="C3" t="s">
        <v>35</v>
      </c>
      <c r="D3" t="s">
        <v>385</v>
      </c>
      <c r="E3" s="133">
        <v>45838</v>
      </c>
      <c r="F3" s="2">
        <v>0.92513888888888884</v>
      </c>
      <c r="G3">
        <v>22</v>
      </c>
      <c r="H3" s="133">
        <v>45838</v>
      </c>
      <c r="I3" s="2">
        <v>0.4251388888888889</v>
      </c>
      <c r="J3">
        <v>10</v>
      </c>
      <c r="R3" t="s">
        <v>30</v>
      </c>
      <c r="W3">
        <v>1</v>
      </c>
      <c r="X3" t="s">
        <v>30</v>
      </c>
      <c r="AC3" t="s">
        <v>398</v>
      </c>
      <c r="AE3" s="135"/>
      <c r="AW3" s="9" t="s">
        <v>268</v>
      </c>
      <c r="AX3" s="10" t="s">
        <v>269</v>
      </c>
      <c r="AY3" s="11" t="s">
        <v>270</v>
      </c>
      <c r="AZ3" s="12"/>
      <c r="BA3" s="13">
        <f>COUNTIF(X:X,"*arbastella bar*")</f>
        <v>0</v>
      </c>
      <c r="BB3" s="14"/>
      <c r="BC3" s="15">
        <f>BA3/SUM(BB4,BB7,BB17,BB20,BB25,BB28,BB30,BB31,BB32)</f>
        <v>0</v>
      </c>
      <c r="BD3" s="16">
        <f>BC3*AZ34/(AW33*AW34)</f>
        <v>0</v>
      </c>
      <c r="BE3" s="17">
        <f>BC3*AZ34/(AW33*AW34*AW35)</f>
        <v>0</v>
      </c>
      <c r="BF3" s="18">
        <f>_xlfn.MINIFS(I:I,X:X,"*astella bar*")</f>
        <v>0</v>
      </c>
      <c r="BG3" s="18">
        <f>_xlfn.MAXIFS(I:I,X:X,"*astella bar*")</f>
        <v>0</v>
      </c>
      <c r="BH3" s="19">
        <f>COUNTIF(X:X,"*stellus F*")</f>
        <v>0</v>
      </c>
      <c r="BI3" s="20">
        <f>COUNTIF(X:X,"*stellus S*")</f>
        <v>0</v>
      </c>
      <c r="BJ3" s="21" t="s">
        <v>271</v>
      </c>
      <c r="BK3" s="22"/>
      <c r="BL3" s="23" t="s">
        <v>272</v>
      </c>
      <c r="BM3" t="s">
        <v>273</v>
      </c>
      <c r="BN3" t="s">
        <v>274</v>
      </c>
      <c r="BP3" t="s">
        <v>275</v>
      </c>
      <c r="BQ3" t="s">
        <v>276</v>
      </c>
      <c r="BS3" t="s">
        <v>277</v>
      </c>
      <c r="BT3">
        <v>20.2</v>
      </c>
      <c r="BU3" t="str" cm="1">
        <f t="array" ref="BU3:BV5">_xlfn.UNIQUE(A:B)</f>
        <v>INDIR</v>
      </c>
      <c r="BV3" t="str">
        <v>FOLDER</v>
      </c>
      <c r="BW3" t="s">
        <v>278</v>
      </c>
      <c r="BX3" t="s">
        <v>278</v>
      </c>
    </row>
    <row r="4" spans="1:76" ht="14.5" x14ac:dyDescent="0.35">
      <c r="A4" t="s">
        <v>396</v>
      </c>
      <c r="C4" t="s">
        <v>37</v>
      </c>
      <c r="D4" t="s">
        <v>385</v>
      </c>
      <c r="E4" s="133">
        <v>45838</v>
      </c>
      <c r="F4" s="2">
        <v>0.92523148148148149</v>
      </c>
      <c r="G4">
        <v>22</v>
      </c>
      <c r="H4" s="133">
        <v>45838</v>
      </c>
      <c r="I4" s="2">
        <v>0.42523148148148149</v>
      </c>
      <c r="J4">
        <v>10</v>
      </c>
      <c r="R4" t="s">
        <v>30</v>
      </c>
      <c r="W4">
        <v>1</v>
      </c>
      <c r="X4" t="s">
        <v>30</v>
      </c>
      <c r="AC4" t="s">
        <v>399</v>
      </c>
      <c r="AE4" s="135"/>
      <c r="AW4" s="24" t="s">
        <v>268</v>
      </c>
      <c r="AX4" s="25"/>
      <c r="AY4" s="26"/>
      <c r="AZ4" s="27" t="s">
        <v>279</v>
      </c>
      <c r="BA4" s="28"/>
      <c r="BB4" s="29">
        <f>COUNTIF(X:X,"*astella*")</f>
        <v>0</v>
      </c>
      <c r="BC4" s="30">
        <f>BB4/SUM(BB4,BB7,BB17,BB20,BB25,BB28,BB30,BB31,BB32)</f>
        <v>0</v>
      </c>
      <c r="BD4" s="31">
        <f>BC4*AZ34/(AW33*AW34)</f>
        <v>0</v>
      </c>
      <c r="BE4" s="32">
        <f>BC4*AZ34/(AW33*AW34*AW35)</f>
        <v>0</v>
      </c>
      <c r="BF4" s="33">
        <f>_xlfn.MINIFS(I:I,X:X,"*astella*")</f>
        <v>0</v>
      </c>
      <c r="BG4" s="33">
        <f>_xlfn.MAXIFS(I:I,X:X,"*astella*")</f>
        <v>0</v>
      </c>
      <c r="BH4" s="34">
        <f>COUNTIF(X:X,"*stella sp F*")</f>
        <v>0</v>
      </c>
      <c r="BI4" s="35">
        <f>COUNTIF(X:X,"*stella sp S*")</f>
        <v>0</v>
      </c>
      <c r="BJ4" s="36" t="s">
        <v>271</v>
      </c>
      <c r="BK4" s="37"/>
      <c r="BL4" s="38"/>
      <c r="BU4" t="str">
        <v>D:\202507 Fladdermöss Varsvik\Autoboxar 3006-0607\Halmstad 4</v>
      </c>
      <c r="BV4">
        <v>0</v>
      </c>
    </row>
    <row r="5" spans="1:76" ht="14.5" x14ac:dyDescent="0.35">
      <c r="A5" t="s">
        <v>396</v>
      </c>
      <c r="C5" t="s">
        <v>29</v>
      </c>
      <c r="D5" t="s">
        <v>385</v>
      </c>
      <c r="E5" s="133">
        <v>45838</v>
      </c>
      <c r="F5" s="2">
        <v>0.92530092592592583</v>
      </c>
      <c r="G5">
        <v>22</v>
      </c>
      <c r="H5" s="133">
        <v>45838</v>
      </c>
      <c r="I5" s="2">
        <v>0.42530092592592594</v>
      </c>
      <c r="J5">
        <v>10</v>
      </c>
      <c r="R5" t="s">
        <v>30</v>
      </c>
      <c r="W5">
        <v>1</v>
      </c>
      <c r="X5" t="s">
        <v>30</v>
      </c>
      <c r="AC5" t="s">
        <v>400</v>
      </c>
      <c r="AE5" s="135"/>
      <c r="AW5" s="39" t="s">
        <v>280</v>
      </c>
      <c r="AX5" s="10" t="s">
        <v>281</v>
      </c>
      <c r="AY5" s="11" t="s">
        <v>282</v>
      </c>
      <c r="AZ5" s="12"/>
      <c r="BA5" s="13">
        <f>COUNTIF(X:X,"*ptesicus nils*")</f>
        <v>354</v>
      </c>
      <c r="BB5" s="14"/>
      <c r="BC5" s="15">
        <f>BA5/SUM(BB4,BB7,BB17,BB20,BB25,BB28,BB30,BB31,BB32)</f>
        <v>0.82325581395348835</v>
      </c>
      <c r="BD5" s="16">
        <f>BC5*AZ34/(AW33*AW34)</f>
        <v>118</v>
      </c>
      <c r="BE5" s="17">
        <f>BC5*AZ34/(AW33*AW34*AW35)</f>
        <v>14.75</v>
      </c>
      <c r="BF5" s="18">
        <f>_xlfn.MINIFS(I:I,X:X,"*ptesicus nil*")</f>
        <v>0.43571759259259263</v>
      </c>
      <c r="BG5" s="18">
        <f>_xlfn.MAXIFS(I:I,X:X,"*ptesicus nil*")</f>
        <v>0.6236342592592593</v>
      </c>
      <c r="BH5" s="19">
        <f>COUNTIF(X:X,"*sonii F*")</f>
        <v>66</v>
      </c>
      <c r="BI5" s="20">
        <f>COUNTIF(X:X,"*sonii S*")</f>
        <v>15</v>
      </c>
      <c r="BJ5" s="40" t="s">
        <v>283</v>
      </c>
      <c r="BK5" s="41" t="s">
        <v>284</v>
      </c>
      <c r="BL5" s="23" t="s">
        <v>272</v>
      </c>
      <c r="BM5" t="s">
        <v>273</v>
      </c>
      <c r="BP5" t="s">
        <v>285</v>
      </c>
      <c r="BQ5" t="s">
        <v>276</v>
      </c>
      <c r="BS5" t="s">
        <v>286</v>
      </c>
      <c r="BT5">
        <v>20.2</v>
      </c>
      <c r="BU5">
        <v>0</v>
      </c>
      <c r="BV5">
        <v>0</v>
      </c>
      <c r="BW5" t="s">
        <v>287</v>
      </c>
      <c r="BX5" t="s">
        <v>287</v>
      </c>
    </row>
    <row r="6" spans="1:76" ht="14.5" x14ac:dyDescent="0.35">
      <c r="A6" t="s">
        <v>396</v>
      </c>
      <c r="C6" t="s">
        <v>31</v>
      </c>
      <c r="D6" t="s">
        <v>385</v>
      </c>
      <c r="E6" s="133">
        <v>45838</v>
      </c>
      <c r="F6" s="2">
        <v>0.9253703703703704</v>
      </c>
      <c r="G6">
        <v>22</v>
      </c>
      <c r="H6" s="133">
        <v>45838</v>
      </c>
      <c r="I6" s="2">
        <v>0.4253703703703704</v>
      </c>
      <c r="J6">
        <v>10</v>
      </c>
      <c r="R6" t="s">
        <v>30</v>
      </c>
      <c r="W6">
        <v>1</v>
      </c>
      <c r="X6" t="s">
        <v>30</v>
      </c>
      <c r="AC6" t="s">
        <v>401</v>
      </c>
      <c r="AE6" s="135"/>
      <c r="AW6" s="42" t="s">
        <v>280</v>
      </c>
      <c r="AX6" s="43" t="s">
        <v>288</v>
      </c>
      <c r="AY6" s="44" t="s">
        <v>289</v>
      </c>
      <c r="AZ6" s="45"/>
      <c r="BA6" s="46">
        <f>COUNTIF(X:X,"*ptesicus sero*")</f>
        <v>0</v>
      </c>
      <c r="BB6" s="47"/>
      <c r="BC6" s="48">
        <f>BA6/SUM(BB4,BB7,BB17,BB20,BB25,BB28,BB30,BB31,BB32)</f>
        <v>0</v>
      </c>
      <c r="BD6" s="49">
        <f>BC6*AZ34/(AW33*AW34)</f>
        <v>0</v>
      </c>
      <c r="BE6" s="50">
        <f>BC6*AZ34/(AW33*AW34*AW35)</f>
        <v>0</v>
      </c>
      <c r="BF6" s="33">
        <f>_xlfn.MINIFS(I:I,X:X,"*ptesicus ser*")</f>
        <v>0</v>
      </c>
      <c r="BG6" s="33">
        <f>_xlfn.MAXIFS(I:I,X:X,"*ptesicus ser*")</f>
        <v>0</v>
      </c>
      <c r="BH6" s="51">
        <f>COUNTIF(X:X,"*tinus F*")</f>
        <v>0</v>
      </c>
      <c r="BI6" s="52">
        <f>COUNTIF(X:X,"*tinus S*")</f>
        <v>0</v>
      </c>
      <c r="BJ6" s="53" t="s">
        <v>283</v>
      </c>
      <c r="BK6" s="54" t="s">
        <v>290</v>
      </c>
      <c r="BL6" s="55" t="s">
        <v>291</v>
      </c>
      <c r="BM6" t="s">
        <v>292</v>
      </c>
      <c r="BP6" t="s">
        <v>285</v>
      </c>
      <c r="BQ6" t="s">
        <v>276</v>
      </c>
      <c r="BS6" t="s">
        <v>293</v>
      </c>
      <c r="BT6">
        <v>20.2</v>
      </c>
      <c r="BW6" t="s">
        <v>287</v>
      </c>
      <c r="BX6" t="s">
        <v>287</v>
      </c>
    </row>
    <row r="7" spans="1:76" ht="14.5" x14ac:dyDescent="0.35">
      <c r="A7" t="s">
        <v>396</v>
      </c>
      <c r="C7" t="s">
        <v>33</v>
      </c>
      <c r="D7" t="s">
        <v>385</v>
      </c>
      <c r="E7" s="133">
        <v>45838</v>
      </c>
      <c r="F7" s="2">
        <v>0.92546296296296304</v>
      </c>
      <c r="G7">
        <v>22</v>
      </c>
      <c r="H7" s="133">
        <v>45838</v>
      </c>
      <c r="I7" s="2">
        <v>0.42546296296296293</v>
      </c>
      <c r="J7">
        <v>10</v>
      </c>
      <c r="R7" t="s">
        <v>30</v>
      </c>
      <c r="W7">
        <v>1</v>
      </c>
      <c r="X7" t="s">
        <v>30</v>
      </c>
      <c r="AC7" t="s">
        <v>402</v>
      </c>
      <c r="AE7" s="135"/>
      <c r="AW7" s="56" t="s">
        <v>280</v>
      </c>
      <c r="AX7" s="25"/>
      <c r="AY7" s="26"/>
      <c r="AZ7" s="27" t="s">
        <v>294</v>
      </c>
      <c r="BA7" s="28"/>
      <c r="BB7" s="29">
        <f>COUNTIF(X:X,"*ptesicu*")</f>
        <v>354</v>
      </c>
      <c r="BC7" s="30">
        <f>BB7/SUM(BB4,BB7,BB17,BB20,BB25,BB28,BB30,BB31,BB32)</f>
        <v>0.82325581395348835</v>
      </c>
      <c r="BD7" s="31">
        <f>BC7*AZ34/(AW33*AW34)</f>
        <v>118</v>
      </c>
      <c r="BE7" s="32">
        <f>BC7*AZ34/(AW33*AW34*AW35)</f>
        <v>14.75</v>
      </c>
      <c r="BF7" s="33">
        <f>_xlfn.MINIFS(I:I,X:X,"*ptesic*")</f>
        <v>0.43571759259259263</v>
      </c>
      <c r="BG7" s="33">
        <f>_xlfn.MAXIFS(I:I,X:X,"*ptesic*")</f>
        <v>0.6236342592592593</v>
      </c>
      <c r="BH7" s="34">
        <f>COUNTIF(X:X,"*sicus sp F*")</f>
        <v>0</v>
      </c>
      <c r="BI7" s="35">
        <f>COUNTIF(X:X,"*sicus sp S*")</f>
        <v>0</v>
      </c>
      <c r="BJ7" s="58" t="s">
        <v>283</v>
      </c>
      <c r="BK7" s="59" t="s">
        <v>284</v>
      </c>
      <c r="BL7" s="60"/>
    </row>
    <row r="8" spans="1:76" ht="14.5" x14ac:dyDescent="0.35">
      <c r="A8" t="s">
        <v>396</v>
      </c>
      <c r="C8" t="s">
        <v>34</v>
      </c>
      <c r="D8" t="s">
        <v>385</v>
      </c>
      <c r="E8" s="133">
        <v>45838</v>
      </c>
      <c r="F8" s="2">
        <v>0.92553240740740739</v>
      </c>
      <c r="G8">
        <v>22</v>
      </c>
      <c r="H8" s="133">
        <v>45838</v>
      </c>
      <c r="I8" s="2">
        <v>0.42553240740740739</v>
      </c>
      <c r="J8">
        <v>10</v>
      </c>
      <c r="R8" t="s">
        <v>30</v>
      </c>
      <c r="W8">
        <v>1</v>
      </c>
      <c r="X8" t="s">
        <v>30</v>
      </c>
      <c r="AC8" t="s">
        <v>403</v>
      </c>
      <c r="AE8" s="135"/>
      <c r="AW8" s="9" t="s">
        <v>268</v>
      </c>
      <c r="AX8" s="10" t="s">
        <v>295</v>
      </c>
      <c r="AY8" s="11" t="s">
        <v>296</v>
      </c>
      <c r="AZ8" s="12"/>
      <c r="BA8" s="13">
        <f>COUNTIF(X:X,"*yotis alc*")</f>
        <v>0</v>
      </c>
      <c r="BB8" s="14"/>
      <c r="BC8" s="15">
        <f>BA8/SUM(BB4,BB7,BB17,BB20,BB25,BB28,BB30,BB31,BB32)</f>
        <v>0</v>
      </c>
      <c r="BD8" s="16">
        <f>BC8*AZ34/(AW33*AW34)</f>
        <v>0</v>
      </c>
      <c r="BE8" s="17">
        <f>BC8*AZ34/(AW33*AW34*AW35)</f>
        <v>0</v>
      </c>
      <c r="BF8" s="18">
        <f>_xlfn.MINIFS(I:I,X:X,"*Myotis alc*")</f>
        <v>0</v>
      </c>
      <c r="BG8" s="18">
        <f>_xlfn.MAXIFS(I:I,X:X,"*Myotis alc*")</f>
        <v>0</v>
      </c>
      <c r="BH8" s="19">
        <f>COUNTIF(X:X,"*thoe F*")</f>
        <v>0</v>
      </c>
      <c r="BI8" s="20">
        <f>COUNTIF(X:X,"*thoe S*")</f>
        <v>0</v>
      </c>
      <c r="BJ8" s="21" t="s">
        <v>271</v>
      </c>
      <c r="BK8" s="22"/>
      <c r="BL8" s="61" t="s">
        <v>297</v>
      </c>
      <c r="BM8" t="s">
        <v>298</v>
      </c>
      <c r="BP8" t="s">
        <v>285</v>
      </c>
      <c r="BS8" t="s">
        <v>299</v>
      </c>
      <c r="BT8">
        <v>20.6</v>
      </c>
      <c r="BW8" t="s">
        <v>278</v>
      </c>
      <c r="BX8" t="s">
        <v>300</v>
      </c>
    </row>
    <row r="9" spans="1:76" ht="14.5" x14ac:dyDescent="0.35">
      <c r="A9" t="s">
        <v>396</v>
      </c>
      <c r="C9" t="s">
        <v>36</v>
      </c>
      <c r="D9" t="s">
        <v>385</v>
      </c>
      <c r="E9" s="133">
        <v>45838</v>
      </c>
      <c r="F9" s="2">
        <v>0.92560185185185195</v>
      </c>
      <c r="G9">
        <v>22</v>
      </c>
      <c r="H9" s="133">
        <v>45838</v>
      </c>
      <c r="I9" s="2">
        <v>0.42560185185185184</v>
      </c>
      <c r="J9">
        <v>10</v>
      </c>
      <c r="R9" t="s">
        <v>30</v>
      </c>
      <c r="W9">
        <v>1</v>
      </c>
      <c r="X9" t="s">
        <v>30</v>
      </c>
      <c r="AC9" t="s">
        <v>404</v>
      </c>
      <c r="AE9" s="135"/>
      <c r="AW9" s="62" t="s">
        <v>268</v>
      </c>
      <c r="AX9" s="43" t="s">
        <v>301</v>
      </c>
      <c r="AY9" s="44" t="s">
        <v>302</v>
      </c>
      <c r="AZ9" s="45"/>
      <c r="BA9" s="46">
        <f>COUNTIF(X:X,"*yotis bec*")</f>
        <v>0</v>
      </c>
      <c r="BB9" s="47"/>
      <c r="BC9" s="48">
        <f>BA9/SUM(BB4,BB7,BB17,BB20,BB25,BB28,BB30,BB31,BB32)</f>
        <v>0</v>
      </c>
      <c r="BD9" s="49">
        <f>BC9*AZ34/(AW33*AW34)</f>
        <v>0</v>
      </c>
      <c r="BE9" s="50">
        <f>BC9*AZ34/(AW33*AW34*AW35)</f>
        <v>0</v>
      </c>
      <c r="BF9" s="33">
        <f>_xlfn.MINIFS(I:I,X:X,"*Myotis bec*")</f>
        <v>0</v>
      </c>
      <c r="BG9" s="33">
        <f>_xlfn.MAXIFS(I:I,X:X,"*Myotis bec*")</f>
        <v>0</v>
      </c>
      <c r="BH9" s="51">
        <f>COUNTIF(X:X,"*teinii F*")</f>
        <v>0</v>
      </c>
      <c r="BI9" s="52">
        <f>COUNTIF(X:X,"*teinii S*")</f>
        <v>0</v>
      </c>
      <c r="BJ9" s="63"/>
      <c r="BK9" s="64"/>
      <c r="BL9" s="61" t="s">
        <v>297</v>
      </c>
      <c r="BM9" t="s">
        <v>298</v>
      </c>
      <c r="BP9" t="s">
        <v>275</v>
      </c>
      <c r="BQ9" t="s">
        <v>276</v>
      </c>
      <c r="BR9" t="s">
        <v>303</v>
      </c>
      <c r="BS9" t="s">
        <v>304</v>
      </c>
      <c r="BT9">
        <v>20.6</v>
      </c>
      <c r="BW9" t="s">
        <v>278</v>
      </c>
      <c r="BX9" t="s">
        <v>278</v>
      </c>
    </row>
    <row r="10" spans="1:76" ht="14.5" x14ac:dyDescent="0.35">
      <c r="A10" t="s">
        <v>396</v>
      </c>
      <c r="C10" t="s">
        <v>39</v>
      </c>
      <c r="D10" t="s">
        <v>385</v>
      </c>
      <c r="E10" s="133">
        <v>45838</v>
      </c>
      <c r="F10" s="2">
        <v>0.92569444444444438</v>
      </c>
      <c r="G10">
        <v>22</v>
      </c>
      <c r="H10" s="133">
        <v>45838</v>
      </c>
      <c r="I10" s="2">
        <v>0.42569444444444443</v>
      </c>
      <c r="J10">
        <v>10</v>
      </c>
      <c r="R10" t="s">
        <v>30</v>
      </c>
      <c r="W10">
        <v>1</v>
      </c>
      <c r="X10" t="s">
        <v>30</v>
      </c>
      <c r="AC10" t="s">
        <v>405</v>
      </c>
      <c r="AE10" s="135"/>
      <c r="AW10" s="62" t="s">
        <v>268</v>
      </c>
      <c r="AX10" s="43" t="s">
        <v>305</v>
      </c>
      <c r="AY10" s="44" t="s">
        <v>306</v>
      </c>
      <c r="AZ10" s="45"/>
      <c r="BA10" s="46">
        <f>COUNTIF(X:X,"*yotis bra*")</f>
        <v>0</v>
      </c>
      <c r="BB10" s="47"/>
      <c r="BC10" s="48">
        <f>BA10/SUM(BB4,BB7,BB17,BB20,BB25,BB28,BB30,BB31,BB32)</f>
        <v>0</v>
      </c>
      <c r="BD10" s="49">
        <f>BC10*AZ34/(AW33*AW34)</f>
        <v>0</v>
      </c>
      <c r="BE10" s="50">
        <f>BC10*AZ34/(AW33*AW34*AW35)</f>
        <v>0</v>
      </c>
      <c r="BF10" s="33">
        <f>_xlfn.MINIFS(I:I,X:X,"Myotis brandtii")</f>
        <v>0</v>
      </c>
      <c r="BG10" s="33">
        <f>_xlfn.MAXIFS(I:I,X:X,"Myotis brandtii")</f>
        <v>0</v>
      </c>
      <c r="BH10" s="51">
        <f>COUNTIF(X:X,"* brandtii F*")</f>
        <v>0</v>
      </c>
      <c r="BI10" s="52">
        <f>COUNTIF(X:X,"* brandtii S*")</f>
        <v>0</v>
      </c>
      <c r="BJ10" s="63" t="s">
        <v>271</v>
      </c>
      <c r="BK10" s="64"/>
      <c r="BL10" s="38" t="s">
        <v>307</v>
      </c>
      <c r="BO10" t="s">
        <v>274</v>
      </c>
      <c r="BP10" t="s">
        <v>285</v>
      </c>
      <c r="BQ10" t="s">
        <v>276</v>
      </c>
      <c r="BS10" t="s">
        <v>308</v>
      </c>
      <c r="BT10">
        <v>20.05</v>
      </c>
      <c r="BW10" t="s">
        <v>278</v>
      </c>
      <c r="BX10" t="s">
        <v>278</v>
      </c>
    </row>
    <row r="11" spans="1:76" ht="14.5" x14ac:dyDescent="0.35">
      <c r="A11" t="s">
        <v>396</v>
      </c>
      <c r="C11" t="s">
        <v>38</v>
      </c>
      <c r="D11" t="s">
        <v>385</v>
      </c>
      <c r="E11" s="133">
        <v>45838</v>
      </c>
      <c r="F11" s="2">
        <v>0.92576388888888894</v>
      </c>
      <c r="G11">
        <v>22</v>
      </c>
      <c r="H11" s="133">
        <v>45838</v>
      </c>
      <c r="I11" s="2">
        <v>0.42576388888888889</v>
      </c>
      <c r="J11">
        <v>10</v>
      </c>
      <c r="R11" t="s">
        <v>30</v>
      </c>
      <c r="W11">
        <v>1</v>
      </c>
      <c r="X11" t="s">
        <v>30</v>
      </c>
      <c r="AC11" t="s">
        <v>406</v>
      </c>
      <c r="AE11" s="135"/>
      <c r="AW11" s="65" t="s">
        <v>309</v>
      </c>
      <c r="AX11" s="43" t="s">
        <v>310</v>
      </c>
      <c r="AY11" s="44" t="s">
        <v>311</v>
      </c>
      <c r="AZ11" s="45"/>
      <c r="BA11" s="46">
        <f>COUNTIF(X:X,"*yotis das*")</f>
        <v>0</v>
      </c>
      <c r="BB11" s="47"/>
      <c r="BC11" s="48">
        <f>BA11/SUM(BB4,BB7,BB17,BB20,BB25,BB28,BB30,BB31,BB32)</f>
        <v>0</v>
      </c>
      <c r="BD11" s="49">
        <f>BC11*AZ34/(AW33*AW34)</f>
        <v>0</v>
      </c>
      <c r="BE11" s="50">
        <f>BC11*AZ34/(AW33*AW34*AW35)</f>
        <v>0</v>
      </c>
      <c r="BF11" s="33">
        <f>_xlfn.MINIFS(I:I,X:X,"*Myotis das*")</f>
        <v>0</v>
      </c>
      <c r="BG11" s="33">
        <f>_xlfn.MAXIFS(I:I,X:X,"*Myotis das*")</f>
        <v>0</v>
      </c>
      <c r="BH11" s="51">
        <f>COUNTIF(X:X,"*cneme F*")</f>
        <v>0</v>
      </c>
      <c r="BI11" s="52">
        <f>COUNTIF(X:X,"*cneme S*")</f>
        <v>0</v>
      </c>
      <c r="BJ11" s="63" t="s">
        <v>271</v>
      </c>
      <c r="BK11" s="64"/>
      <c r="BL11" s="55" t="s">
        <v>272</v>
      </c>
      <c r="BM11" t="s">
        <v>273</v>
      </c>
      <c r="BP11" t="s">
        <v>275</v>
      </c>
      <c r="BQ11" t="s">
        <v>276</v>
      </c>
      <c r="BS11" t="s">
        <v>312</v>
      </c>
      <c r="BT11">
        <v>20.2</v>
      </c>
      <c r="BW11" t="s">
        <v>278</v>
      </c>
      <c r="BX11" t="s">
        <v>278</v>
      </c>
    </row>
    <row r="12" spans="1:76" ht="14.5" x14ac:dyDescent="0.35">
      <c r="A12" t="s">
        <v>396</v>
      </c>
      <c r="C12" t="s">
        <v>40</v>
      </c>
      <c r="D12" t="s">
        <v>385</v>
      </c>
      <c r="E12" s="133">
        <v>45838</v>
      </c>
      <c r="F12" s="2">
        <v>0.92583333333333329</v>
      </c>
      <c r="G12">
        <v>22</v>
      </c>
      <c r="H12" s="133">
        <v>45838</v>
      </c>
      <c r="I12" s="2">
        <v>0.42583333333333334</v>
      </c>
      <c r="J12">
        <v>10</v>
      </c>
      <c r="R12" t="s">
        <v>30</v>
      </c>
      <c r="W12">
        <v>1</v>
      </c>
      <c r="X12" t="s">
        <v>30</v>
      </c>
      <c r="AC12" t="s">
        <v>407</v>
      </c>
      <c r="AE12" s="135"/>
      <c r="AW12" s="65" t="s">
        <v>309</v>
      </c>
      <c r="AX12" s="43" t="s">
        <v>313</v>
      </c>
      <c r="AY12" s="44" t="s">
        <v>239</v>
      </c>
      <c r="AZ12" s="45"/>
      <c r="BA12" s="46">
        <f>COUNTIF(X:X,"*yotis dau*")</f>
        <v>2</v>
      </c>
      <c r="BB12" s="47"/>
      <c r="BC12" s="48">
        <f>BA12/SUM(BB4,BB7,BB17,BB20,BB25,BB28,BB30,BB31,BB32)</f>
        <v>4.6511627906976744E-3</v>
      </c>
      <c r="BD12" s="49">
        <f>BC12*AZ34/(AW33*AW34)</f>
        <v>0.66666666666666663</v>
      </c>
      <c r="BE12" s="50">
        <f>BC12*AZ34/(AW33*AW34*AW35)</f>
        <v>8.3333333333333329E-2</v>
      </c>
      <c r="BF12" s="33">
        <f>_xlfn.MINIFS(I:I,X:X,"*Myotis dau*")</f>
        <v>0.49763888888888891</v>
      </c>
      <c r="BG12" s="33">
        <f>_xlfn.MAXIFS(I:I,X:X,"*Myotis dau*")</f>
        <v>0.50326388888888884</v>
      </c>
      <c r="BH12" s="51">
        <f>COUNTIF(X:X,"*tonii F*")</f>
        <v>0</v>
      </c>
      <c r="BI12" s="52">
        <f>COUNTIF(X:X,"*tonii S*")</f>
        <v>0</v>
      </c>
      <c r="BJ12" s="63" t="s">
        <v>271</v>
      </c>
      <c r="BK12" s="64"/>
      <c r="BL12" s="38" t="s">
        <v>307</v>
      </c>
      <c r="BO12" t="s">
        <v>274</v>
      </c>
      <c r="BP12" t="s">
        <v>285</v>
      </c>
      <c r="BQ12" t="s">
        <v>276</v>
      </c>
      <c r="BS12" t="s">
        <v>308</v>
      </c>
      <c r="BT12">
        <v>20.05</v>
      </c>
      <c r="BW12" t="s">
        <v>278</v>
      </c>
      <c r="BX12" t="s">
        <v>278</v>
      </c>
    </row>
    <row r="13" spans="1:76" ht="14.5" x14ac:dyDescent="0.35">
      <c r="A13" t="s">
        <v>396</v>
      </c>
      <c r="C13" t="s">
        <v>41</v>
      </c>
      <c r="D13" t="s">
        <v>385</v>
      </c>
      <c r="E13" s="133">
        <v>45838</v>
      </c>
      <c r="F13" s="2">
        <v>0.92592592592592593</v>
      </c>
      <c r="G13">
        <v>22</v>
      </c>
      <c r="H13" s="133">
        <v>45838</v>
      </c>
      <c r="I13" s="2">
        <v>0.42592592592592587</v>
      </c>
      <c r="J13">
        <v>10</v>
      </c>
      <c r="R13" t="s">
        <v>30</v>
      </c>
      <c r="W13">
        <v>1</v>
      </c>
      <c r="X13" t="s">
        <v>30</v>
      </c>
      <c r="AC13" t="s">
        <v>408</v>
      </c>
      <c r="AE13" s="135"/>
      <c r="AW13" s="62" t="s">
        <v>268</v>
      </c>
      <c r="AX13" s="43" t="s">
        <v>314</v>
      </c>
      <c r="AY13" s="44" t="s">
        <v>315</v>
      </c>
      <c r="AZ13" s="45"/>
      <c r="BA13" s="46">
        <f>COUNTIF(X:X,"*yotis myo*")</f>
        <v>0</v>
      </c>
      <c r="BB13" s="47"/>
      <c r="BC13" s="48">
        <f>BA13/SUM(BB4,BB7,BB17,BB20,BB25,BB28,BB30,BB31,BB32)</f>
        <v>0</v>
      </c>
      <c r="BD13" s="49">
        <f>BC13*AZ34/(AW33*AW34)</f>
        <v>0</v>
      </c>
      <c r="BE13" s="50">
        <f>BC13*AZ34/(AW33*AW34*AW35)</f>
        <v>0</v>
      </c>
      <c r="BF13" s="33">
        <f>_xlfn.MINIFS(I:I,X:X,"*Myotis myo*")</f>
        <v>0</v>
      </c>
      <c r="BG13" s="33">
        <f>_xlfn.MAXIFS(I:I,X:X,"*Myotis myo*")</f>
        <v>0</v>
      </c>
      <c r="BH13" s="51">
        <f>COUNTIF(X:X,"*yotis myotis F*")</f>
        <v>0</v>
      </c>
      <c r="BI13" s="52">
        <f>COUNTIF(X:X,"*yotis myotis S*")</f>
        <v>0</v>
      </c>
      <c r="BJ13" s="63" t="s">
        <v>271</v>
      </c>
      <c r="BK13" s="64"/>
      <c r="BL13" s="61" t="s">
        <v>297</v>
      </c>
      <c r="BM13" t="s">
        <v>298</v>
      </c>
      <c r="BP13" t="s">
        <v>275</v>
      </c>
      <c r="BQ13" t="s">
        <v>276</v>
      </c>
      <c r="BS13" t="s">
        <v>316</v>
      </c>
      <c r="BT13">
        <v>20.6</v>
      </c>
      <c r="BW13" t="s">
        <v>278</v>
      </c>
      <c r="BX13" t="s">
        <v>287</v>
      </c>
    </row>
    <row r="14" spans="1:76" ht="14.5" x14ac:dyDescent="0.35">
      <c r="A14" t="s">
        <v>396</v>
      </c>
      <c r="C14" t="s">
        <v>44</v>
      </c>
      <c r="D14" t="s">
        <v>385</v>
      </c>
      <c r="E14" s="133">
        <v>45838</v>
      </c>
      <c r="F14" s="2">
        <v>0.92606481481481484</v>
      </c>
      <c r="G14">
        <v>22</v>
      </c>
      <c r="H14" s="133">
        <v>45838</v>
      </c>
      <c r="I14" s="2">
        <v>0.42606481481481479</v>
      </c>
      <c r="J14">
        <v>10</v>
      </c>
      <c r="R14" t="s">
        <v>30</v>
      </c>
      <c r="W14">
        <v>1</v>
      </c>
      <c r="X14" t="s">
        <v>30</v>
      </c>
      <c r="AC14" t="s">
        <v>409</v>
      </c>
      <c r="AE14" s="135"/>
      <c r="AW14" s="62" t="s">
        <v>268</v>
      </c>
      <c r="AX14" s="43" t="s">
        <v>317</v>
      </c>
      <c r="AY14" s="44" t="s">
        <v>318</v>
      </c>
      <c r="AZ14" s="45"/>
      <c r="BA14" s="46">
        <f>COUNTIF(X:X,"*yotis mystacinus")</f>
        <v>0</v>
      </c>
      <c r="BB14" s="47"/>
      <c r="BC14" s="48">
        <f>BA14/SUM(BB4,BB7,BB17,BB20,BB25,BB28,BB30,BB31,BB32)</f>
        <v>0</v>
      </c>
      <c r="BD14" s="49">
        <f>BC14*AZ34/(AW33*AW34)</f>
        <v>0</v>
      </c>
      <c r="BE14" s="50">
        <f>BC14*AZ34/(AW33*AW34*AW35)</f>
        <v>0</v>
      </c>
      <c r="BF14" s="33">
        <f>_xlfn.MINIFS(I:I,X:X,"Myotis mystacinus")</f>
        <v>0</v>
      </c>
      <c r="BG14" s="33">
        <f>_xlfn.MAXIFS(I:I,X:X,"Myotis mystacinus")</f>
        <v>0</v>
      </c>
      <c r="BH14" s="51">
        <f>COUNTIF(X:X,"* mystacinus F*")</f>
        <v>0</v>
      </c>
      <c r="BI14" s="52">
        <f>COUNTIF(X:X,"* mystacinus S*")</f>
        <v>0</v>
      </c>
      <c r="BJ14" s="63" t="s">
        <v>271</v>
      </c>
      <c r="BK14" s="64"/>
      <c r="BL14" s="38" t="s">
        <v>307</v>
      </c>
      <c r="BO14" t="s">
        <v>274</v>
      </c>
      <c r="BP14" t="s">
        <v>285</v>
      </c>
      <c r="BQ14" t="s">
        <v>276</v>
      </c>
      <c r="BS14" t="s">
        <v>308</v>
      </c>
      <c r="BT14">
        <v>20.05</v>
      </c>
      <c r="BW14" t="s">
        <v>278</v>
      </c>
      <c r="BX14" t="s">
        <v>278</v>
      </c>
    </row>
    <row r="15" spans="1:76" ht="14.5" x14ac:dyDescent="0.35">
      <c r="A15" t="s">
        <v>396</v>
      </c>
      <c r="C15" t="s">
        <v>42</v>
      </c>
      <c r="D15" t="s">
        <v>385</v>
      </c>
      <c r="E15" s="133">
        <v>45838</v>
      </c>
      <c r="F15" s="2">
        <v>0.92625000000000002</v>
      </c>
      <c r="G15">
        <v>22</v>
      </c>
      <c r="H15" s="133">
        <v>45838</v>
      </c>
      <c r="I15" s="2">
        <v>0.42625000000000002</v>
      </c>
      <c r="J15">
        <v>10</v>
      </c>
      <c r="R15" t="s">
        <v>30</v>
      </c>
      <c r="W15">
        <v>1</v>
      </c>
      <c r="X15" t="s">
        <v>30</v>
      </c>
      <c r="AC15" t="s">
        <v>410</v>
      </c>
      <c r="AE15" s="135"/>
      <c r="AW15" s="62" t="s">
        <v>268</v>
      </c>
      <c r="AX15" s="43" t="s">
        <v>319</v>
      </c>
      <c r="AY15" s="44" t="s">
        <v>320</v>
      </c>
      <c r="AZ15" s="45"/>
      <c r="BA15" s="46">
        <f>COUNTIF(X:X,"*yotis nat*")</f>
        <v>0</v>
      </c>
      <c r="BB15" s="47"/>
      <c r="BC15" s="48">
        <f>BA15/SUM(BB4,BB7,BB17,BB20,BB25,BB28,BB30,BB31,BB32)</f>
        <v>0</v>
      </c>
      <c r="BD15" s="49">
        <f>BC15*AZ34/(AW33*AW34)</f>
        <v>0</v>
      </c>
      <c r="BE15" s="50">
        <f>BC15*AZ34/(AW33*AW34*AW35)</f>
        <v>0</v>
      </c>
      <c r="BF15" s="33">
        <f>_xlfn.MINIFS(I:I,X:X,"*Myotis nat*")</f>
        <v>0</v>
      </c>
      <c r="BG15" s="33">
        <f>_xlfn.MAXIFS(I:I,X:X,"*Myotis nat*")</f>
        <v>0</v>
      </c>
      <c r="BH15" s="51">
        <f>COUNTIF(X:X,"*ereri F*")</f>
        <v>0</v>
      </c>
      <c r="BI15" s="52">
        <f>COUNTIF(X:X,"*ereri S*")</f>
        <v>0</v>
      </c>
      <c r="BJ15" s="63" t="s">
        <v>271</v>
      </c>
      <c r="BK15" s="64"/>
      <c r="BL15" s="55" t="s">
        <v>291</v>
      </c>
      <c r="BM15" t="s">
        <v>292</v>
      </c>
      <c r="BO15" t="s">
        <v>274</v>
      </c>
      <c r="BP15" t="s">
        <v>285</v>
      </c>
      <c r="BQ15" t="s">
        <v>276</v>
      </c>
      <c r="BS15" t="s">
        <v>308</v>
      </c>
      <c r="BT15">
        <v>20.25</v>
      </c>
      <c r="BW15" t="s">
        <v>278</v>
      </c>
      <c r="BX15" t="s">
        <v>278</v>
      </c>
    </row>
    <row r="16" spans="1:76" ht="14.5" x14ac:dyDescent="0.35">
      <c r="A16" t="s">
        <v>396</v>
      </c>
      <c r="C16" t="s">
        <v>43</v>
      </c>
      <c r="D16" t="s">
        <v>385</v>
      </c>
      <c r="E16" s="133">
        <v>45838</v>
      </c>
      <c r="F16" s="2">
        <v>0.92631944444444436</v>
      </c>
      <c r="G16">
        <v>22</v>
      </c>
      <c r="H16" s="133">
        <v>45838</v>
      </c>
      <c r="I16" s="2">
        <v>0.42631944444444447</v>
      </c>
      <c r="J16">
        <v>10</v>
      </c>
      <c r="R16" t="s">
        <v>30</v>
      </c>
      <c r="W16">
        <v>1</v>
      </c>
      <c r="X16" t="s">
        <v>30</v>
      </c>
      <c r="AC16" t="s">
        <v>411</v>
      </c>
      <c r="AE16" s="135"/>
      <c r="AW16" s="66" t="s">
        <v>268</v>
      </c>
      <c r="AX16" s="67" t="s">
        <v>321</v>
      </c>
      <c r="AY16" s="44" t="s">
        <v>77</v>
      </c>
      <c r="BA16" s="46">
        <f>COUNTIF(X:X,"*yotis mystacinus/bra*")</f>
        <v>0</v>
      </c>
      <c r="BB16" s="47"/>
      <c r="BC16" s="48">
        <f>BA16/SUM(BB4,BB7,BB17,BB20,BB25,BB28,BB30,BB31,BB32)</f>
        <v>0</v>
      </c>
      <c r="BD16" s="49">
        <f>BC16*AZ34/(AW33*AW34)</f>
        <v>0</v>
      </c>
      <c r="BE16" s="50">
        <f>BC16*AZ34/(AW33*AW34*AW35)</f>
        <v>0</v>
      </c>
      <c r="BF16" s="33">
        <f>_xlfn.MINIFS(I:I,X:X,"*Myotis mystacinus/bra*")</f>
        <v>0</v>
      </c>
      <c r="BG16" s="33">
        <f>_xlfn.MAXIFS(I:I,X:X,"*Myotis mystacinus/bra*")</f>
        <v>0</v>
      </c>
      <c r="BH16" s="51">
        <f>COUNTIF(X:X,"*inus/brandtii F*")</f>
        <v>0</v>
      </c>
      <c r="BI16" s="52">
        <f>COUNTIF(X:X,"*/brandtii S*")</f>
        <v>0</v>
      </c>
      <c r="BJ16" s="63" t="s">
        <v>271</v>
      </c>
      <c r="BK16" s="64"/>
      <c r="BL16" s="38" t="s">
        <v>307</v>
      </c>
      <c r="BW16" t="s">
        <v>278</v>
      </c>
      <c r="BX16" t="s">
        <v>278</v>
      </c>
    </row>
    <row r="17" spans="1:76" ht="14.5" x14ac:dyDescent="0.35">
      <c r="A17" t="s">
        <v>396</v>
      </c>
      <c r="C17" t="s">
        <v>46</v>
      </c>
      <c r="D17" t="s">
        <v>385</v>
      </c>
      <c r="E17" s="133">
        <v>45838</v>
      </c>
      <c r="F17" s="2">
        <v>0.92638888888888893</v>
      </c>
      <c r="G17">
        <v>22</v>
      </c>
      <c r="H17" s="133">
        <v>45838</v>
      </c>
      <c r="I17" s="2">
        <v>0.42638888888888887</v>
      </c>
      <c r="J17">
        <v>10</v>
      </c>
      <c r="R17" t="s">
        <v>30</v>
      </c>
      <c r="W17">
        <v>1</v>
      </c>
      <c r="X17" t="s">
        <v>30</v>
      </c>
      <c r="AC17" t="s">
        <v>412</v>
      </c>
      <c r="AE17" s="135"/>
      <c r="AW17" s="24" t="s">
        <v>268</v>
      </c>
      <c r="AX17" s="25"/>
      <c r="AY17" s="26"/>
      <c r="AZ17" s="27" t="s">
        <v>322</v>
      </c>
      <c r="BA17" s="28"/>
      <c r="BB17" s="29">
        <f>COUNTIF(X:X,"Myoti*")</f>
        <v>2</v>
      </c>
      <c r="BC17" s="30">
        <f>BB17/SUM(BB4,BB7,BB17,BB20,BB25,BB28,BB30,BB31,BB32)</f>
        <v>4.6511627906976744E-3</v>
      </c>
      <c r="BD17" s="31">
        <f>BC17*AZ34/(AW33*AW34)</f>
        <v>0.66666666666666663</v>
      </c>
      <c r="BE17" s="32">
        <f>BC17*AZ34/(AW33*AW34*AW35)</f>
        <v>8.3333333333333329E-2</v>
      </c>
      <c r="BF17" s="33">
        <f>_xlfn.MINIFS(I:I,X:X,"*Myot*")</f>
        <v>0.49763888888888891</v>
      </c>
      <c r="BG17" s="33">
        <f>_xlfn.MAXIFS(I:I,X:X,"*Myot*")</f>
        <v>0.50326388888888884</v>
      </c>
      <c r="BH17" s="34">
        <f>COUNTIF(X:X,"*otis sp F*")</f>
        <v>0</v>
      </c>
      <c r="BI17" s="35">
        <f>COUNTIF(X:X,"*otis sp S*")</f>
        <v>0</v>
      </c>
      <c r="BJ17" s="36" t="s">
        <v>271</v>
      </c>
      <c r="BK17" s="37"/>
      <c r="BL17" s="68"/>
    </row>
    <row r="18" spans="1:76" ht="14.5" x14ac:dyDescent="0.35">
      <c r="A18" t="s">
        <v>396</v>
      </c>
      <c r="C18" t="s">
        <v>45</v>
      </c>
      <c r="D18" t="s">
        <v>385</v>
      </c>
      <c r="E18" s="133">
        <v>45838</v>
      </c>
      <c r="F18" s="2">
        <v>0.92648148148148157</v>
      </c>
      <c r="G18">
        <v>22</v>
      </c>
      <c r="H18" s="133">
        <v>45838</v>
      </c>
      <c r="I18" s="2">
        <v>0.42648148148148146</v>
      </c>
      <c r="J18">
        <v>10</v>
      </c>
      <c r="R18" t="s">
        <v>30</v>
      </c>
      <c r="W18">
        <v>1</v>
      </c>
      <c r="X18" t="s">
        <v>30</v>
      </c>
      <c r="AC18" t="s">
        <v>413</v>
      </c>
      <c r="AE18" s="135"/>
      <c r="AW18" s="69" t="s">
        <v>323</v>
      </c>
      <c r="AX18" s="10" t="s">
        <v>324</v>
      </c>
      <c r="AY18" s="11" t="s">
        <v>325</v>
      </c>
      <c r="AZ18" s="12"/>
      <c r="BA18" s="13">
        <f>COUNTIF(X:X,"*yctalus lei*")</f>
        <v>0</v>
      </c>
      <c r="BB18" s="14"/>
      <c r="BC18" s="15">
        <f>BA18/SUM(BB4,BB7,BB17,BB20,BB25,BB28,BB30,BB31,BB32)</f>
        <v>0</v>
      </c>
      <c r="BD18" s="16">
        <f>BC18*AZ34/(AW33*AW34)</f>
        <v>0</v>
      </c>
      <c r="BE18" s="17">
        <f>BC18*AZ34/(AW33*AW34*AW35)</f>
        <v>0</v>
      </c>
      <c r="BF18" s="18">
        <f>_xlfn.MINIFS(I:I,X:X,"*yctalus lei*")</f>
        <v>0</v>
      </c>
      <c r="BG18" s="18">
        <f>_xlfn.MAXIFS(I:I,X:X,"*yctalus lei*")</f>
        <v>0</v>
      </c>
      <c r="BH18" s="19">
        <f>COUNTIF(X:X,"*leri F*")</f>
        <v>0</v>
      </c>
      <c r="BI18" s="20">
        <f>COUNTIF(X:X,"*leri S*")</f>
        <v>0</v>
      </c>
      <c r="BJ18" s="40" t="s">
        <v>283</v>
      </c>
      <c r="BK18" s="41" t="s">
        <v>290</v>
      </c>
      <c r="BL18" s="70" t="s">
        <v>326</v>
      </c>
      <c r="BM18" t="s">
        <v>327</v>
      </c>
      <c r="BP18" t="s">
        <v>285</v>
      </c>
      <c r="BQ18" t="s">
        <v>276</v>
      </c>
      <c r="BS18" t="s">
        <v>328</v>
      </c>
      <c r="BT18">
        <v>20.399999999999999</v>
      </c>
      <c r="BW18" t="s">
        <v>287</v>
      </c>
      <c r="BX18" t="s">
        <v>287</v>
      </c>
    </row>
    <row r="19" spans="1:76" ht="14.5" x14ac:dyDescent="0.35">
      <c r="A19" t="s">
        <v>396</v>
      </c>
      <c r="C19" t="s">
        <v>48</v>
      </c>
      <c r="D19" t="s">
        <v>385</v>
      </c>
      <c r="E19" s="133">
        <v>45838</v>
      </c>
      <c r="F19" s="2">
        <v>0.92655092592592592</v>
      </c>
      <c r="G19">
        <v>22</v>
      </c>
      <c r="H19" s="133">
        <v>45838</v>
      </c>
      <c r="I19" s="2">
        <v>0.42655092592592592</v>
      </c>
      <c r="J19">
        <v>10</v>
      </c>
      <c r="R19" t="s">
        <v>30</v>
      </c>
      <c r="W19">
        <v>1</v>
      </c>
      <c r="X19" t="s">
        <v>30</v>
      </c>
      <c r="AC19" t="s">
        <v>414</v>
      </c>
      <c r="AE19" s="135"/>
      <c r="AW19" s="71" t="s">
        <v>323</v>
      </c>
      <c r="AX19" s="43" t="s">
        <v>329</v>
      </c>
      <c r="AY19" s="44" t="s">
        <v>52</v>
      </c>
      <c r="AZ19" s="45"/>
      <c r="BA19" s="46">
        <f>COUNTIF(X:X,"*yctalus noc*")</f>
        <v>0</v>
      </c>
      <c r="BB19" s="47"/>
      <c r="BC19" s="48">
        <f>BA19/SUM(BB4,BB7,BB17,BB20,BB25,BB28,BB30,BB31,BB32)</f>
        <v>0</v>
      </c>
      <c r="BD19" s="49">
        <f>BC19*AZ34/(AW33*AW34)</f>
        <v>0</v>
      </c>
      <c r="BE19" s="50">
        <f>BC19*AZ34/(AW33*AW34*AW35)</f>
        <v>0</v>
      </c>
      <c r="BF19" s="33">
        <f>_xlfn.MINIFS(I:I,X:X,"*yctalus noc*")</f>
        <v>0</v>
      </c>
      <c r="BG19" s="33">
        <f>_xlfn.MAXIFS(I:I,X:X,"*yctalus noc*")</f>
        <v>0</v>
      </c>
      <c r="BH19" s="51">
        <f>COUNTIF(X:X,"*ctula F*")</f>
        <v>0</v>
      </c>
      <c r="BI19" s="52">
        <f>COUNTIF(X:X,"*ctula S*")</f>
        <v>0</v>
      </c>
      <c r="BJ19" s="53" t="s">
        <v>283</v>
      </c>
      <c r="BK19" s="54" t="s">
        <v>284</v>
      </c>
      <c r="BL19" s="38" t="s">
        <v>307</v>
      </c>
      <c r="BP19" t="s">
        <v>285</v>
      </c>
      <c r="BQ19" t="s">
        <v>276</v>
      </c>
      <c r="BS19" t="s">
        <v>293</v>
      </c>
      <c r="BT19">
        <v>20</v>
      </c>
      <c r="BW19" t="s">
        <v>287</v>
      </c>
      <c r="BX19" t="s">
        <v>287</v>
      </c>
    </row>
    <row r="20" spans="1:76" ht="14.5" x14ac:dyDescent="0.35">
      <c r="A20" t="s">
        <v>396</v>
      </c>
      <c r="C20" t="s">
        <v>50</v>
      </c>
      <c r="D20" t="s">
        <v>385</v>
      </c>
      <c r="E20" s="133">
        <v>45838</v>
      </c>
      <c r="F20" s="2">
        <v>0.92662037037037026</v>
      </c>
      <c r="G20">
        <v>22</v>
      </c>
      <c r="H20" s="133">
        <v>45838</v>
      </c>
      <c r="I20" s="2">
        <v>0.42662037037037037</v>
      </c>
      <c r="J20">
        <v>10</v>
      </c>
      <c r="R20" t="s">
        <v>30</v>
      </c>
      <c r="W20">
        <v>1</v>
      </c>
      <c r="X20" t="s">
        <v>30</v>
      </c>
      <c r="AC20" t="s">
        <v>415</v>
      </c>
      <c r="AE20" s="135"/>
      <c r="AW20" s="72" t="s">
        <v>323</v>
      </c>
      <c r="AX20" s="25"/>
      <c r="AY20" s="26"/>
      <c r="AZ20" s="27" t="s">
        <v>330</v>
      </c>
      <c r="BA20" s="28"/>
      <c r="BB20" s="29">
        <f>COUNTIF(X:X,"*yctalu*")</f>
        <v>0</v>
      </c>
      <c r="BC20" s="30">
        <f>BB20/SUM(BB4,BB7,BB17,BB20,BB25,BB28,BB30,BB31,BB32)</f>
        <v>0</v>
      </c>
      <c r="BD20" s="31">
        <f>BC20*AZ34/(AW33*AW34)</f>
        <v>0</v>
      </c>
      <c r="BE20" s="32">
        <f>BC20*AZ34/(AW33*AW34*AW35)</f>
        <v>0</v>
      </c>
      <c r="BF20" s="33">
        <f>_xlfn.MINIFS(I:I,X:X,"*yctalu*")</f>
        <v>0</v>
      </c>
      <c r="BG20" s="33">
        <f>_xlfn.MAXIFS(I:I,X:X,"*yctalu*")</f>
        <v>0</v>
      </c>
      <c r="BH20" s="34">
        <f>COUNTIF(X:X,"*alus sp F*")</f>
        <v>0</v>
      </c>
      <c r="BI20" s="35">
        <f>COUNTIF(X:X,"*alus sp S*")</f>
        <v>0</v>
      </c>
      <c r="BJ20" s="58" t="s">
        <v>283</v>
      </c>
      <c r="BK20" s="59" t="s">
        <v>284</v>
      </c>
      <c r="BL20" s="68"/>
    </row>
    <row r="21" spans="1:76" ht="14.5" x14ac:dyDescent="0.35">
      <c r="A21" t="s">
        <v>396</v>
      </c>
      <c r="C21" t="s">
        <v>47</v>
      </c>
      <c r="D21" t="s">
        <v>385</v>
      </c>
      <c r="E21" s="133">
        <v>45838</v>
      </c>
      <c r="F21" s="2">
        <v>0.92671296296296291</v>
      </c>
      <c r="G21">
        <v>22</v>
      </c>
      <c r="H21" s="133">
        <v>45838</v>
      </c>
      <c r="I21" s="2">
        <v>0.42671296296296296</v>
      </c>
      <c r="J21">
        <v>10</v>
      </c>
      <c r="R21" t="s">
        <v>30</v>
      </c>
      <c r="W21">
        <v>1</v>
      </c>
      <c r="X21" t="s">
        <v>30</v>
      </c>
      <c r="AC21" t="s">
        <v>416</v>
      </c>
      <c r="AE21" s="135"/>
      <c r="AW21" s="39" t="s">
        <v>280</v>
      </c>
      <c r="AX21" s="10" t="s">
        <v>331</v>
      </c>
      <c r="AY21" s="11" t="s">
        <v>332</v>
      </c>
      <c r="AZ21" s="12"/>
      <c r="BA21" s="13">
        <f>COUNTIF(X:X,"*strellus kuh*")</f>
        <v>0</v>
      </c>
      <c r="BB21" s="14"/>
      <c r="BC21" s="15">
        <f>BA21/SUM(BB4,BB7,BB17,BB20,BB25,BB28,BB30,BB31,BB32)</f>
        <v>0</v>
      </c>
      <c r="BD21" s="16">
        <f>BC21*AZ34/(AW33*AW34)</f>
        <v>0</v>
      </c>
      <c r="BE21" s="17">
        <f>BC21*AZ34/(AW33*AW34*AW35)</f>
        <v>0</v>
      </c>
      <c r="BF21" s="18">
        <f>_xlfn.MINIFS(I:I,X:X,"*istrellus kuh*")</f>
        <v>0</v>
      </c>
      <c r="BG21" s="18">
        <f>_xlfn.MAXIFS(I:I,X:X,"*strellus kuh*")</f>
        <v>0</v>
      </c>
      <c r="BH21" s="19">
        <f>COUNTIF(X:X,"*hlii F*")</f>
        <v>0</v>
      </c>
      <c r="BI21" s="20">
        <f>COUNTIF(X:X,"*hlii S*")</f>
        <v>0</v>
      </c>
      <c r="BJ21" s="73" t="s">
        <v>333</v>
      </c>
      <c r="BK21" s="74" t="s">
        <v>290</v>
      </c>
      <c r="BL21" s="75"/>
      <c r="BM21" s="76"/>
      <c r="BW21" t="s">
        <v>334</v>
      </c>
      <c r="BX21" t="s">
        <v>334</v>
      </c>
    </row>
    <row r="22" spans="1:76" ht="14.5" x14ac:dyDescent="0.35">
      <c r="A22" t="s">
        <v>396</v>
      </c>
      <c r="C22" t="s">
        <v>54</v>
      </c>
      <c r="D22" t="s">
        <v>385</v>
      </c>
      <c r="E22" s="133">
        <v>45838</v>
      </c>
      <c r="F22" s="2">
        <v>0.92678240740740747</v>
      </c>
      <c r="G22">
        <v>22</v>
      </c>
      <c r="H22" s="133">
        <v>45838</v>
      </c>
      <c r="I22" s="2">
        <v>0.42678240740740742</v>
      </c>
      <c r="J22">
        <v>10</v>
      </c>
      <c r="R22" t="s">
        <v>30</v>
      </c>
      <c r="W22">
        <v>1</v>
      </c>
      <c r="X22" t="s">
        <v>30</v>
      </c>
      <c r="AC22" t="s">
        <v>417</v>
      </c>
      <c r="AE22" s="135"/>
      <c r="AW22" s="42" t="s">
        <v>280</v>
      </c>
      <c r="AX22" s="43" t="s">
        <v>335</v>
      </c>
      <c r="AY22" s="44" t="s">
        <v>336</v>
      </c>
      <c r="AZ22" s="45"/>
      <c r="BA22" s="46">
        <f>COUNTIF(X:X,"*strellus nat*")</f>
        <v>0</v>
      </c>
      <c r="BB22" s="47"/>
      <c r="BC22" s="48">
        <f>BA22/SUM(BB4,BB7,BB17,BB20,BB25,BB28,BB30,BB31,BB32)</f>
        <v>0</v>
      </c>
      <c r="BD22" s="49">
        <f>BC22*AZ34/(AW33*AW34)</f>
        <v>0</v>
      </c>
      <c r="BE22" s="50">
        <f>BC22*AZ34/(AW33*AW34*AW35)</f>
        <v>0</v>
      </c>
      <c r="BF22" s="33">
        <f>_xlfn.MINIFS(I:I,X:X,"*istrellus nat*")</f>
        <v>0</v>
      </c>
      <c r="BG22" s="33">
        <f>_xlfn.MAXIFS(I:I,X:X,"*strellus nat*")</f>
        <v>0</v>
      </c>
      <c r="BH22" s="51">
        <f>COUNTIF(X:X,"*husii F*")</f>
        <v>0</v>
      </c>
      <c r="BI22" s="52">
        <f>COUNTIF(X:X,"*husii S*")</f>
        <v>0</v>
      </c>
      <c r="BJ22" s="77" t="s">
        <v>333</v>
      </c>
      <c r="BK22" s="78" t="s">
        <v>283</v>
      </c>
      <c r="BL22" s="38" t="s">
        <v>307</v>
      </c>
      <c r="BP22" t="s">
        <v>285</v>
      </c>
      <c r="BQ22" t="s">
        <v>276</v>
      </c>
      <c r="BS22" t="s">
        <v>293</v>
      </c>
      <c r="BT22">
        <v>20</v>
      </c>
      <c r="BW22" t="s">
        <v>287</v>
      </c>
      <c r="BX22" t="s">
        <v>278</v>
      </c>
    </row>
    <row r="23" spans="1:76" ht="14.5" x14ac:dyDescent="0.35">
      <c r="A23" t="s">
        <v>396</v>
      </c>
      <c r="C23" t="s">
        <v>51</v>
      </c>
      <c r="D23" t="s">
        <v>385</v>
      </c>
      <c r="E23" s="133">
        <v>45838</v>
      </c>
      <c r="F23" s="2">
        <v>0.92685185185185182</v>
      </c>
      <c r="G23">
        <v>22</v>
      </c>
      <c r="H23" s="133">
        <v>45838</v>
      </c>
      <c r="I23" s="2">
        <v>0.42685185185185182</v>
      </c>
      <c r="J23">
        <v>10</v>
      </c>
      <c r="R23" t="s">
        <v>30</v>
      </c>
      <c r="W23">
        <v>1</v>
      </c>
      <c r="X23" t="s">
        <v>30</v>
      </c>
      <c r="AC23" t="s">
        <v>418</v>
      </c>
      <c r="AE23" s="135"/>
      <c r="AW23" s="42" t="s">
        <v>280</v>
      </c>
      <c r="AX23" s="43" t="s">
        <v>337</v>
      </c>
      <c r="AY23" s="44" t="s">
        <v>338</v>
      </c>
      <c r="AZ23" s="45"/>
      <c r="BA23" s="46">
        <f>COUNTIF(X:X,"*strellus pip*")</f>
        <v>0</v>
      </c>
      <c r="BB23" s="47"/>
      <c r="BC23" s="48">
        <f>BA23/SUM(BB4,BB7,BB17,BB20,BB25,BB28,BB30,BB31,BB32)</f>
        <v>0</v>
      </c>
      <c r="BD23" s="49">
        <f>BC23*AZ34/(AW33*AW34)</f>
        <v>0</v>
      </c>
      <c r="BE23" s="50">
        <f>BC23*AZ34/(AW33*AW34*AW35)</f>
        <v>0</v>
      </c>
      <c r="BF23" s="33">
        <f>_xlfn.MINIFS(I:I,X:X,"*istrellus pip*")</f>
        <v>0</v>
      </c>
      <c r="BG23" s="33">
        <f>_xlfn.MAXIFS(I:I,X:X,"*strellus pip*")</f>
        <v>0</v>
      </c>
      <c r="BH23" s="51">
        <f>COUNTIF(X:X,"*strellus pipistrellus F*")</f>
        <v>0</v>
      </c>
      <c r="BI23" s="52">
        <f>COUNTIF(X:X,"*strellus pipistrellus S*")</f>
        <v>0</v>
      </c>
      <c r="BJ23" s="53" t="s">
        <v>283</v>
      </c>
      <c r="BK23" s="78" t="s">
        <v>283</v>
      </c>
      <c r="BL23" s="70" t="s">
        <v>326</v>
      </c>
      <c r="BM23" t="s">
        <v>327</v>
      </c>
      <c r="BP23" t="s">
        <v>285</v>
      </c>
      <c r="BQ23" t="s">
        <v>276</v>
      </c>
      <c r="BS23" t="s">
        <v>328</v>
      </c>
      <c r="BT23">
        <v>20.399999999999999</v>
      </c>
      <c r="BW23" t="s">
        <v>278</v>
      </c>
      <c r="BX23" t="s">
        <v>278</v>
      </c>
    </row>
    <row r="24" spans="1:76" ht="14.5" x14ac:dyDescent="0.35">
      <c r="A24" t="s">
        <v>396</v>
      </c>
      <c r="C24" t="s">
        <v>49</v>
      </c>
      <c r="D24" t="s">
        <v>385</v>
      </c>
      <c r="E24" s="133">
        <v>45838</v>
      </c>
      <c r="F24" s="2">
        <v>0.92694444444444446</v>
      </c>
      <c r="G24">
        <v>22</v>
      </c>
      <c r="H24" s="133">
        <v>45838</v>
      </c>
      <c r="I24" s="2">
        <v>0.4269444444444444</v>
      </c>
      <c r="J24">
        <v>10</v>
      </c>
      <c r="R24" t="s">
        <v>30</v>
      </c>
      <c r="W24">
        <v>1</v>
      </c>
      <c r="X24" t="s">
        <v>30</v>
      </c>
      <c r="AC24" t="s">
        <v>419</v>
      </c>
      <c r="AE24" s="135"/>
      <c r="AW24" s="42" t="s">
        <v>280</v>
      </c>
      <c r="AX24" s="43" t="s">
        <v>339</v>
      </c>
      <c r="AY24" s="44" t="s">
        <v>240</v>
      </c>
      <c r="AZ24" s="45"/>
      <c r="BA24" s="46">
        <f>COUNTIF(X:X,"*strellus pyg*")</f>
        <v>0</v>
      </c>
      <c r="BB24" s="47"/>
      <c r="BC24" s="48">
        <f>BA24/SUM(BB4,BB7,BB17,BB20,BB25,BB28,BB30,BB31,BB32)</f>
        <v>0</v>
      </c>
      <c r="BD24" s="49">
        <f>BC24*AZ34/(AW33*AW34)</f>
        <v>0</v>
      </c>
      <c r="BE24" s="50">
        <f>BC24*AZ34/(AW33*AW34*AW35)</f>
        <v>0</v>
      </c>
      <c r="BF24" s="33">
        <f>_xlfn.MINIFS(I:I,X:X,"*istrellus pyg*")</f>
        <v>0</v>
      </c>
      <c r="BG24" s="33">
        <f>_xlfn.MAXIFS(I:I,X:X,"*strellus pyg*")</f>
        <v>0</v>
      </c>
      <c r="BH24" s="51">
        <f>COUNTIF(X:X,"*gmaeus F*")</f>
        <v>0</v>
      </c>
      <c r="BI24" s="52">
        <f>COUNTIF(X:X,"*gmaeus S*")</f>
        <v>0</v>
      </c>
      <c r="BJ24" s="77" t="s">
        <v>333</v>
      </c>
      <c r="BK24" s="78" t="s">
        <v>283</v>
      </c>
      <c r="BL24" s="38" t="s">
        <v>307</v>
      </c>
      <c r="BP24" t="s">
        <v>285</v>
      </c>
      <c r="BQ24" t="s">
        <v>276</v>
      </c>
      <c r="BS24" t="s">
        <v>293</v>
      </c>
      <c r="BT24">
        <v>20</v>
      </c>
      <c r="BW24" t="s">
        <v>278</v>
      </c>
      <c r="BX24" t="s">
        <v>278</v>
      </c>
    </row>
    <row r="25" spans="1:76" ht="14.5" x14ac:dyDescent="0.35">
      <c r="A25" t="s">
        <v>396</v>
      </c>
      <c r="C25" t="s">
        <v>56</v>
      </c>
      <c r="D25" t="s">
        <v>385</v>
      </c>
      <c r="E25" s="133">
        <v>45838</v>
      </c>
      <c r="F25" s="2">
        <v>0.92701388888888892</v>
      </c>
      <c r="G25">
        <v>22</v>
      </c>
      <c r="H25" s="133">
        <v>45838</v>
      </c>
      <c r="I25" s="2">
        <v>0.42701388888888886</v>
      </c>
      <c r="J25">
        <v>10</v>
      </c>
      <c r="R25" t="s">
        <v>30</v>
      </c>
      <c r="W25">
        <v>1</v>
      </c>
      <c r="X25" t="s">
        <v>30</v>
      </c>
      <c r="AC25" t="s">
        <v>420</v>
      </c>
      <c r="AE25" s="135"/>
      <c r="AW25" s="56" t="s">
        <v>280</v>
      </c>
      <c r="AX25" s="25"/>
      <c r="AY25" s="26"/>
      <c r="AZ25" s="27" t="s">
        <v>340</v>
      </c>
      <c r="BA25" s="28"/>
      <c r="BB25" s="29">
        <f>COUNTIF(X:X,"*istrellu*")</f>
        <v>0</v>
      </c>
      <c r="BC25" s="30">
        <f>BB25/SUM(BB4,BB7,BB17,BB20,BB25,BB28,BB30,BB31,BB32)</f>
        <v>0</v>
      </c>
      <c r="BD25" s="31">
        <f>BC25*AZ34/(AW33*AW34)</f>
        <v>0</v>
      </c>
      <c r="BE25" s="32">
        <f>BC25*AZ34/(AW33*AW34*AW35)</f>
        <v>0</v>
      </c>
      <c r="BF25" s="33">
        <f>_xlfn.MINIFS(I:I,X:X,"*istrellus*")</f>
        <v>0</v>
      </c>
      <c r="BG25" s="33">
        <f>_xlfn.MAXIFS(I:I,X:X,"*strellus*")</f>
        <v>0</v>
      </c>
      <c r="BH25" s="34">
        <f>COUNTIF(X:X,"*ellus sp F*")</f>
        <v>0</v>
      </c>
      <c r="BI25" s="35">
        <f>COUNTIF(X:X,"*ellus sp S*")</f>
        <v>0</v>
      </c>
      <c r="BJ25" s="79" t="s">
        <v>333</v>
      </c>
      <c r="BK25" s="80" t="s">
        <v>283</v>
      </c>
      <c r="BL25" s="68"/>
    </row>
    <row r="26" spans="1:76" ht="14.5" x14ac:dyDescent="0.35">
      <c r="A26" t="s">
        <v>396</v>
      </c>
      <c r="C26" t="s">
        <v>55</v>
      </c>
      <c r="D26" t="s">
        <v>385</v>
      </c>
      <c r="E26" s="133">
        <v>45838</v>
      </c>
      <c r="F26" s="2">
        <v>0.92710648148148145</v>
      </c>
      <c r="G26">
        <v>22</v>
      </c>
      <c r="H26" s="133">
        <v>45838</v>
      </c>
      <c r="I26" s="2">
        <v>0.4271064814814815</v>
      </c>
      <c r="J26">
        <v>10</v>
      </c>
      <c r="R26" t="s">
        <v>30</v>
      </c>
      <c r="W26">
        <v>1</v>
      </c>
      <c r="X26" t="s">
        <v>30</v>
      </c>
      <c r="AC26" t="s">
        <v>421</v>
      </c>
      <c r="AE26" s="135"/>
      <c r="AW26" s="9" t="s">
        <v>268</v>
      </c>
      <c r="AX26" s="10" t="s">
        <v>341</v>
      </c>
      <c r="AY26" s="11" t="s">
        <v>342</v>
      </c>
      <c r="AZ26" s="12"/>
      <c r="BA26" s="13">
        <f>COUNTIF(X:X,"*cotus aur*")</f>
        <v>2</v>
      </c>
      <c r="BB26" s="14"/>
      <c r="BC26" s="15">
        <f>BA26/SUM(BB4,BB7,BB17,BB20,BB25,BB28,BB30,BB31,BB32)</f>
        <v>4.6511627906976744E-3</v>
      </c>
      <c r="BD26" s="16">
        <f>BC26*AZ34/(AW33*AW34)</f>
        <v>0.66666666666666663</v>
      </c>
      <c r="BE26" s="17">
        <f>BC26*AZ34/(AW33*AW34*AW35)</f>
        <v>8.3333333333333329E-2</v>
      </c>
      <c r="BF26" s="18">
        <f>_xlfn.MINIFS(I:I,X:X,"*cotus aur*")</f>
        <v>0.54043981481481485</v>
      </c>
      <c r="BG26" s="18">
        <f>_xlfn.MAXIFS(I:I,X:X,"*cotus aur*")</f>
        <v>0.5567361111111111</v>
      </c>
      <c r="BH26" s="19">
        <f>COUNTIF(X:X,"*ritus F*")</f>
        <v>0</v>
      </c>
      <c r="BI26" s="20">
        <f>COUNTIF(X:X,"*ritus S*")</f>
        <v>2</v>
      </c>
      <c r="BJ26" s="81" t="s">
        <v>271</v>
      </c>
      <c r="BK26" s="22"/>
      <c r="BL26" s="23" t="s">
        <v>272</v>
      </c>
      <c r="BM26" t="s">
        <v>273</v>
      </c>
      <c r="BO26" t="s">
        <v>274</v>
      </c>
      <c r="BP26" t="s">
        <v>285</v>
      </c>
      <c r="BQ26" t="s">
        <v>276</v>
      </c>
      <c r="BS26" t="s">
        <v>343</v>
      </c>
      <c r="BT26">
        <v>20.25</v>
      </c>
      <c r="BW26" t="s">
        <v>278</v>
      </c>
      <c r="BX26" t="s">
        <v>278</v>
      </c>
    </row>
    <row r="27" spans="1:76" ht="14.5" x14ac:dyDescent="0.35">
      <c r="A27" t="s">
        <v>396</v>
      </c>
      <c r="C27" t="s">
        <v>53</v>
      </c>
      <c r="D27" t="s">
        <v>385</v>
      </c>
      <c r="E27" s="133">
        <v>45838</v>
      </c>
      <c r="F27" s="2">
        <v>0.9271759259259259</v>
      </c>
      <c r="G27">
        <v>22</v>
      </c>
      <c r="H27" s="133">
        <v>45838</v>
      </c>
      <c r="I27" s="2">
        <v>0.42717592592592596</v>
      </c>
      <c r="J27">
        <v>10</v>
      </c>
      <c r="R27" t="s">
        <v>30</v>
      </c>
      <c r="W27">
        <v>1</v>
      </c>
      <c r="X27" t="s">
        <v>30</v>
      </c>
      <c r="AC27" t="s">
        <v>422</v>
      </c>
      <c r="AE27" s="135"/>
      <c r="AW27" s="62" t="s">
        <v>268</v>
      </c>
      <c r="AX27" s="43" t="s">
        <v>344</v>
      </c>
      <c r="AY27" s="44" t="s">
        <v>345</v>
      </c>
      <c r="AZ27" s="45"/>
      <c r="BA27" s="46">
        <f>COUNTIF(X:X,"*cotus aust*")</f>
        <v>0</v>
      </c>
      <c r="BB27" s="47"/>
      <c r="BC27" s="48">
        <f>BA27/SUM(BB4,BB7,BB17,BB20,BB25,BB28,BB30,BB31,BB32)</f>
        <v>0</v>
      </c>
      <c r="BD27" s="49">
        <f>BC27*AZ34/(AW33*AW34)</f>
        <v>0</v>
      </c>
      <c r="BE27" s="50">
        <f>BC27*AZ34/(AW33*AW34*AW35)</f>
        <v>0</v>
      </c>
      <c r="BF27" s="33">
        <f>_xlfn.MINIFS(I:I,X:X,"*cotus aus*")</f>
        <v>0</v>
      </c>
      <c r="BG27" s="33">
        <f>_xlfn.MAXIFS(I:I,X:X,"*cotus aus*")</f>
        <v>0</v>
      </c>
      <c r="BH27" s="51">
        <f>COUNTIF(X:X,"*iacus F*")</f>
        <v>0</v>
      </c>
      <c r="BI27" s="52">
        <f>COUNTIF(X:X,"*iacus S*")</f>
        <v>0</v>
      </c>
      <c r="BJ27" s="82" t="s">
        <v>271</v>
      </c>
      <c r="BK27" s="64"/>
      <c r="BL27" s="83" t="s">
        <v>346</v>
      </c>
      <c r="BM27" t="s">
        <v>347</v>
      </c>
      <c r="BP27" t="s">
        <v>285</v>
      </c>
      <c r="BQ27" t="s">
        <v>276</v>
      </c>
      <c r="BS27" t="s">
        <v>348</v>
      </c>
      <c r="BT27">
        <v>20.8</v>
      </c>
      <c r="BW27" t="s">
        <v>278</v>
      </c>
      <c r="BX27" t="s">
        <v>300</v>
      </c>
    </row>
    <row r="28" spans="1:76" ht="14.5" x14ac:dyDescent="0.35">
      <c r="A28" t="s">
        <v>396</v>
      </c>
      <c r="C28" t="s">
        <v>57</v>
      </c>
      <c r="D28" t="s">
        <v>385</v>
      </c>
      <c r="E28" s="133">
        <v>45838</v>
      </c>
      <c r="F28" s="2">
        <v>0.92724537037037036</v>
      </c>
      <c r="G28">
        <v>22</v>
      </c>
      <c r="H28" s="133">
        <v>45838</v>
      </c>
      <c r="I28" s="2">
        <v>0.42724537037037041</v>
      </c>
      <c r="J28">
        <v>10</v>
      </c>
      <c r="R28" t="s">
        <v>30</v>
      </c>
      <c r="W28">
        <v>1</v>
      </c>
      <c r="X28" t="s">
        <v>30</v>
      </c>
      <c r="AC28" t="s">
        <v>423</v>
      </c>
      <c r="AE28" s="135"/>
      <c r="AW28" s="24" t="s">
        <v>268</v>
      </c>
      <c r="AX28" s="25"/>
      <c r="AY28" s="26"/>
      <c r="AZ28" s="27" t="s">
        <v>349</v>
      </c>
      <c r="BA28" s="28"/>
      <c r="BB28" s="29">
        <f>COUNTIF(X:X,"*lecotu*")</f>
        <v>2</v>
      </c>
      <c r="BC28" s="30">
        <f>BB28/SUM(BB4,BB7,BB17,BB20,BB25,BB28,BB30,BB31,BB32)</f>
        <v>4.6511627906976744E-3</v>
      </c>
      <c r="BD28" s="31">
        <f>BC28*AZ34/(AW33*AW34)</f>
        <v>0.66666666666666663</v>
      </c>
      <c r="BE28" s="32">
        <f>BC28*AZ34/(AW33*AW34*AW35)</f>
        <v>8.3333333333333329E-2</v>
      </c>
      <c r="BF28" s="33">
        <f>_xlfn.MINIFS(I:I,X:X,"*cotus*")</f>
        <v>0.54043981481481485</v>
      </c>
      <c r="BG28" s="33">
        <f>_xlfn.MAXIFS(I:I,X:X,"*cotus*")</f>
        <v>0.5567361111111111</v>
      </c>
      <c r="BH28" s="34">
        <f>COUNTIF(X:X,"*ecotus sp F*")</f>
        <v>0</v>
      </c>
      <c r="BI28" s="35">
        <f>COUNTIF(X:X,"*ecotus sp S*")</f>
        <v>0</v>
      </c>
      <c r="BJ28" s="84" t="s">
        <v>271</v>
      </c>
      <c r="BK28" s="37"/>
      <c r="BL28" s="68"/>
    </row>
    <row r="29" spans="1:76" ht="14.5" x14ac:dyDescent="0.35">
      <c r="A29" t="s">
        <v>396</v>
      </c>
      <c r="C29" t="s">
        <v>60</v>
      </c>
      <c r="D29" t="s">
        <v>385</v>
      </c>
      <c r="E29" s="133">
        <v>45838</v>
      </c>
      <c r="F29" s="2">
        <v>0.92733796296296289</v>
      </c>
      <c r="G29">
        <v>22</v>
      </c>
      <c r="H29" s="133">
        <v>45838</v>
      </c>
      <c r="I29" s="2">
        <v>0.42733796296296295</v>
      </c>
      <c r="J29">
        <v>10</v>
      </c>
      <c r="R29" t="s">
        <v>30</v>
      </c>
      <c r="W29">
        <v>1</v>
      </c>
      <c r="X29" t="s">
        <v>30</v>
      </c>
      <c r="AC29" t="s">
        <v>424</v>
      </c>
      <c r="AE29" s="135"/>
      <c r="AW29" s="69" t="s">
        <v>323</v>
      </c>
      <c r="AX29" s="10" t="s">
        <v>350</v>
      </c>
      <c r="AY29" s="11" t="s">
        <v>351</v>
      </c>
      <c r="AZ29" s="12"/>
      <c r="BA29" s="13">
        <f>COUNTIF(X:X,"*tilio mur*")</f>
        <v>0</v>
      </c>
      <c r="BB29" s="14"/>
      <c r="BC29" s="15">
        <f>BA29/SUM(BB4,BB7,BB17,BB20,BB25,BB28,BB30,BB31,BB32)</f>
        <v>0</v>
      </c>
      <c r="BD29" s="16">
        <f>BC29*AZ34/(AW33*AW34)</f>
        <v>0</v>
      </c>
      <c r="BE29" s="17">
        <f>BC29*AZ34/(AW33*AW34*AW35)</f>
        <v>0</v>
      </c>
      <c r="BF29" s="18">
        <f>_xlfn.MINIFS(I:I,X:X,"*tilio mur*")</f>
        <v>0</v>
      </c>
      <c r="BG29" s="18">
        <f>_xlfn.MAXIFS(I:I,X:X,"*tilio mur*")</f>
        <v>0</v>
      </c>
      <c r="BH29" s="19">
        <f>COUNTIF(X:X,"*rinus F*")</f>
        <v>0</v>
      </c>
      <c r="BI29" s="20">
        <f>COUNTIF(X:X,"*rinus S*")</f>
        <v>0</v>
      </c>
      <c r="BJ29" s="73" t="s">
        <v>333</v>
      </c>
      <c r="BK29" s="41" t="s">
        <v>284</v>
      </c>
      <c r="BL29" s="75" t="s">
        <v>307</v>
      </c>
      <c r="BP29" t="s">
        <v>285</v>
      </c>
      <c r="BQ29" t="s">
        <v>276</v>
      </c>
      <c r="BS29" t="s">
        <v>293</v>
      </c>
      <c r="BT29">
        <v>20</v>
      </c>
      <c r="BW29" t="s">
        <v>287</v>
      </c>
      <c r="BX29" t="s">
        <v>287</v>
      </c>
    </row>
    <row r="30" spans="1:76" ht="14.5" x14ac:dyDescent="0.35">
      <c r="A30" t="s">
        <v>396</v>
      </c>
      <c r="C30" t="s">
        <v>59</v>
      </c>
      <c r="D30" t="s">
        <v>385</v>
      </c>
      <c r="E30" s="133">
        <v>45838</v>
      </c>
      <c r="F30" s="2">
        <v>0.92740740740740746</v>
      </c>
      <c r="G30">
        <v>22</v>
      </c>
      <c r="H30" s="133">
        <v>45838</v>
      </c>
      <c r="I30" s="2">
        <v>0.4274074074074074</v>
      </c>
      <c r="J30">
        <v>10</v>
      </c>
      <c r="R30" t="s">
        <v>30</v>
      </c>
      <c r="W30">
        <v>1</v>
      </c>
      <c r="X30" t="s">
        <v>30</v>
      </c>
      <c r="AC30" t="s">
        <v>425</v>
      </c>
      <c r="AE30" s="135"/>
      <c r="AW30" s="71" t="s">
        <v>323</v>
      </c>
      <c r="AX30" s="43"/>
      <c r="AY30" s="44"/>
      <c r="AZ30" s="45" t="s">
        <v>352</v>
      </c>
      <c r="BA30" s="46"/>
      <c r="BB30" s="47">
        <f>COUNTIF(X:X,"*spertil*")</f>
        <v>0</v>
      </c>
      <c r="BC30" s="30">
        <f>BB30/SUM(BB4,BB7,BB17,BB20,BB25,BB28,BB30,BB31,BB32)</f>
        <v>0</v>
      </c>
      <c r="BD30" s="31">
        <f>BC30*AZ34/(AW33*AW34)</f>
        <v>0</v>
      </c>
      <c r="BE30" s="32">
        <f>BC30*AZ34/(AW33*AW34*AW35)</f>
        <v>0</v>
      </c>
      <c r="BF30" s="57">
        <f>_xlfn.MINIFS(I:I,X:X,"*tilio*")</f>
        <v>0</v>
      </c>
      <c r="BG30" s="57">
        <f>_xlfn.MAXIFS(I:I,X:X,"*tilio*")</f>
        <v>0</v>
      </c>
      <c r="BH30" s="34">
        <f>COUNTIF(X:X,"*tilio sp F*")</f>
        <v>0</v>
      </c>
      <c r="BI30" s="35">
        <f>COUNTIF(X:X,"*tilio sp S*")</f>
        <v>0</v>
      </c>
      <c r="BJ30" s="79" t="s">
        <v>333</v>
      </c>
      <c r="BK30" s="59" t="s">
        <v>284</v>
      </c>
      <c r="BL30" s="68"/>
    </row>
    <row r="31" spans="1:76" ht="14.5" x14ac:dyDescent="0.35">
      <c r="A31" t="s">
        <v>396</v>
      </c>
      <c r="C31" t="s">
        <v>58</v>
      </c>
      <c r="D31" t="s">
        <v>385</v>
      </c>
      <c r="E31" s="133">
        <v>45838</v>
      </c>
      <c r="F31" s="2">
        <v>0.9274768518518518</v>
      </c>
      <c r="G31">
        <v>22</v>
      </c>
      <c r="H31" s="133">
        <v>45838</v>
      </c>
      <c r="I31" s="2">
        <v>0.42747685185185186</v>
      </c>
      <c r="J31">
        <v>10</v>
      </c>
      <c r="R31" t="s">
        <v>30</v>
      </c>
      <c r="W31">
        <v>1</v>
      </c>
      <c r="X31" t="s">
        <v>30</v>
      </c>
      <c r="AC31" t="s">
        <v>426</v>
      </c>
      <c r="AE31" s="135"/>
      <c r="AW31" s="85" t="s">
        <v>323</v>
      </c>
      <c r="AX31" s="86" t="s">
        <v>353</v>
      </c>
      <c r="AY31" s="87" t="s">
        <v>354</v>
      </c>
      <c r="AZ31" s="88" t="s">
        <v>355</v>
      </c>
      <c r="BA31" s="89"/>
      <c r="BB31" s="89">
        <f>COUNTIF(X:X,"*taloi*")</f>
        <v>72</v>
      </c>
      <c r="BC31" s="90">
        <f>BB31/SUM(BB4,BB7,BB17,BB20,BB25,BB28,BB30,BB31,BB32)</f>
        <v>0.16744186046511628</v>
      </c>
      <c r="BD31" s="91">
        <f>BC31*AZ34/(AW33*AW34)</f>
        <v>24</v>
      </c>
      <c r="BE31" s="91">
        <f>BC31*AZ34/(AW33*AW34*AW35)</f>
        <v>3</v>
      </c>
      <c r="BF31" s="57">
        <f>_xlfn.MINIFS(I:I,X:X,"*yctalo*")</f>
        <v>0.43587962962962962</v>
      </c>
      <c r="BG31" s="57">
        <f>_xlfn.MAXIFS(I:I,X:X,"*yctalo*")</f>
        <v>0.58967592592592599</v>
      </c>
      <c r="BH31" s="92">
        <f>COUNTIF(X:X,"*aloid F*")</f>
        <v>3</v>
      </c>
      <c r="BI31" s="35">
        <f>COUNTIF(X:X,"*aloid S*")</f>
        <v>0</v>
      </c>
      <c r="BJ31" s="93" t="s">
        <v>356</v>
      </c>
      <c r="BK31" s="94" t="s">
        <v>284</v>
      </c>
      <c r="BL31" s="75"/>
      <c r="BW31" t="s">
        <v>334</v>
      </c>
      <c r="BX31" t="s">
        <v>334</v>
      </c>
    </row>
    <row r="32" spans="1:76" ht="14.5" x14ac:dyDescent="0.35">
      <c r="A32" t="s">
        <v>396</v>
      </c>
      <c r="C32" t="s">
        <v>63</v>
      </c>
      <c r="D32" t="s">
        <v>385</v>
      </c>
      <c r="E32" s="133">
        <v>45838</v>
      </c>
      <c r="F32" s="2">
        <v>0.92754629629629637</v>
      </c>
      <c r="G32">
        <v>22</v>
      </c>
      <c r="H32" s="133">
        <v>45838</v>
      </c>
      <c r="I32" s="2">
        <v>0.42754629629629631</v>
      </c>
      <c r="J32">
        <v>10</v>
      </c>
      <c r="R32" t="s">
        <v>30</v>
      </c>
      <c r="W32">
        <v>1</v>
      </c>
      <c r="X32" t="s">
        <v>30</v>
      </c>
      <c r="AC32" t="s">
        <v>427</v>
      </c>
      <c r="AE32" s="135"/>
      <c r="AW32" s="95" t="s">
        <v>356</v>
      </c>
      <c r="AX32" s="43" t="s">
        <v>357</v>
      </c>
      <c r="AY32" s="96"/>
      <c r="AZ32" s="45" t="s">
        <v>238</v>
      </c>
      <c r="BA32" s="46"/>
      <c r="BB32" s="46">
        <f>COUNTIF(X:X,"*optera*")</f>
        <v>0</v>
      </c>
      <c r="BC32" s="90">
        <f>BB32/SUM(BB4,BB7,BB17,BB20,BB25,BB28,BB30,BB31,BB32)</f>
        <v>0</v>
      </c>
      <c r="BD32" s="91">
        <f>BC32*AZ34/(AW33*AW34)</f>
        <v>0</v>
      </c>
      <c r="BE32" s="91">
        <f>BC32*AZ34/(AW33*AW34*AW35)</f>
        <v>0</v>
      </c>
      <c r="BF32" s="97">
        <f>_xlfn.MINIFS(I:I,X:X,"*iropt*")</f>
        <v>0</v>
      </c>
      <c r="BG32" s="97">
        <f>_xlfn.MAXIFS(I:I,X:X,"*iropt*")</f>
        <v>0</v>
      </c>
      <c r="BH32" s="98">
        <f>COUNTIF(X:X,"*ptera F*")</f>
        <v>0</v>
      </c>
      <c r="BI32" s="52">
        <f>COUNTIF(X:X,"*ptera S*")</f>
        <v>0</v>
      </c>
      <c r="BJ32" s="99" t="s">
        <v>356</v>
      </c>
      <c r="BK32" s="95" t="s">
        <v>356</v>
      </c>
      <c r="BL32" s="68"/>
    </row>
    <row r="33" spans="1:69" ht="14.5" x14ac:dyDescent="0.35">
      <c r="A33" t="s">
        <v>396</v>
      </c>
      <c r="C33" t="s">
        <v>62</v>
      </c>
      <c r="D33" t="s">
        <v>385</v>
      </c>
      <c r="E33" s="133">
        <v>45838</v>
      </c>
      <c r="F33" s="2">
        <v>0.92766203703703709</v>
      </c>
      <c r="G33">
        <v>22</v>
      </c>
      <c r="H33" s="133">
        <v>45838</v>
      </c>
      <c r="I33" s="2">
        <v>0.42766203703703703</v>
      </c>
      <c r="J33">
        <v>10</v>
      </c>
      <c r="R33" t="s">
        <v>30</v>
      </c>
      <c r="W33">
        <v>1</v>
      </c>
      <c r="X33" t="s">
        <v>30</v>
      </c>
      <c r="AC33" t="s">
        <v>428</v>
      </c>
      <c r="AE33" s="135"/>
      <c r="AW33" s="100">
        <v>1</v>
      </c>
      <c r="AX33" s="101" t="s">
        <v>358</v>
      </c>
      <c r="AY33" s="101" t="s">
        <v>359</v>
      </c>
      <c r="AZ33" s="101">
        <f>COUNTIF(W:W,"1")</f>
        <v>2857</v>
      </c>
      <c r="BA33" s="102"/>
      <c r="BB33" s="103"/>
      <c r="BC33" s="104"/>
      <c r="BD33" s="104"/>
      <c r="BE33" s="104"/>
      <c r="BF33" s="104"/>
      <c r="BG33" s="104"/>
      <c r="BH33" s="105"/>
      <c r="BI33" s="105"/>
      <c r="BJ33" s="106"/>
      <c r="BK33" s="107"/>
      <c r="BL33" s="107"/>
      <c r="BM33" s="108" t="s">
        <v>254</v>
      </c>
      <c r="BN33" s="108" t="s">
        <v>360</v>
      </c>
      <c r="BO33" s="108"/>
      <c r="BP33" s="108" t="s">
        <v>255</v>
      </c>
      <c r="BQ33" s="108" t="s">
        <v>361</v>
      </c>
    </row>
    <row r="34" spans="1:69" ht="14.5" x14ac:dyDescent="0.35">
      <c r="A34" t="s">
        <v>396</v>
      </c>
      <c r="C34" t="s">
        <v>61</v>
      </c>
      <c r="D34" t="s">
        <v>385</v>
      </c>
      <c r="E34" s="133">
        <v>45838</v>
      </c>
      <c r="F34" s="2">
        <v>0.93775462962962963</v>
      </c>
      <c r="G34">
        <v>22</v>
      </c>
      <c r="H34" s="133">
        <v>45838</v>
      </c>
      <c r="I34" s="2">
        <v>0.43775462962962958</v>
      </c>
      <c r="J34">
        <v>10</v>
      </c>
      <c r="R34" t="s">
        <v>30</v>
      </c>
      <c r="W34">
        <v>1</v>
      </c>
      <c r="X34" t="s">
        <v>30</v>
      </c>
      <c r="AC34" t="s">
        <v>429</v>
      </c>
      <c r="AE34" s="135"/>
      <c r="AW34" s="109">
        <v>3</v>
      </c>
      <c r="AX34" s="110" t="s">
        <v>362</v>
      </c>
      <c r="AY34" s="110" t="s">
        <v>363</v>
      </c>
      <c r="AZ34" s="110">
        <f>SUM(BB4,BB7,BB17,BB20,BB25,BB28,BB30,BB31,BB32)</f>
        <v>430</v>
      </c>
      <c r="BA34" s="111"/>
      <c r="BB34" s="112"/>
      <c r="BC34" s="112"/>
      <c r="BD34" s="113">
        <f>AZ34/(AW33*AW34)</f>
        <v>143.33333333333334</v>
      </c>
      <c r="BE34" s="113">
        <f>AZ34/(AW33*AW34*AW35)</f>
        <v>17.916666666666668</v>
      </c>
      <c r="BF34" s="112"/>
      <c r="BG34" s="112"/>
      <c r="BH34" s="112">
        <f>COUNTIF(X:X,"*FOD*")</f>
        <v>69</v>
      </c>
      <c r="BI34" s="112">
        <f>COUNTIF(X:X,"*SOC*")</f>
        <v>17</v>
      </c>
      <c r="BJ34" s="114"/>
      <c r="BK34" s="115"/>
      <c r="BL34" s="115"/>
      <c r="BM34" t="s">
        <v>364</v>
      </c>
      <c r="BN34">
        <f>SUM(BB4,BB17,BB28)</f>
        <v>4</v>
      </c>
      <c r="BP34" t="s">
        <v>365</v>
      </c>
      <c r="BQ34" s="116">
        <f>SUM(BB25)</f>
        <v>0</v>
      </c>
    </row>
    <row r="35" spans="1:69" ht="14.5" x14ac:dyDescent="0.35">
      <c r="A35" t="s">
        <v>396</v>
      </c>
      <c r="C35" t="s">
        <v>64</v>
      </c>
      <c r="D35" t="s">
        <v>385</v>
      </c>
      <c r="E35" s="133">
        <v>45838</v>
      </c>
      <c r="F35" s="2">
        <v>0.93988425925925922</v>
      </c>
      <c r="G35">
        <v>22</v>
      </c>
      <c r="H35" s="133">
        <v>45838</v>
      </c>
      <c r="I35" s="2">
        <v>0.43988425925925928</v>
      </c>
      <c r="J35">
        <v>10</v>
      </c>
      <c r="R35" t="s">
        <v>30</v>
      </c>
      <c r="W35">
        <v>1</v>
      </c>
      <c r="X35" t="s">
        <v>30</v>
      </c>
      <c r="AC35" t="s">
        <v>430</v>
      </c>
      <c r="AE35" s="135"/>
      <c r="AW35" s="109">
        <v>8</v>
      </c>
      <c r="AX35" s="110" t="s">
        <v>366</v>
      </c>
      <c r="AY35" s="117"/>
      <c r="AZ35" s="118"/>
      <c r="BA35" s="110"/>
      <c r="BB35" s="119"/>
      <c r="BC35" s="120"/>
      <c r="BD35" s="120" t="s">
        <v>367</v>
      </c>
      <c r="BE35" s="120" t="s">
        <v>368</v>
      </c>
      <c r="BF35" s="120"/>
      <c r="BG35" s="120"/>
      <c r="BH35" s="120" t="s">
        <v>369</v>
      </c>
      <c r="BI35" s="120" t="s">
        <v>370</v>
      </c>
      <c r="BJ35" s="114"/>
      <c r="BK35" s="115"/>
      <c r="BL35" s="115"/>
      <c r="BM35" t="s">
        <v>371</v>
      </c>
      <c r="BN35">
        <f>SUM(BA21:BA22,BA24,BB30)</f>
        <v>0</v>
      </c>
      <c r="BP35" t="s">
        <v>372</v>
      </c>
      <c r="BQ35" s="116">
        <f>SUM(BB7,BB20,BB30,BB31)</f>
        <v>426</v>
      </c>
    </row>
    <row r="36" spans="1:69" ht="14.5" x14ac:dyDescent="0.35">
      <c r="A36" t="s">
        <v>396</v>
      </c>
      <c r="C36" t="s">
        <v>65</v>
      </c>
      <c r="D36" t="s">
        <v>385</v>
      </c>
      <c r="E36" s="133">
        <v>45838</v>
      </c>
      <c r="F36" s="2">
        <v>0.9415972222222222</v>
      </c>
      <c r="G36">
        <v>22</v>
      </c>
      <c r="H36" s="133">
        <v>45838</v>
      </c>
      <c r="I36" s="2">
        <v>0.4415972222222222</v>
      </c>
      <c r="J36">
        <v>10</v>
      </c>
      <c r="R36" t="s">
        <v>30</v>
      </c>
      <c r="W36">
        <v>1</v>
      </c>
      <c r="X36" t="s">
        <v>30</v>
      </c>
      <c r="AC36" t="s">
        <v>431</v>
      </c>
      <c r="AE36" s="135"/>
      <c r="AW36" s="180" t="s">
        <v>373</v>
      </c>
      <c r="AX36" s="181"/>
      <c r="AY36" s="181"/>
      <c r="AZ36" s="181"/>
      <c r="BA36" s="181"/>
      <c r="BB36" s="181"/>
      <c r="BC36" s="181"/>
      <c r="BD36" s="181"/>
      <c r="BE36" s="181"/>
      <c r="BF36" s="181"/>
      <c r="BG36" s="181"/>
      <c r="BH36" s="181"/>
      <c r="BI36" s="181"/>
      <c r="BJ36" s="182"/>
      <c r="BK36" s="22"/>
      <c r="BL36" s="22"/>
      <c r="BM36" t="s">
        <v>374</v>
      </c>
      <c r="BN36">
        <f>SUM(BB7,BB20,BA23)</f>
        <v>354</v>
      </c>
      <c r="BP36" t="s">
        <v>375</v>
      </c>
      <c r="BQ36" s="116">
        <f>SUM(BB31:BB32,BB28,BB17,BB4)</f>
        <v>76</v>
      </c>
    </row>
    <row r="37" spans="1:69" ht="14.5" x14ac:dyDescent="0.35">
      <c r="A37" t="s">
        <v>396</v>
      </c>
      <c r="C37" t="s">
        <v>66</v>
      </c>
      <c r="D37" t="s">
        <v>385</v>
      </c>
      <c r="E37" s="133">
        <v>45838</v>
      </c>
      <c r="F37" s="2">
        <v>0.95277777777777783</v>
      </c>
      <c r="G37">
        <v>22</v>
      </c>
      <c r="H37" s="133">
        <v>45838</v>
      </c>
      <c r="I37" s="2">
        <v>0.45277777777777778</v>
      </c>
      <c r="J37">
        <v>10</v>
      </c>
      <c r="R37" t="s">
        <v>432</v>
      </c>
      <c r="S37">
        <v>10</v>
      </c>
      <c r="T37">
        <v>0</v>
      </c>
      <c r="U37">
        <v>0</v>
      </c>
      <c r="V37">
        <v>0</v>
      </c>
      <c r="W37">
        <v>1</v>
      </c>
      <c r="X37" t="s">
        <v>355</v>
      </c>
      <c r="AC37" t="s">
        <v>433</v>
      </c>
      <c r="AE37" s="135"/>
      <c r="AW37" s="183" t="s">
        <v>376</v>
      </c>
      <c r="AX37" s="184"/>
      <c r="AY37" s="184"/>
      <c r="AZ37" s="184"/>
      <c r="BA37" s="184"/>
      <c r="BB37" s="184"/>
      <c r="BC37" s="184"/>
      <c r="BD37" s="184"/>
      <c r="BE37" s="184"/>
      <c r="BF37" s="184"/>
      <c r="BG37" s="184"/>
      <c r="BH37" s="184"/>
      <c r="BI37" s="184"/>
      <c r="BJ37" s="185"/>
      <c r="BK37" s="64"/>
      <c r="BL37" s="64"/>
      <c r="BM37" t="s">
        <v>377</v>
      </c>
      <c r="BN37">
        <f>SUM(BB31:BB32)</f>
        <v>72</v>
      </c>
      <c r="BQ37" s="116"/>
    </row>
    <row r="38" spans="1:69" ht="14.5" x14ac:dyDescent="0.35">
      <c r="A38" t="s">
        <v>396</v>
      </c>
      <c r="C38" t="s">
        <v>67</v>
      </c>
      <c r="D38" t="s">
        <v>385</v>
      </c>
      <c r="E38" s="133">
        <v>45838</v>
      </c>
      <c r="F38" s="2">
        <v>0.95287037037037037</v>
      </c>
      <c r="G38">
        <v>22</v>
      </c>
      <c r="H38" s="133">
        <v>45838</v>
      </c>
      <c r="I38" s="2">
        <v>0.45287037037037042</v>
      </c>
      <c r="J38">
        <v>10</v>
      </c>
      <c r="K38" t="s">
        <v>434</v>
      </c>
      <c r="L38" t="s">
        <v>384</v>
      </c>
      <c r="R38" t="s">
        <v>390</v>
      </c>
      <c r="S38">
        <v>7</v>
      </c>
      <c r="T38">
        <v>5</v>
      </c>
      <c r="U38" t="s">
        <v>395</v>
      </c>
      <c r="V38" t="s">
        <v>435</v>
      </c>
      <c r="W38">
        <v>1</v>
      </c>
      <c r="X38" t="s">
        <v>282</v>
      </c>
      <c r="AC38" t="s">
        <v>436</v>
      </c>
      <c r="AE38" s="135"/>
      <c r="AW38" s="183" t="s">
        <v>378</v>
      </c>
      <c r="AX38" s="186"/>
      <c r="AY38" s="186"/>
      <c r="AZ38" s="186"/>
      <c r="BA38" s="186"/>
      <c r="BB38" s="186"/>
      <c r="BC38" s="186"/>
      <c r="BD38" s="186"/>
      <c r="BE38" s="186"/>
      <c r="BF38" s="186"/>
      <c r="BG38" s="186"/>
      <c r="BH38" s="186"/>
      <c r="BI38" s="186"/>
      <c r="BJ38" s="130"/>
      <c r="BK38" s="64"/>
      <c r="BL38" s="64"/>
      <c r="BQ38" s="116"/>
    </row>
    <row r="39" spans="1:69" ht="14.5" x14ac:dyDescent="0.35">
      <c r="A39" t="s">
        <v>396</v>
      </c>
      <c r="C39" t="s">
        <v>68</v>
      </c>
      <c r="D39" t="s">
        <v>385</v>
      </c>
      <c r="E39" s="133">
        <v>45838</v>
      </c>
      <c r="F39" s="2">
        <v>0.95300925925925928</v>
      </c>
      <c r="G39">
        <v>22</v>
      </c>
      <c r="H39" s="133">
        <v>45838</v>
      </c>
      <c r="I39" s="2">
        <v>0.45300925925925922</v>
      </c>
      <c r="J39">
        <v>10</v>
      </c>
      <c r="R39" t="s">
        <v>384</v>
      </c>
      <c r="S39">
        <v>3</v>
      </c>
      <c r="T39">
        <v>2</v>
      </c>
      <c r="U39" t="s">
        <v>393</v>
      </c>
      <c r="V39" t="s">
        <v>437</v>
      </c>
      <c r="W39">
        <v>1</v>
      </c>
      <c r="X39" t="s">
        <v>282</v>
      </c>
      <c r="AC39" t="s">
        <v>438</v>
      </c>
      <c r="AE39" s="135"/>
      <c r="AW39" s="183" t="s">
        <v>379</v>
      </c>
      <c r="AX39" s="184"/>
      <c r="AY39" s="184"/>
      <c r="AZ39" s="184"/>
      <c r="BA39" s="184"/>
      <c r="BB39" s="184"/>
      <c r="BC39" s="184"/>
      <c r="BD39" s="184"/>
      <c r="BE39" s="184"/>
      <c r="BF39" s="184"/>
      <c r="BG39" s="184"/>
      <c r="BH39" s="184"/>
      <c r="BI39" s="184"/>
      <c r="BJ39" s="185"/>
      <c r="BK39" s="64"/>
      <c r="BL39" s="64"/>
      <c r="BQ39" s="116"/>
    </row>
    <row r="40" spans="1:69" ht="14.5" x14ac:dyDescent="0.35">
      <c r="A40" t="s">
        <v>396</v>
      </c>
      <c r="C40" t="s">
        <v>72</v>
      </c>
      <c r="D40" t="s">
        <v>385</v>
      </c>
      <c r="E40" s="133">
        <v>45838</v>
      </c>
      <c r="F40" s="2">
        <v>0.95328703703703699</v>
      </c>
      <c r="G40">
        <v>22</v>
      </c>
      <c r="H40" s="133">
        <v>45838</v>
      </c>
      <c r="I40" s="2">
        <v>0.45328703703703704</v>
      </c>
      <c r="J40">
        <v>10</v>
      </c>
      <c r="R40" t="s">
        <v>432</v>
      </c>
      <c r="S40">
        <v>3</v>
      </c>
      <c r="T40">
        <v>0</v>
      </c>
      <c r="U40">
        <v>0</v>
      </c>
      <c r="V40">
        <v>0</v>
      </c>
      <c r="W40">
        <v>1</v>
      </c>
      <c r="X40" t="s">
        <v>355</v>
      </c>
      <c r="AC40" t="s">
        <v>439</v>
      </c>
      <c r="AE40" s="135"/>
      <c r="AW40" s="183" t="s">
        <v>380</v>
      </c>
      <c r="AX40" s="184"/>
      <c r="AY40" s="184"/>
      <c r="AZ40" s="184"/>
      <c r="BA40" s="184"/>
      <c r="BB40" s="184"/>
      <c r="BC40" s="184"/>
      <c r="BD40" s="184"/>
      <c r="BE40" s="184"/>
      <c r="BF40" s="184"/>
      <c r="BG40" s="184"/>
      <c r="BH40" s="184"/>
      <c r="BI40" s="184"/>
      <c r="BJ40" s="185"/>
      <c r="BK40" s="64"/>
      <c r="BL40" s="64"/>
      <c r="BM40" s="121"/>
      <c r="BN40" s="121"/>
      <c r="BO40" s="121"/>
      <c r="BP40" s="121"/>
      <c r="BQ40" s="122"/>
    </row>
    <row r="41" spans="1:69" ht="14.5" x14ac:dyDescent="0.35">
      <c r="A41" t="s">
        <v>396</v>
      </c>
      <c r="C41" t="s">
        <v>73</v>
      </c>
      <c r="D41" t="s">
        <v>385</v>
      </c>
      <c r="E41" s="133">
        <v>45838</v>
      </c>
      <c r="F41" s="2">
        <v>0.95365740740740745</v>
      </c>
      <c r="G41">
        <v>22</v>
      </c>
      <c r="H41" s="133">
        <v>45838</v>
      </c>
      <c r="I41" s="2">
        <v>0.4536574074074074</v>
      </c>
      <c r="J41">
        <v>10</v>
      </c>
      <c r="R41" t="s">
        <v>384</v>
      </c>
      <c r="S41">
        <v>15</v>
      </c>
      <c r="T41">
        <v>15</v>
      </c>
      <c r="U41">
        <v>1</v>
      </c>
      <c r="V41" t="s">
        <v>440</v>
      </c>
      <c r="W41">
        <v>1</v>
      </c>
      <c r="X41" t="s">
        <v>282</v>
      </c>
      <c r="AC41" t="s">
        <v>441</v>
      </c>
      <c r="AE41" s="135"/>
      <c r="AW41" s="123"/>
      <c r="AX41" s="124" t="str">
        <f>BU3</f>
        <v>INDIR</v>
      </c>
      <c r="AY41" s="124" t="str">
        <f>BU4</f>
        <v>D:\202507 Fladdermöss Varsvik\Autoboxar 3006-0607\Halmstad 4</v>
      </c>
      <c r="AZ41" s="124"/>
      <c r="BA41" s="125"/>
      <c r="BJ41" s="116"/>
      <c r="BK41" s="64"/>
      <c r="BL41" s="64"/>
    </row>
    <row r="42" spans="1:69" ht="14.5" x14ac:dyDescent="0.35">
      <c r="A42" t="s">
        <v>396</v>
      </c>
      <c r="C42" t="s">
        <v>69</v>
      </c>
      <c r="D42" t="s">
        <v>385</v>
      </c>
      <c r="E42" s="133">
        <v>45838</v>
      </c>
      <c r="F42" s="2">
        <v>0.95379629629629636</v>
      </c>
      <c r="G42">
        <v>22</v>
      </c>
      <c r="H42" s="133">
        <v>45838</v>
      </c>
      <c r="I42" s="2">
        <v>0.45379629629629631</v>
      </c>
      <c r="J42">
        <v>10</v>
      </c>
      <c r="K42" t="s">
        <v>384</v>
      </c>
      <c r="L42" t="s">
        <v>434</v>
      </c>
      <c r="R42" t="s">
        <v>390</v>
      </c>
      <c r="S42">
        <v>9</v>
      </c>
      <c r="T42">
        <v>6</v>
      </c>
      <c r="U42" t="s">
        <v>393</v>
      </c>
      <c r="V42" t="s">
        <v>442</v>
      </c>
      <c r="W42">
        <v>1</v>
      </c>
      <c r="X42" t="s">
        <v>282</v>
      </c>
      <c r="AC42" t="s">
        <v>443</v>
      </c>
      <c r="AE42" s="135"/>
      <c r="AW42" s="123"/>
      <c r="AX42" s="124" t="str">
        <f>BV3</f>
        <v>FOLDER</v>
      </c>
      <c r="AY42" s="124">
        <f>BV4</f>
        <v>0</v>
      </c>
      <c r="AZ42" s="124"/>
      <c r="BA42" s="125"/>
      <c r="BJ42" s="116"/>
      <c r="BK42" s="64"/>
      <c r="BL42" s="64"/>
    </row>
    <row r="43" spans="1:69" ht="14.5" x14ac:dyDescent="0.35">
      <c r="A43" t="s">
        <v>396</v>
      </c>
      <c r="C43" t="s">
        <v>70</v>
      </c>
      <c r="D43" t="s">
        <v>385</v>
      </c>
      <c r="E43" s="133">
        <v>45838</v>
      </c>
      <c r="F43" s="2">
        <v>0.95393518518518527</v>
      </c>
      <c r="G43">
        <v>22</v>
      </c>
      <c r="H43" s="133">
        <v>45838</v>
      </c>
      <c r="I43" s="2">
        <v>0.45393518518518516</v>
      </c>
      <c r="J43">
        <v>10</v>
      </c>
      <c r="R43" t="s">
        <v>432</v>
      </c>
      <c r="S43">
        <v>5</v>
      </c>
      <c r="T43">
        <v>0</v>
      </c>
      <c r="U43">
        <v>0</v>
      </c>
      <c r="V43">
        <v>0</v>
      </c>
      <c r="W43">
        <v>1</v>
      </c>
      <c r="X43" t="s">
        <v>282</v>
      </c>
      <c r="AC43" t="s">
        <v>444</v>
      </c>
      <c r="AE43" s="135"/>
      <c r="AW43" s="123"/>
      <c r="AX43" s="124"/>
      <c r="AY43" s="124">
        <f t="shared" ref="AY43:AY51" si="0">BV5</f>
        <v>0</v>
      </c>
      <c r="AZ43" s="124"/>
      <c r="BA43" s="125"/>
      <c r="BJ43" s="116"/>
      <c r="BK43" s="64"/>
      <c r="BL43" s="64"/>
    </row>
    <row r="44" spans="1:69" ht="14.5" x14ac:dyDescent="0.35">
      <c r="A44" t="s">
        <v>396</v>
      </c>
      <c r="C44" t="s">
        <v>71</v>
      </c>
      <c r="D44" t="s">
        <v>385</v>
      </c>
      <c r="E44" s="133">
        <v>45838</v>
      </c>
      <c r="F44" s="2">
        <v>0.95497685185185188</v>
      </c>
      <c r="G44">
        <v>22</v>
      </c>
      <c r="H44" s="133">
        <v>45838</v>
      </c>
      <c r="I44" s="2">
        <v>0.45497685185185183</v>
      </c>
      <c r="J44">
        <v>10</v>
      </c>
      <c r="R44" t="s">
        <v>30</v>
      </c>
      <c r="W44">
        <v>1</v>
      </c>
      <c r="X44" t="s">
        <v>30</v>
      </c>
      <c r="AC44" t="s">
        <v>445</v>
      </c>
      <c r="AE44" s="135"/>
      <c r="AW44" s="123"/>
      <c r="AX44" s="124"/>
      <c r="AY44" s="124">
        <f t="shared" si="0"/>
        <v>0</v>
      </c>
      <c r="AZ44" s="124"/>
      <c r="BA44" s="125"/>
      <c r="BJ44" s="116"/>
      <c r="BK44" s="64"/>
      <c r="BL44" s="64"/>
    </row>
    <row r="45" spans="1:69" ht="14.5" x14ac:dyDescent="0.35">
      <c r="A45" t="s">
        <v>396</v>
      </c>
      <c r="C45" t="s">
        <v>74</v>
      </c>
      <c r="D45" t="s">
        <v>385</v>
      </c>
      <c r="E45" s="133">
        <v>45838</v>
      </c>
      <c r="F45" s="2">
        <v>0.9611574074074074</v>
      </c>
      <c r="G45">
        <v>23</v>
      </c>
      <c r="H45" s="133">
        <v>45838</v>
      </c>
      <c r="I45" s="2">
        <v>0.4611574074074074</v>
      </c>
      <c r="J45">
        <v>11</v>
      </c>
      <c r="R45" t="s">
        <v>384</v>
      </c>
      <c r="S45">
        <v>3</v>
      </c>
      <c r="T45">
        <v>2</v>
      </c>
      <c r="U45" t="s">
        <v>393</v>
      </c>
      <c r="V45" t="s">
        <v>446</v>
      </c>
      <c r="W45">
        <v>1</v>
      </c>
      <c r="X45" t="s">
        <v>355</v>
      </c>
      <c r="AC45" t="s">
        <v>447</v>
      </c>
      <c r="AE45" s="135"/>
      <c r="AW45" s="123"/>
      <c r="AX45" s="124"/>
      <c r="AY45" s="124">
        <f t="shared" si="0"/>
        <v>0</v>
      </c>
      <c r="AZ45" s="124"/>
      <c r="BA45" s="125"/>
      <c r="BJ45" s="116"/>
      <c r="BK45" s="64"/>
      <c r="BL45" s="64"/>
    </row>
    <row r="46" spans="1:69" ht="14.5" x14ac:dyDescent="0.35">
      <c r="A46" t="s">
        <v>396</v>
      </c>
      <c r="C46" t="s">
        <v>76</v>
      </c>
      <c r="D46" t="s">
        <v>385</v>
      </c>
      <c r="E46" s="133">
        <v>45838</v>
      </c>
      <c r="F46" s="2">
        <v>0.96226851851851858</v>
      </c>
      <c r="G46">
        <v>23</v>
      </c>
      <c r="H46" s="133">
        <v>45838</v>
      </c>
      <c r="I46" s="2">
        <v>0.46226851851851852</v>
      </c>
      <c r="J46">
        <v>11</v>
      </c>
      <c r="R46" t="s">
        <v>30</v>
      </c>
      <c r="W46">
        <v>1</v>
      </c>
      <c r="X46" t="s">
        <v>30</v>
      </c>
      <c r="AC46" t="s">
        <v>448</v>
      </c>
      <c r="AE46" s="135"/>
      <c r="AW46" s="123"/>
      <c r="AX46" s="124"/>
      <c r="AY46" s="124">
        <f t="shared" si="0"/>
        <v>0</v>
      </c>
      <c r="AZ46" s="124"/>
      <c r="BA46" s="125"/>
      <c r="BJ46" s="116"/>
      <c r="BK46" s="64"/>
      <c r="BL46" s="64"/>
    </row>
    <row r="47" spans="1:69" ht="14.5" x14ac:dyDescent="0.35">
      <c r="A47" t="s">
        <v>396</v>
      </c>
      <c r="C47" t="s">
        <v>75</v>
      </c>
      <c r="D47" t="s">
        <v>385</v>
      </c>
      <c r="E47" s="133">
        <v>45838</v>
      </c>
      <c r="F47" s="2">
        <v>0.96247685185185183</v>
      </c>
      <c r="G47">
        <v>23</v>
      </c>
      <c r="H47" s="133">
        <v>45838</v>
      </c>
      <c r="I47" s="2">
        <v>0.46247685185185183</v>
      </c>
      <c r="J47">
        <v>11</v>
      </c>
      <c r="K47" t="s">
        <v>434</v>
      </c>
      <c r="R47" t="s">
        <v>384</v>
      </c>
      <c r="S47">
        <v>10</v>
      </c>
      <c r="T47">
        <v>5</v>
      </c>
      <c r="U47" t="s">
        <v>449</v>
      </c>
      <c r="V47" t="s">
        <v>450</v>
      </c>
      <c r="W47">
        <v>1</v>
      </c>
      <c r="X47" t="s">
        <v>282</v>
      </c>
      <c r="AC47" t="s">
        <v>451</v>
      </c>
      <c r="AE47" s="135"/>
      <c r="AW47" s="123"/>
      <c r="AX47" s="124"/>
      <c r="AY47" s="124">
        <f t="shared" si="0"/>
        <v>0</v>
      </c>
      <c r="AZ47" s="124"/>
      <c r="BA47" s="125"/>
      <c r="BJ47" s="116"/>
      <c r="BK47" s="64"/>
      <c r="BL47" s="64"/>
    </row>
    <row r="48" spans="1:69" ht="14.5" x14ac:dyDescent="0.35">
      <c r="A48" t="s">
        <v>396</v>
      </c>
      <c r="C48" t="s">
        <v>78</v>
      </c>
      <c r="D48" t="s">
        <v>385</v>
      </c>
      <c r="E48" s="133">
        <v>45838</v>
      </c>
      <c r="F48" s="2">
        <v>0.96261574074074074</v>
      </c>
      <c r="G48">
        <v>23</v>
      </c>
      <c r="H48" s="133">
        <v>45838</v>
      </c>
      <c r="I48" s="2">
        <v>0.46261574074074074</v>
      </c>
      <c r="J48">
        <v>11</v>
      </c>
      <c r="R48" t="s">
        <v>432</v>
      </c>
      <c r="S48">
        <v>12</v>
      </c>
      <c r="T48">
        <v>0</v>
      </c>
      <c r="U48">
        <v>0</v>
      </c>
      <c r="V48">
        <v>0</v>
      </c>
      <c r="W48">
        <v>1</v>
      </c>
      <c r="X48" t="s">
        <v>355</v>
      </c>
      <c r="AC48" t="s">
        <v>452</v>
      </c>
      <c r="AE48" s="135"/>
      <c r="AW48" s="123"/>
      <c r="AX48" s="124"/>
      <c r="AY48" s="124">
        <f t="shared" si="0"/>
        <v>0</v>
      </c>
      <c r="AZ48" s="124"/>
      <c r="BA48" s="125"/>
      <c r="BJ48" s="116"/>
      <c r="BK48" s="64"/>
      <c r="BL48" s="64"/>
    </row>
    <row r="49" spans="1:76" ht="14.5" x14ac:dyDescent="0.35">
      <c r="A49" t="s">
        <v>396</v>
      </c>
      <c r="C49" t="s">
        <v>80</v>
      </c>
      <c r="D49" t="s">
        <v>385</v>
      </c>
      <c r="E49" s="133">
        <v>45838</v>
      </c>
      <c r="F49" s="2">
        <v>0.96277777777777773</v>
      </c>
      <c r="G49">
        <v>23</v>
      </c>
      <c r="H49" s="133">
        <v>45838</v>
      </c>
      <c r="I49" s="2">
        <v>0.46277777777777779</v>
      </c>
      <c r="J49">
        <v>11</v>
      </c>
      <c r="K49" t="s">
        <v>434</v>
      </c>
      <c r="R49" t="s">
        <v>390</v>
      </c>
      <c r="S49">
        <v>4</v>
      </c>
      <c r="T49">
        <v>3</v>
      </c>
      <c r="U49" t="s">
        <v>453</v>
      </c>
      <c r="V49" t="s">
        <v>454</v>
      </c>
      <c r="W49">
        <v>1</v>
      </c>
      <c r="X49" t="s">
        <v>282</v>
      </c>
      <c r="AC49" t="s">
        <v>455</v>
      </c>
      <c r="AE49" s="135"/>
      <c r="AW49" s="123"/>
      <c r="AX49" s="124"/>
      <c r="AY49" s="124">
        <f t="shared" si="0"/>
        <v>0</v>
      </c>
      <c r="AZ49" s="124"/>
      <c r="BA49" s="125"/>
      <c r="BJ49" s="116"/>
      <c r="BK49" s="64"/>
      <c r="BL49" s="64"/>
    </row>
    <row r="50" spans="1:76" ht="14.5" x14ac:dyDescent="0.35">
      <c r="A50" t="s">
        <v>396</v>
      </c>
      <c r="C50" t="s">
        <v>79</v>
      </c>
      <c r="D50" t="s">
        <v>385</v>
      </c>
      <c r="E50" s="133">
        <v>45838</v>
      </c>
      <c r="F50" s="2">
        <v>0.96296296296296291</v>
      </c>
      <c r="G50">
        <v>23</v>
      </c>
      <c r="H50" s="133">
        <v>45838</v>
      </c>
      <c r="I50" s="2">
        <v>0.46296296296296297</v>
      </c>
      <c r="J50">
        <v>11</v>
      </c>
      <c r="K50" t="s">
        <v>434</v>
      </c>
      <c r="L50" t="s">
        <v>388</v>
      </c>
      <c r="R50" t="s">
        <v>390</v>
      </c>
      <c r="S50">
        <v>7</v>
      </c>
      <c r="T50">
        <v>7</v>
      </c>
      <c r="U50">
        <v>1</v>
      </c>
      <c r="V50" t="s">
        <v>456</v>
      </c>
      <c r="W50">
        <v>1</v>
      </c>
      <c r="X50" t="s">
        <v>355</v>
      </c>
      <c r="AC50" t="s">
        <v>457</v>
      </c>
      <c r="AE50" s="135"/>
      <c r="AW50" s="123"/>
      <c r="AX50" s="124"/>
      <c r="AY50" s="124">
        <f t="shared" si="0"/>
        <v>0</v>
      </c>
      <c r="AZ50" s="124"/>
      <c r="BA50" s="125"/>
      <c r="BJ50" s="116"/>
      <c r="BK50" s="64"/>
      <c r="BL50" s="64"/>
    </row>
    <row r="51" spans="1:76" ht="14.5" x14ac:dyDescent="0.35">
      <c r="A51" t="s">
        <v>396</v>
      </c>
      <c r="C51" t="s">
        <v>84</v>
      </c>
      <c r="D51" t="s">
        <v>385</v>
      </c>
      <c r="E51" s="133">
        <v>45838</v>
      </c>
      <c r="F51" s="2">
        <v>0.96305555555555555</v>
      </c>
      <c r="G51">
        <v>23</v>
      </c>
      <c r="H51" s="133">
        <v>45838</v>
      </c>
      <c r="I51" s="2">
        <v>0.46305555555555555</v>
      </c>
      <c r="J51">
        <v>11</v>
      </c>
      <c r="K51" t="s">
        <v>390</v>
      </c>
      <c r="L51" t="s">
        <v>434</v>
      </c>
      <c r="R51" t="s">
        <v>384</v>
      </c>
      <c r="S51">
        <v>11</v>
      </c>
      <c r="T51">
        <v>6</v>
      </c>
      <c r="U51" t="s">
        <v>458</v>
      </c>
      <c r="V51" t="s">
        <v>459</v>
      </c>
      <c r="W51">
        <v>1</v>
      </c>
      <c r="X51" t="s">
        <v>282</v>
      </c>
      <c r="AC51" t="s">
        <v>460</v>
      </c>
      <c r="AE51" s="135"/>
      <c r="AW51" s="123"/>
      <c r="AX51" s="124"/>
      <c r="AY51" s="124">
        <f t="shared" si="0"/>
        <v>0</v>
      </c>
      <c r="AZ51" s="124"/>
      <c r="BA51" s="125"/>
      <c r="BJ51" s="116"/>
      <c r="BK51" s="64"/>
      <c r="BL51" s="64"/>
    </row>
    <row r="52" spans="1:76" ht="14.5" x14ac:dyDescent="0.35">
      <c r="A52" t="s">
        <v>396</v>
      </c>
      <c r="C52" t="s">
        <v>86</v>
      </c>
      <c r="D52" t="s">
        <v>385</v>
      </c>
      <c r="E52" s="133">
        <v>45838</v>
      </c>
      <c r="F52" s="2">
        <v>0.96331018518518519</v>
      </c>
      <c r="G52">
        <v>23</v>
      </c>
      <c r="H52" s="133">
        <v>45838</v>
      </c>
      <c r="I52" s="2">
        <v>0.46331018518518513</v>
      </c>
      <c r="J52">
        <v>11</v>
      </c>
      <c r="R52" t="s">
        <v>432</v>
      </c>
      <c r="S52">
        <v>3</v>
      </c>
      <c r="T52">
        <v>0</v>
      </c>
      <c r="U52">
        <v>0</v>
      </c>
      <c r="V52">
        <v>0</v>
      </c>
      <c r="W52">
        <v>1</v>
      </c>
      <c r="X52" t="s">
        <v>355</v>
      </c>
      <c r="AC52" t="s">
        <v>461</v>
      </c>
      <c r="AE52" s="135"/>
      <c r="AW52" s="126"/>
      <c r="AX52" s="127" t="s">
        <v>381</v>
      </c>
      <c r="AY52" s="128">
        <f>_xlfn.MINIFS(E:E,M:M,"*D500X*")</f>
        <v>0</v>
      </c>
      <c r="AZ52" s="128">
        <f>_xlfn.MAXIFS(E:E,M:M,"*D500X*")</f>
        <v>0</v>
      </c>
      <c r="BA52" s="121"/>
      <c r="BB52" s="121"/>
      <c r="BC52" s="129"/>
      <c r="BD52" s="121"/>
      <c r="BE52" s="121"/>
      <c r="BF52" s="121"/>
      <c r="BG52" s="121"/>
      <c r="BH52" s="121"/>
      <c r="BI52" s="121"/>
      <c r="BJ52" s="122"/>
      <c r="BK52" s="37"/>
      <c r="BL52" s="37"/>
      <c r="BX52" t="s">
        <v>382</v>
      </c>
    </row>
    <row r="53" spans="1:76" ht="14.5" x14ac:dyDescent="0.35">
      <c r="A53" t="s">
        <v>396</v>
      </c>
      <c r="C53" t="s">
        <v>81</v>
      </c>
      <c r="D53" t="s">
        <v>385</v>
      </c>
      <c r="E53" s="133">
        <v>45838</v>
      </c>
      <c r="F53" s="2">
        <v>0.96363425925925927</v>
      </c>
      <c r="G53">
        <v>23</v>
      </c>
      <c r="H53" s="133">
        <v>45838</v>
      </c>
      <c r="I53" s="2">
        <v>0.46363425925925927</v>
      </c>
      <c r="J53">
        <v>11</v>
      </c>
      <c r="R53" t="s">
        <v>432</v>
      </c>
      <c r="S53">
        <v>8</v>
      </c>
      <c r="T53">
        <v>0</v>
      </c>
      <c r="U53">
        <v>0</v>
      </c>
      <c r="V53">
        <v>0</v>
      </c>
      <c r="W53">
        <v>1</v>
      </c>
      <c r="X53" t="s">
        <v>355</v>
      </c>
      <c r="AC53" t="s">
        <v>462</v>
      </c>
      <c r="AE53" s="135"/>
    </row>
    <row r="54" spans="1:76" ht="14.5" x14ac:dyDescent="0.35">
      <c r="A54" t="s">
        <v>396</v>
      </c>
      <c r="C54" t="s">
        <v>82</v>
      </c>
      <c r="D54" t="s">
        <v>385</v>
      </c>
      <c r="E54" s="133">
        <v>45838</v>
      </c>
      <c r="F54" s="2">
        <v>0.96377314814814818</v>
      </c>
      <c r="G54">
        <v>23</v>
      </c>
      <c r="H54" s="133">
        <v>45838</v>
      </c>
      <c r="I54" s="2">
        <v>0.46377314814814818</v>
      </c>
      <c r="J54">
        <v>11</v>
      </c>
      <c r="R54" t="s">
        <v>30</v>
      </c>
      <c r="W54">
        <v>1</v>
      </c>
      <c r="X54" t="s">
        <v>355</v>
      </c>
      <c r="AC54" t="s">
        <v>463</v>
      </c>
      <c r="AE54" s="135"/>
    </row>
    <row r="55" spans="1:76" ht="14.5" x14ac:dyDescent="0.35">
      <c r="A55" t="s">
        <v>396</v>
      </c>
      <c r="C55" t="s">
        <v>83</v>
      </c>
      <c r="D55" t="s">
        <v>385</v>
      </c>
      <c r="E55" s="133">
        <v>45838</v>
      </c>
      <c r="F55" s="2">
        <v>0.96421296296296299</v>
      </c>
      <c r="G55">
        <v>23</v>
      </c>
      <c r="H55" s="133">
        <v>45838</v>
      </c>
      <c r="I55" s="2">
        <v>0.46421296296296299</v>
      </c>
      <c r="J55">
        <v>11</v>
      </c>
      <c r="R55" t="s">
        <v>432</v>
      </c>
      <c r="S55">
        <v>6</v>
      </c>
      <c r="T55">
        <v>0</v>
      </c>
      <c r="U55">
        <v>0</v>
      </c>
      <c r="V55">
        <v>0</v>
      </c>
      <c r="W55">
        <v>1</v>
      </c>
      <c r="X55" t="s">
        <v>355</v>
      </c>
      <c r="AC55" t="s">
        <v>464</v>
      </c>
      <c r="AE55" s="135"/>
    </row>
    <row r="56" spans="1:76" ht="14.5" x14ac:dyDescent="0.35">
      <c r="A56" t="s">
        <v>396</v>
      </c>
      <c r="C56" t="s">
        <v>87</v>
      </c>
      <c r="D56" t="s">
        <v>385</v>
      </c>
      <c r="E56" s="133">
        <v>45838</v>
      </c>
      <c r="F56" s="2">
        <v>0.96469907407407407</v>
      </c>
      <c r="G56">
        <v>23</v>
      </c>
      <c r="H56" s="133">
        <v>45838</v>
      </c>
      <c r="I56" s="2">
        <v>0.46469907407407413</v>
      </c>
      <c r="J56">
        <v>11</v>
      </c>
      <c r="R56" t="s">
        <v>432</v>
      </c>
      <c r="S56">
        <v>4</v>
      </c>
      <c r="T56">
        <v>0</v>
      </c>
      <c r="U56">
        <v>0</v>
      </c>
      <c r="V56">
        <v>0</v>
      </c>
      <c r="W56">
        <v>1</v>
      </c>
      <c r="X56" t="s">
        <v>355</v>
      </c>
      <c r="AC56" t="s">
        <v>465</v>
      </c>
      <c r="AE56" s="135"/>
    </row>
    <row r="57" spans="1:76" ht="14.5" x14ac:dyDescent="0.35">
      <c r="A57" t="s">
        <v>396</v>
      </c>
      <c r="C57" t="s">
        <v>85</v>
      </c>
      <c r="D57" t="s">
        <v>385</v>
      </c>
      <c r="E57" s="133">
        <v>45838</v>
      </c>
      <c r="F57" s="2">
        <v>0.96476851851851853</v>
      </c>
      <c r="G57">
        <v>23</v>
      </c>
      <c r="H57" s="133">
        <v>45838</v>
      </c>
      <c r="I57" s="2">
        <v>0.46476851851851847</v>
      </c>
      <c r="J57">
        <v>11</v>
      </c>
      <c r="R57" t="s">
        <v>432</v>
      </c>
      <c r="S57">
        <v>6</v>
      </c>
      <c r="T57">
        <v>0</v>
      </c>
      <c r="U57">
        <v>0</v>
      </c>
      <c r="V57">
        <v>0</v>
      </c>
      <c r="W57">
        <v>1</v>
      </c>
      <c r="X57" t="s">
        <v>355</v>
      </c>
      <c r="AC57" t="s">
        <v>466</v>
      </c>
      <c r="AE57" s="135"/>
    </row>
    <row r="58" spans="1:76" ht="14.5" x14ac:dyDescent="0.35">
      <c r="A58" t="s">
        <v>396</v>
      </c>
      <c r="C58" t="s">
        <v>88</v>
      </c>
      <c r="D58" t="s">
        <v>385</v>
      </c>
      <c r="E58" s="133">
        <v>45838</v>
      </c>
      <c r="F58" s="2">
        <v>0.96537037037037043</v>
      </c>
      <c r="G58">
        <v>23</v>
      </c>
      <c r="H58" s="133">
        <v>45838</v>
      </c>
      <c r="I58" s="2">
        <v>0.46537037037037038</v>
      </c>
      <c r="J58">
        <v>11</v>
      </c>
      <c r="R58" t="s">
        <v>432</v>
      </c>
      <c r="S58">
        <v>13</v>
      </c>
      <c r="T58">
        <v>0</v>
      </c>
      <c r="U58">
        <v>0</v>
      </c>
      <c r="V58">
        <v>0</v>
      </c>
      <c r="W58">
        <v>1</v>
      </c>
      <c r="X58" t="s">
        <v>355</v>
      </c>
      <c r="AC58" t="s">
        <v>467</v>
      </c>
      <c r="AE58" s="135"/>
    </row>
    <row r="59" spans="1:76" ht="14.5" x14ac:dyDescent="0.35">
      <c r="A59" t="s">
        <v>396</v>
      </c>
      <c r="C59" t="s">
        <v>94</v>
      </c>
      <c r="D59" t="s">
        <v>385</v>
      </c>
      <c r="E59" s="133">
        <v>45838</v>
      </c>
      <c r="F59" s="2">
        <v>0.96585648148148151</v>
      </c>
      <c r="G59">
        <v>23</v>
      </c>
      <c r="H59" s="133">
        <v>45838</v>
      </c>
      <c r="I59" s="2">
        <v>0.46585648148148145</v>
      </c>
      <c r="J59">
        <v>11</v>
      </c>
      <c r="R59" t="s">
        <v>432</v>
      </c>
      <c r="S59">
        <v>5</v>
      </c>
      <c r="T59">
        <v>0</v>
      </c>
      <c r="U59">
        <v>0</v>
      </c>
      <c r="V59">
        <v>0</v>
      </c>
      <c r="W59">
        <v>1</v>
      </c>
      <c r="X59" t="s">
        <v>282</v>
      </c>
      <c r="AC59" t="s">
        <v>468</v>
      </c>
      <c r="AE59" s="135"/>
    </row>
    <row r="60" spans="1:76" ht="14.5" x14ac:dyDescent="0.35">
      <c r="A60" t="s">
        <v>396</v>
      </c>
      <c r="C60" t="s">
        <v>92</v>
      </c>
      <c r="D60" t="s">
        <v>385</v>
      </c>
      <c r="E60" s="133">
        <v>45838</v>
      </c>
      <c r="F60" s="2">
        <v>0.96643518518518512</v>
      </c>
      <c r="G60">
        <v>23</v>
      </c>
      <c r="H60" s="133">
        <v>45838</v>
      </c>
      <c r="I60" s="2">
        <v>0.46643518518518517</v>
      </c>
      <c r="J60">
        <v>11</v>
      </c>
      <c r="K60" t="s">
        <v>434</v>
      </c>
      <c r="R60" t="s">
        <v>390</v>
      </c>
      <c r="S60">
        <v>11</v>
      </c>
      <c r="T60">
        <v>7</v>
      </c>
      <c r="U60" t="s">
        <v>469</v>
      </c>
      <c r="V60" t="s">
        <v>470</v>
      </c>
      <c r="W60">
        <v>1</v>
      </c>
      <c r="X60" t="s">
        <v>355</v>
      </c>
      <c r="AC60" t="s">
        <v>471</v>
      </c>
      <c r="AE60" s="135"/>
    </row>
    <row r="61" spans="1:76" ht="14.5" x14ac:dyDescent="0.35">
      <c r="A61" t="s">
        <v>396</v>
      </c>
      <c r="C61" t="s">
        <v>89</v>
      </c>
      <c r="D61" t="s">
        <v>385</v>
      </c>
      <c r="E61" s="133">
        <v>45838</v>
      </c>
      <c r="F61" s="2">
        <v>0.96666666666666667</v>
      </c>
      <c r="G61">
        <v>23</v>
      </c>
      <c r="H61" s="133">
        <v>45838</v>
      </c>
      <c r="I61" s="2">
        <v>0.46666666666666662</v>
      </c>
      <c r="J61">
        <v>11</v>
      </c>
      <c r="R61" t="s">
        <v>432</v>
      </c>
      <c r="S61">
        <v>8</v>
      </c>
      <c r="T61">
        <v>0</v>
      </c>
      <c r="U61">
        <v>0</v>
      </c>
      <c r="V61">
        <v>0</v>
      </c>
      <c r="W61">
        <v>1</v>
      </c>
      <c r="X61" t="s">
        <v>355</v>
      </c>
      <c r="AC61" t="s">
        <v>472</v>
      </c>
      <c r="AE61" s="135"/>
    </row>
    <row r="62" spans="1:76" ht="14.5" x14ac:dyDescent="0.35">
      <c r="A62" t="s">
        <v>396</v>
      </c>
      <c r="C62" t="s">
        <v>93</v>
      </c>
      <c r="D62" t="s">
        <v>385</v>
      </c>
      <c r="E62" s="133">
        <v>45838</v>
      </c>
      <c r="F62" s="2">
        <v>0.96703703703703703</v>
      </c>
      <c r="G62">
        <v>23</v>
      </c>
      <c r="H62" s="133">
        <v>45838</v>
      </c>
      <c r="I62" s="2">
        <v>0.46703703703703708</v>
      </c>
      <c r="J62">
        <v>11</v>
      </c>
      <c r="R62" t="s">
        <v>432</v>
      </c>
      <c r="S62">
        <v>13</v>
      </c>
      <c r="T62">
        <v>0</v>
      </c>
      <c r="U62">
        <v>0</v>
      </c>
      <c r="V62">
        <v>0</v>
      </c>
      <c r="W62">
        <v>1</v>
      </c>
      <c r="X62" t="s">
        <v>355</v>
      </c>
      <c r="AC62" t="s">
        <v>473</v>
      </c>
      <c r="AE62" s="135"/>
    </row>
    <row r="63" spans="1:76" ht="14.5" x14ac:dyDescent="0.35">
      <c r="A63" t="s">
        <v>396</v>
      </c>
      <c r="C63" t="s">
        <v>90</v>
      </c>
      <c r="D63" t="s">
        <v>385</v>
      </c>
      <c r="E63" s="133">
        <v>45838</v>
      </c>
      <c r="F63" s="2">
        <v>0.96710648148148148</v>
      </c>
      <c r="G63">
        <v>23</v>
      </c>
      <c r="H63" s="133">
        <v>45838</v>
      </c>
      <c r="I63" s="2">
        <v>0.46710648148148143</v>
      </c>
      <c r="J63">
        <v>11</v>
      </c>
      <c r="R63" t="s">
        <v>30</v>
      </c>
      <c r="W63">
        <v>1</v>
      </c>
      <c r="X63" t="s">
        <v>355</v>
      </c>
      <c r="AC63" t="s">
        <v>474</v>
      </c>
      <c r="AE63" s="135"/>
    </row>
    <row r="64" spans="1:76" ht="14.5" x14ac:dyDescent="0.35">
      <c r="A64" t="s">
        <v>396</v>
      </c>
      <c r="C64" t="s">
        <v>95</v>
      </c>
      <c r="D64" t="s">
        <v>385</v>
      </c>
      <c r="E64" s="133">
        <v>45838</v>
      </c>
      <c r="F64" s="2">
        <v>0.96784722222222219</v>
      </c>
      <c r="G64">
        <v>23</v>
      </c>
      <c r="H64" s="133">
        <v>45838</v>
      </c>
      <c r="I64" s="2">
        <v>0.46784722222222225</v>
      </c>
      <c r="J64">
        <v>11</v>
      </c>
      <c r="R64" t="s">
        <v>432</v>
      </c>
      <c r="S64">
        <v>10</v>
      </c>
      <c r="T64">
        <v>0</v>
      </c>
      <c r="U64">
        <v>0</v>
      </c>
      <c r="V64">
        <v>0</v>
      </c>
      <c r="W64">
        <v>1</v>
      </c>
      <c r="X64" t="s">
        <v>355</v>
      </c>
      <c r="AC64" t="s">
        <v>475</v>
      </c>
      <c r="AE64" s="135"/>
    </row>
    <row r="65" spans="1:31" ht="14.5" x14ac:dyDescent="0.35">
      <c r="A65" t="s">
        <v>396</v>
      </c>
      <c r="C65" t="s">
        <v>96</v>
      </c>
      <c r="D65" t="s">
        <v>385</v>
      </c>
      <c r="E65" s="133">
        <v>45838</v>
      </c>
      <c r="F65" s="2">
        <v>0.96796296296296302</v>
      </c>
      <c r="G65">
        <v>23</v>
      </c>
      <c r="H65" s="133">
        <v>45838</v>
      </c>
      <c r="I65" s="2">
        <v>0.46796296296296297</v>
      </c>
      <c r="J65">
        <v>11</v>
      </c>
      <c r="K65" t="s">
        <v>434</v>
      </c>
      <c r="R65" t="s">
        <v>390</v>
      </c>
      <c r="S65">
        <v>12</v>
      </c>
      <c r="T65">
        <v>10</v>
      </c>
      <c r="U65" t="s">
        <v>476</v>
      </c>
      <c r="V65" t="s">
        <v>477</v>
      </c>
      <c r="W65">
        <v>1</v>
      </c>
      <c r="X65" t="s">
        <v>355</v>
      </c>
      <c r="AC65" t="s">
        <v>478</v>
      </c>
      <c r="AE65" s="135"/>
    </row>
    <row r="66" spans="1:31" ht="14.5" x14ac:dyDescent="0.35">
      <c r="A66" t="s">
        <v>396</v>
      </c>
      <c r="C66" t="s">
        <v>91</v>
      </c>
      <c r="D66" t="s">
        <v>385</v>
      </c>
      <c r="E66" s="133">
        <v>45838</v>
      </c>
      <c r="F66" s="2">
        <v>0.9681481481481482</v>
      </c>
      <c r="G66">
        <v>23</v>
      </c>
      <c r="H66" s="133">
        <v>45838</v>
      </c>
      <c r="I66" s="2">
        <v>0.46814814814814815</v>
      </c>
      <c r="J66">
        <v>11</v>
      </c>
      <c r="R66" t="s">
        <v>432</v>
      </c>
      <c r="S66">
        <v>4</v>
      </c>
      <c r="T66">
        <v>0</v>
      </c>
      <c r="U66">
        <v>0</v>
      </c>
      <c r="V66">
        <v>0</v>
      </c>
      <c r="W66">
        <v>1</v>
      </c>
      <c r="X66" t="s">
        <v>355</v>
      </c>
      <c r="AC66" t="s">
        <v>479</v>
      </c>
      <c r="AE66" s="135"/>
    </row>
    <row r="67" spans="1:31" ht="14.5" x14ac:dyDescent="0.35">
      <c r="A67" t="s">
        <v>396</v>
      </c>
      <c r="C67" t="s">
        <v>97</v>
      </c>
      <c r="D67" t="s">
        <v>385</v>
      </c>
      <c r="E67" s="133">
        <v>45838</v>
      </c>
      <c r="F67" s="2">
        <v>0.96824074074074085</v>
      </c>
      <c r="G67">
        <v>23</v>
      </c>
      <c r="H67" s="133">
        <v>45838</v>
      </c>
      <c r="I67" s="2">
        <v>0.46824074074074074</v>
      </c>
      <c r="J67">
        <v>11</v>
      </c>
      <c r="R67" t="s">
        <v>432</v>
      </c>
      <c r="S67">
        <v>8</v>
      </c>
      <c r="T67">
        <v>0</v>
      </c>
      <c r="U67">
        <v>0</v>
      </c>
      <c r="V67">
        <v>0</v>
      </c>
      <c r="W67">
        <v>1</v>
      </c>
      <c r="X67" t="s">
        <v>355</v>
      </c>
      <c r="AC67" t="s">
        <v>480</v>
      </c>
      <c r="AE67" s="135"/>
    </row>
    <row r="68" spans="1:31" ht="14.5" x14ac:dyDescent="0.35">
      <c r="A68" t="s">
        <v>396</v>
      </c>
      <c r="C68" t="s">
        <v>99</v>
      </c>
      <c r="D68" t="s">
        <v>385</v>
      </c>
      <c r="E68" s="133">
        <v>45838</v>
      </c>
      <c r="F68" s="2">
        <v>0.96895833333333325</v>
      </c>
      <c r="G68">
        <v>23</v>
      </c>
      <c r="H68" s="133">
        <v>45838</v>
      </c>
      <c r="I68" s="2">
        <v>0.46895833333333337</v>
      </c>
      <c r="J68">
        <v>11</v>
      </c>
      <c r="R68" t="s">
        <v>384</v>
      </c>
      <c r="S68">
        <v>13</v>
      </c>
      <c r="T68">
        <v>9</v>
      </c>
      <c r="U68" t="s">
        <v>481</v>
      </c>
      <c r="V68" t="s">
        <v>482</v>
      </c>
      <c r="W68">
        <v>1</v>
      </c>
      <c r="X68" t="s">
        <v>383</v>
      </c>
      <c r="AC68" t="s">
        <v>483</v>
      </c>
      <c r="AE68" s="135"/>
    </row>
    <row r="69" spans="1:31" ht="14.5" x14ac:dyDescent="0.35">
      <c r="A69" t="s">
        <v>396</v>
      </c>
      <c r="C69" t="s">
        <v>101</v>
      </c>
      <c r="D69" t="s">
        <v>385</v>
      </c>
      <c r="E69" s="133">
        <v>45838</v>
      </c>
      <c r="F69" s="2">
        <v>0.9690509259259259</v>
      </c>
      <c r="G69">
        <v>23</v>
      </c>
      <c r="H69" s="133">
        <v>45838</v>
      </c>
      <c r="I69" s="2">
        <v>0.4690509259259259</v>
      </c>
      <c r="J69">
        <v>11</v>
      </c>
      <c r="K69" t="s">
        <v>384</v>
      </c>
      <c r="L69" t="s">
        <v>434</v>
      </c>
      <c r="R69" t="s">
        <v>390</v>
      </c>
      <c r="S69">
        <v>14</v>
      </c>
      <c r="T69">
        <v>10</v>
      </c>
      <c r="U69" t="s">
        <v>395</v>
      </c>
      <c r="V69" t="s">
        <v>484</v>
      </c>
      <c r="W69">
        <v>1</v>
      </c>
      <c r="X69" t="s">
        <v>282</v>
      </c>
      <c r="AC69" t="s">
        <v>485</v>
      </c>
      <c r="AE69" s="135"/>
    </row>
    <row r="70" spans="1:31" ht="14.5" x14ac:dyDescent="0.35">
      <c r="A70" t="s">
        <v>396</v>
      </c>
      <c r="C70" t="s">
        <v>104</v>
      </c>
      <c r="D70" t="s">
        <v>385</v>
      </c>
      <c r="E70" s="133">
        <v>45838</v>
      </c>
      <c r="F70" s="2">
        <v>0.96969907407407396</v>
      </c>
      <c r="G70">
        <v>23</v>
      </c>
      <c r="H70" s="133">
        <v>45838</v>
      </c>
      <c r="I70" s="2">
        <v>0.46969907407407407</v>
      </c>
      <c r="J70">
        <v>11</v>
      </c>
      <c r="R70" t="s">
        <v>30</v>
      </c>
      <c r="W70">
        <v>1</v>
      </c>
      <c r="X70" t="s">
        <v>355</v>
      </c>
      <c r="AC70" t="s">
        <v>486</v>
      </c>
      <c r="AE70" s="135"/>
    </row>
    <row r="71" spans="1:31" ht="14.5" x14ac:dyDescent="0.35">
      <c r="A71" t="s">
        <v>396</v>
      </c>
      <c r="C71" t="s">
        <v>105</v>
      </c>
      <c r="D71" t="s">
        <v>385</v>
      </c>
      <c r="E71" s="133">
        <v>45838</v>
      </c>
      <c r="F71" s="2">
        <v>0.97027777777777768</v>
      </c>
      <c r="G71">
        <v>23</v>
      </c>
      <c r="H71" s="133">
        <v>45838</v>
      </c>
      <c r="I71" s="2">
        <v>0.47027777777777779</v>
      </c>
      <c r="J71">
        <v>11</v>
      </c>
      <c r="R71" t="s">
        <v>432</v>
      </c>
      <c r="S71">
        <v>9</v>
      </c>
      <c r="T71">
        <v>0</v>
      </c>
      <c r="U71">
        <v>0</v>
      </c>
      <c r="V71">
        <v>0</v>
      </c>
      <c r="W71">
        <v>1</v>
      </c>
      <c r="X71" t="s">
        <v>355</v>
      </c>
      <c r="AC71" t="s">
        <v>487</v>
      </c>
      <c r="AE71" s="135"/>
    </row>
    <row r="72" spans="1:31" ht="14.5" x14ac:dyDescent="0.35">
      <c r="A72" t="s">
        <v>396</v>
      </c>
      <c r="C72" t="s">
        <v>102</v>
      </c>
      <c r="D72" t="s">
        <v>385</v>
      </c>
      <c r="E72" s="133">
        <v>45838</v>
      </c>
      <c r="F72" s="2">
        <v>0.9705555555555555</v>
      </c>
      <c r="G72">
        <v>23</v>
      </c>
      <c r="H72" s="133">
        <v>45838</v>
      </c>
      <c r="I72" s="2">
        <v>0.47055555555555556</v>
      </c>
      <c r="J72">
        <v>11</v>
      </c>
      <c r="R72" t="s">
        <v>384</v>
      </c>
      <c r="S72">
        <v>9</v>
      </c>
      <c r="T72">
        <v>8</v>
      </c>
      <c r="U72" t="s">
        <v>389</v>
      </c>
      <c r="V72" t="s">
        <v>488</v>
      </c>
      <c r="W72">
        <v>1</v>
      </c>
      <c r="X72" t="s">
        <v>282</v>
      </c>
      <c r="AC72" t="s">
        <v>489</v>
      </c>
      <c r="AE72" s="135"/>
    </row>
    <row r="73" spans="1:31" ht="14.5" x14ac:dyDescent="0.35">
      <c r="A73" t="s">
        <v>396</v>
      </c>
      <c r="C73" t="s">
        <v>100</v>
      </c>
      <c r="D73" t="s">
        <v>385</v>
      </c>
      <c r="E73" s="133">
        <v>45838</v>
      </c>
      <c r="F73" s="2">
        <v>0.97069444444444442</v>
      </c>
      <c r="G73">
        <v>23</v>
      </c>
      <c r="H73" s="133">
        <v>45838</v>
      </c>
      <c r="I73" s="2">
        <v>0.47069444444444447</v>
      </c>
      <c r="J73">
        <v>11</v>
      </c>
      <c r="K73" t="s">
        <v>434</v>
      </c>
      <c r="L73" t="s">
        <v>388</v>
      </c>
      <c r="R73" t="s">
        <v>390</v>
      </c>
      <c r="S73">
        <v>7</v>
      </c>
      <c r="T73">
        <v>7</v>
      </c>
      <c r="U73">
        <v>1</v>
      </c>
      <c r="V73" t="s">
        <v>490</v>
      </c>
      <c r="W73">
        <v>1</v>
      </c>
      <c r="X73" t="s">
        <v>355</v>
      </c>
      <c r="AC73" t="s">
        <v>491</v>
      </c>
      <c r="AE73" s="135"/>
    </row>
    <row r="74" spans="1:31" ht="14.5" x14ac:dyDescent="0.35">
      <c r="A74" t="s">
        <v>396</v>
      </c>
      <c r="C74" t="s">
        <v>98</v>
      </c>
      <c r="D74" t="s">
        <v>385</v>
      </c>
      <c r="E74" s="133">
        <v>45838</v>
      </c>
      <c r="F74" s="2">
        <v>0.97081018518518514</v>
      </c>
      <c r="G74">
        <v>23</v>
      </c>
      <c r="H74" s="133">
        <v>45838</v>
      </c>
      <c r="I74" s="2">
        <v>0.47081018518518519</v>
      </c>
      <c r="J74">
        <v>11</v>
      </c>
      <c r="R74" t="s">
        <v>30</v>
      </c>
      <c r="W74">
        <v>1</v>
      </c>
      <c r="X74" t="s">
        <v>355</v>
      </c>
      <c r="AC74" t="s">
        <v>492</v>
      </c>
      <c r="AE74" s="135"/>
    </row>
    <row r="75" spans="1:31" ht="14.5" x14ac:dyDescent="0.35">
      <c r="A75" t="s">
        <v>396</v>
      </c>
      <c r="C75" t="s">
        <v>103</v>
      </c>
      <c r="D75" t="s">
        <v>385</v>
      </c>
      <c r="E75" s="133">
        <v>45838</v>
      </c>
      <c r="F75" s="2">
        <v>0.97150462962962969</v>
      </c>
      <c r="G75">
        <v>23</v>
      </c>
      <c r="H75" s="133">
        <v>45838</v>
      </c>
      <c r="I75" s="2">
        <v>0.47150462962962963</v>
      </c>
      <c r="J75">
        <v>11</v>
      </c>
      <c r="R75" t="s">
        <v>432</v>
      </c>
      <c r="S75">
        <v>3</v>
      </c>
      <c r="T75">
        <v>0</v>
      </c>
      <c r="U75">
        <v>0</v>
      </c>
      <c r="V75">
        <v>0</v>
      </c>
      <c r="W75">
        <v>1</v>
      </c>
      <c r="X75" t="s">
        <v>355</v>
      </c>
      <c r="AC75" t="s">
        <v>493</v>
      </c>
      <c r="AE75" s="135"/>
    </row>
    <row r="76" spans="1:31" ht="14.5" x14ac:dyDescent="0.35">
      <c r="A76" t="s">
        <v>396</v>
      </c>
      <c r="C76" t="s">
        <v>106</v>
      </c>
      <c r="D76" t="s">
        <v>385</v>
      </c>
      <c r="E76" s="133">
        <v>45838</v>
      </c>
      <c r="F76" s="2">
        <v>0.97233796296296304</v>
      </c>
      <c r="G76">
        <v>23</v>
      </c>
      <c r="H76" s="133">
        <v>45838</v>
      </c>
      <c r="I76" s="2">
        <v>0.47233796296296293</v>
      </c>
      <c r="J76">
        <v>11</v>
      </c>
      <c r="R76" t="s">
        <v>432</v>
      </c>
      <c r="S76">
        <v>9</v>
      </c>
      <c r="T76">
        <v>0</v>
      </c>
      <c r="U76">
        <v>0</v>
      </c>
      <c r="V76">
        <v>0</v>
      </c>
      <c r="W76">
        <v>1</v>
      </c>
      <c r="X76" t="s">
        <v>282</v>
      </c>
      <c r="AC76" t="s">
        <v>494</v>
      </c>
      <c r="AE76" s="135"/>
    </row>
    <row r="77" spans="1:31" ht="14.5" x14ac:dyDescent="0.35">
      <c r="A77" t="s">
        <v>396</v>
      </c>
      <c r="C77" t="s">
        <v>109</v>
      </c>
      <c r="D77" t="s">
        <v>385</v>
      </c>
      <c r="E77" s="133">
        <v>45838</v>
      </c>
      <c r="F77" s="2">
        <v>0.97280092592592593</v>
      </c>
      <c r="G77">
        <v>23</v>
      </c>
      <c r="H77" s="133">
        <v>45838</v>
      </c>
      <c r="I77" s="2">
        <v>0.47280092592592587</v>
      </c>
      <c r="J77">
        <v>11</v>
      </c>
      <c r="R77" t="s">
        <v>432</v>
      </c>
      <c r="S77">
        <v>3</v>
      </c>
      <c r="T77">
        <v>0</v>
      </c>
      <c r="U77">
        <v>0</v>
      </c>
      <c r="V77">
        <v>0</v>
      </c>
      <c r="W77">
        <v>1</v>
      </c>
      <c r="X77" t="s">
        <v>355</v>
      </c>
      <c r="AC77" t="s">
        <v>495</v>
      </c>
      <c r="AE77" s="135"/>
    </row>
    <row r="78" spans="1:31" ht="14.5" x14ac:dyDescent="0.35">
      <c r="A78" t="s">
        <v>396</v>
      </c>
      <c r="C78" t="s">
        <v>107</v>
      </c>
      <c r="D78" t="s">
        <v>385</v>
      </c>
      <c r="E78" s="133">
        <v>45838</v>
      </c>
      <c r="F78" s="2">
        <v>0.97298611111111111</v>
      </c>
      <c r="G78">
        <v>23</v>
      </c>
      <c r="H78" s="133">
        <v>45838</v>
      </c>
      <c r="I78" s="2">
        <v>0.47298611111111111</v>
      </c>
      <c r="J78">
        <v>11</v>
      </c>
      <c r="K78" t="s">
        <v>434</v>
      </c>
      <c r="R78" t="s">
        <v>390</v>
      </c>
      <c r="S78">
        <v>5</v>
      </c>
      <c r="T78">
        <v>4</v>
      </c>
      <c r="U78" t="s">
        <v>496</v>
      </c>
      <c r="V78" t="s">
        <v>497</v>
      </c>
      <c r="W78">
        <v>1</v>
      </c>
      <c r="X78" t="s">
        <v>282</v>
      </c>
      <c r="AC78" t="s">
        <v>498</v>
      </c>
      <c r="AE78" s="135"/>
    </row>
    <row r="79" spans="1:31" ht="14.5" x14ac:dyDescent="0.35">
      <c r="A79" t="s">
        <v>396</v>
      </c>
      <c r="C79" t="s">
        <v>111</v>
      </c>
      <c r="D79" t="s">
        <v>385</v>
      </c>
      <c r="E79" s="133">
        <v>45838</v>
      </c>
      <c r="F79" s="2">
        <v>0.97317129629629628</v>
      </c>
      <c r="G79">
        <v>23</v>
      </c>
      <c r="H79" s="133">
        <v>45838</v>
      </c>
      <c r="I79" s="2">
        <v>0.47317129629629634</v>
      </c>
      <c r="J79">
        <v>11</v>
      </c>
      <c r="R79" t="s">
        <v>432</v>
      </c>
      <c r="S79">
        <v>7</v>
      </c>
      <c r="T79">
        <v>0</v>
      </c>
      <c r="U79">
        <v>0</v>
      </c>
      <c r="V79">
        <v>0</v>
      </c>
      <c r="W79">
        <v>1</v>
      </c>
      <c r="X79" t="s">
        <v>355</v>
      </c>
      <c r="AC79" t="s">
        <v>499</v>
      </c>
      <c r="AE79" s="135"/>
    </row>
    <row r="80" spans="1:31" ht="14.5" x14ac:dyDescent="0.35">
      <c r="A80" t="s">
        <v>396</v>
      </c>
      <c r="C80" t="s">
        <v>110</v>
      </c>
      <c r="D80" t="s">
        <v>385</v>
      </c>
      <c r="E80" s="133">
        <v>45838</v>
      </c>
      <c r="F80" s="2">
        <v>0.97523148148148142</v>
      </c>
      <c r="G80">
        <v>23</v>
      </c>
      <c r="H80" s="133">
        <v>45838</v>
      </c>
      <c r="I80" s="2">
        <v>0.47523148148148148</v>
      </c>
      <c r="J80">
        <v>11</v>
      </c>
      <c r="K80" t="s">
        <v>434</v>
      </c>
      <c r="R80" t="s">
        <v>390</v>
      </c>
      <c r="S80">
        <v>10</v>
      </c>
      <c r="T80">
        <v>9</v>
      </c>
      <c r="U80" t="s">
        <v>386</v>
      </c>
      <c r="V80" t="s">
        <v>500</v>
      </c>
      <c r="W80">
        <v>1</v>
      </c>
      <c r="X80" t="s">
        <v>355</v>
      </c>
      <c r="AC80" t="s">
        <v>501</v>
      </c>
      <c r="AE80" s="135"/>
    </row>
    <row r="81" spans="1:31" ht="14.5" x14ac:dyDescent="0.35">
      <c r="A81" t="s">
        <v>396</v>
      </c>
      <c r="C81" t="s">
        <v>108</v>
      </c>
      <c r="D81" t="s">
        <v>385</v>
      </c>
      <c r="E81" s="133">
        <v>45838</v>
      </c>
      <c r="F81" s="2">
        <v>0.97543981481481479</v>
      </c>
      <c r="G81">
        <v>23</v>
      </c>
      <c r="H81" s="133">
        <v>45838</v>
      </c>
      <c r="I81" s="2">
        <v>0.47543981481481484</v>
      </c>
      <c r="J81">
        <v>11</v>
      </c>
      <c r="R81" t="s">
        <v>432</v>
      </c>
      <c r="S81">
        <v>7</v>
      </c>
      <c r="T81">
        <v>0</v>
      </c>
      <c r="U81">
        <v>0</v>
      </c>
      <c r="V81">
        <v>0</v>
      </c>
      <c r="W81">
        <v>1</v>
      </c>
      <c r="X81" t="s">
        <v>355</v>
      </c>
      <c r="AC81" t="s">
        <v>502</v>
      </c>
      <c r="AE81" s="135"/>
    </row>
    <row r="82" spans="1:31" ht="14.5" x14ac:dyDescent="0.35">
      <c r="A82" t="s">
        <v>396</v>
      </c>
      <c r="C82" t="s">
        <v>113</v>
      </c>
      <c r="D82" t="s">
        <v>385</v>
      </c>
      <c r="E82" s="133">
        <v>45838</v>
      </c>
      <c r="F82" s="2">
        <v>0.97569444444444453</v>
      </c>
      <c r="G82">
        <v>23</v>
      </c>
      <c r="H82" s="133">
        <v>45838</v>
      </c>
      <c r="I82" s="2">
        <v>0.47569444444444442</v>
      </c>
      <c r="J82">
        <v>11</v>
      </c>
      <c r="R82" t="s">
        <v>30</v>
      </c>
      <c r="W82">
        <v>1</v>
      </c>
      <c r="X82" t="s">
        <v>355</v>
      </c>
      <c r="AC82" t="s">
        <v>503</v>
      </c>
      <c r="AE82" s="135"/>
    </row>
    <row r="83" spans="1:31" ht="14.5" x14ac:dyDescent="0.35">
      <c r="A83" t="s">
        <v>396</v>
      </c>
      <c r="C83" t="s">
        <v>112</v>
      </c>
      <c r="D83" t="s">
        <v>385</v>
      </c>
      <c r="E83" s="133">
        <v>45838</v>
      </c>
      <c r="F83" s="2">
        <v>0.97583333333333344</v>
      </c>
      <c r="G83">
        <v>23</v>
      </c>
      <c r="H83" s="133">
        <v>45838</v>
      </c>
      <c r="I83" s="2">
        <v>0.47583333333333333</v>
      </c>
      <c r="J83">
        <v>11</v>
      </c>
      <c r="K83" t="s">
        <v>434</v>
      </c>
      <c r="R83" t="s">
        <v>390</v>
      </c>
      <c r="S83">
        <v>7</v>
      </c>
      <c r="T83">
        <v>5</v>
      </c>
      <c r="U83" t="s">
        <v>395</v>
      </c>
      <c r="V83" t="s">
        <v>504</v>
      </c>
      <c r="W83">
        <v>1</v>
      </c>
      <c r="X83" t="s">
        <v>355</v>
      </c>
      <c r="AC83" t="s">
        <v>505</v>
      </c>
      <c r="AE83" s="135"/>
    </row>
    <row r="84" spans="1:31" ht="14.5" x14ac:dyDescent="0.35">
      <c r="A84" t="s">
        <v>396</v>
      </c>
      <c r="C84" t="s">
        <v>114</v>
      </c>
      <c r="D84" t="s">
        <v>385</v>
      </c>
      <c r="E84" s="133">
        <v>45838</v>
      </c>
      <c r="F84" s="2">
        <v>0.9778472222222222</v>
      </c>
      <c r="G84">
        <v>23</v>
      </c>
      <c r="H84" s="133">
        <v>45838</v>
      </c>
      <c r="I84" s="2">
        <v>0.47784722222222226</v>
      </c>
      <c r="J84">
        <v>11</v>
      </c>
      <c r="K84" t="s">
        <v>434</v>
      </c>
      <c r="L84" t="s">
        <v>388</v>
      </c>
      <c r="R84" t="s">
        <v>390</v>
      </c>
      <c r="S84">
        <v>2</v>
      </c>
      <c r="T84">
        <v>2</v>
      </c>
      <c r="U84">
        <v>1</v>
      </c>
      <c r="V84" t="s">
        <v>506</v>
      </c>
      <c r="W84">
        <v>1</v>
      </c>
      <c r="X84" t="s">
        <v>355</v>
      </c>
      <c r="AC84" t="s">
        <v>507</v>
      </c>
      <c r="AE84" s="135"/>
    </row>
    <row r="85" spans="1:31" ht="14.5" x14ac:dyDescent="0.35">
      <c r="A85" t="s">
        <v>396</v>
      </c>
      <c r="C85" t="s">
        <v>118</v>
      </c>
      <c r="D85" t="s">
        <v>385</v>
      </c>
      <c r="E85" s="133">
        <v>45838</v>
      </c>
      <c r="F85" s="2">
        <v>0.98071759259259261</v>
      </c>
      <c r="G85">
        <v>23</v>
      </c>
      <c r="H85" s="133">
        <v>45838</v>
      </c>
      <c r="I85" s="2">
        <v>0.48071759259259261</v>
      </c>
      <c r="J85">
        <v>11</v>
      </c>
      <c r="R85" t="s">
        <v>384</v>
      </c>
      <c r="S85">
        <v>13</v>
      </c>
      <c r="T85">
        <v>13</v>
      </c>
      <c r="U85">
        <v>1</v>
      </c>
      <c r="V85" t="s">
        <v>508</v>
      </c>
      <c r="W85">
        <v>1</v>
      </c>
      <c r="X85" t="s">
        <v>282</v>
      </c>
      <c r="AC85" t="s">
        <v>509</v>
      </c>
      <c r="AE85" s="135"/>
    </row>
    <row r="86" spans="1:31" ht="14.5" x14ac:dyDescent="0.35">
      <c r="A86" t="s">
        <v>396</v>
      </c>
      <c r="C86" t="s">
        <v>119</v>
      </c>
      <c r="D86" t="s">
        <v>385</v>
      </c>
      <c r="E86" s="133">
        <v>45838</v>
      </c>
      <c r="F86" s="2">
        <v>0.9822453703703703</v>
      </c>
      <c r="G86">
        <v>23</v>
      </c>
      <c r="H86" s="133">
        <v>45838</v>
      </c>
      <c r="I86" s="2">
        <v>0.48224537037037035</v>
      </c>
      <c r="J86">
        <v>11</v>
      </c>
      <c r="R86" t="s">
        <v>30</v>
      </c>
      <c r="W86">
        <v>1</v>
      </c>
      <c r="X86" t="s">
        <v>30</v>
      </c>
      <c r="AC86" t="s">
        <v>510</v>
      </c>
      <c r="AE86" s="135"/>
    </row>
    <row r="87" spans="1:31" ht="14.5" x14ac:dyDescent="0.35">
      <c r="A87" t="s">
        <v>396</v>
      </c>
      <c r="C87" t="s">
        <v>115</v>
      </c>
      <c r="D87" t="s">
        <v>385</v>
      </c>
      <c r="E87" s="133">
        <v>45838</v>
      </c>
      <c r="F87" s="2">
        <v>0.98305555555555557</v>
      </c>
      <c r="G87">
        <v>23</v>
      </c>
      <c r="H87" s="133">
        <v>45838</v>
      </c>
      <c r="I87" s="2">
        <v>0.48305555555555557</v>
      </c>
      <c r="J87">
        <v>11</v>
      </c>
      <c r="R87" t="s">
        <v>30</v>
      </c>
      <c r="W87">
        <v>1</v>
      </c>
      <c r="X87" t="s">
        <v>30</v>
      </c>
      <c r="AC87" t="s">
        <v>511</v>
      </c>
      <c r="AE87" s="135"/>
    </row>
    <row r="88" spans="1:31" ht="14.5" x14ac:dyDescent="0.35">
      <c r="A88" t="s">
        <v>396</v>
      </c>
      <c r="C88" t="s">
        <v>117</v>
      </c>
      <c r="D88" t="s">
        <v>385</v>
      </c>
      <c r="E88" s="133">
        <v>45838</v>
      </c>
      <c r="F88" s="2">
        <v>0.98502314814814806</v>
      </c>
      <c r="G88">
        <v>23</v>
      </c>
      <c r="H88" s="133">
        <v>45838</v>
      </c>
      <c r="I88" s="2">
        <v>0.48502314814814818</v>
      </c>
      <c r="J88">
        <v>11</v>
      </c>
      <c r="R88" t="s">
        <v>30</v>
      </c>
      <c r="W88">
        <v>1</v>
      </c>
      <c r="X88" t="s">
        <v>30</v>
      </c>
      <c r="AC88" t="s">
        <v>512</v>
      </c>
      <c r="AE88" s="135"/>
    </row>
    <row r="89" spans="1:31" ht="14.5" x14ac:dyDescent="0.35">
      <c r="A89" t="s">
        <v>396</v>
      </c>
      <c r="C89" t="s">
        <v>116</v>
      </c>
      <c r="D89" t="s">
        <v>385</v>
      </c>
      <c r="E89" s="133">
        <v>45838</v>
      </c>
      <c r="F89" s="2">
        <v>0.98611111111111116</v>
      </c>
      <c r="G89">
        <v>23</v>
      </c>
      <c r="H89" s="133">
        <v>45838</v>
      </c>
      <c r="I89" s="2">
        <v>0.4861111111111111</v>
      </c>
      <c r="J89">
        <v>11</v>
      </c>
      <c r="K89" t="s">
        <v>390</v>
      </c>
      <c r="R89" t="s">
        <v>384</v>
      </c>
      <c r="S89">
        <v>9</v>
      </c>
      <c r="T89">
        <v>9</v>
      </c>
      <c r="U89">
        <v>1</v>
      </c>
      <c r="V89" t="s">
        <v>513</v>
      </c>
      <c r="W89">
        <v>1</v>
      </c>
      <c r="X89" t="s">
        <v>282</v>
      </c>
      <c r="AC89" t="s">
        <v>514</v>
      </c>
      <c r="AE89" s="135"/>
    </row>
    <row r="90" spans="1:31" ht="14.5" x14ac:dyDescent="0.35">
      <c r="A90" t="s">
        <v>396</v>
      </c>
      <c r="C90" t="s">
        <v>123</v>
      </c>
      <c r="D90" t="s">
        <v>385</v>
      </c>
      <c r="E90" s="133">
        <v>45838</v>
      </c>
      <c r="F90" s="2">
        <v>0.98634259259259249</v>
      </c>
      <c r="G90">
        <v>23</v>
      </c>
      <c r="H90" s="133">
        <v>45838</v>
      </c>
      <c r="I90" s="2">
        <v>0.4863425925925926</v>
      </c>
      <c r="J90">
        <v>11</v>
      </c>
      <c r="R90" t="s">
        <v>384</v>
      </c>
      <c r="S90">
        <v>5</v>
      </c>
      <c r="T90">
        <v>5</v>
      </c>
      <c r="U90">
        <v>1</v>
      </c>
      <c r="V90" t="s">
        <v>515</v>
      </c>
      <c r="W90">
        <v>1</v>
      </c>
      <c r="X90" t="s">
        <v>282</v>
      </c>
      <c r="AC90" t="s">
        <v>516</v>
      </c>
      <c r="AE90" s="135"/>
    </row>
    <row r="91" spans="1:31" ht="14.5" x14ac:dyDescent="0.35">
      <c r="A91" t="s">
        <v>396</v>
      </c>
      <c r="C91" t="s">
        <v>120</v>
      </c>
      <c r="D91" t="s">
        <v>385</v>
      </c>
      <c r="E91" s="133">
        <v>45838</v>
      </c>
      <c r="F91" s="2">
        <v>0.98689814814814814</v>
      </c>
      <c r="G91">
        <v>23</v>
      </c>
      <c r="H91" s="133">
        <v>45838</v>
      </c>
      <c r="I91" s="2">
        <v>0.48689814814814819</v>
      </c>
      <c r="J91">
        <v>11</v>
      </c>
      <c r="R91" t="s">
        <v>30</v>
      </c>
      <c r="W91">
        <v>1</v>
      </c>
      <c r="X91" t="s">
        <v>30</v>
      </c>
      <c r="AC91" t="s">
        <v>517</v>
      </c>
      <c r="AE91" s="135"/>
    </row>
    <row r="92" spans="1:31" ht="14.5" x14ac:dyDescent="0.35">
      <c r="A92" t="s">
        <v>396</v>
      </c>
      <c r="C92" t="s">
        <v>122</v>
      </c>
      <c r="D92" t="s">
        <v>385</v>
      </c>
      <c r="E92" s="133">
        <v>45838</v>
      </c>
      <c r="F92" s="2">
        <v>0.99039351851851853</v>
      </c>
      <c r="G92">
        <v>23</v>
      </c>
      <c r="H92" s="133">
        <v>45838</v>
      </c>
      <c r="I92" s="2">
        <v>0.49039351851851848</v>
      </c>
      <c r="J92">
        <v>11</v>
      </c>
      <c r="K92" t="s">
        <v>390</v>
      </c>
      <c r="L92" t="s">
        <v>434</v>
      </c>
      <c r="R92" t="s">
        <v>384</v>
      </c>
      <c r="S92">
        <v>6</v>
      </c>
      <c r="T92">
        <v>5</v>
      </c>
      <c r="U92" t="s">
        <v>476</v>
      </c>
      <c r="V92" t="s">
        <v>518</v>
      </c>
      <c r="W92">
        <v>1</v>
      </c>
      <c r="X92" t="s">
        <v>282</v>
      </c>
      <c r="AC92" t="s">
        <v>519</v>
      </c>
      <c r="AE92" s="135"/>
    </row>
    <row r="93" spans="1:31" ht="14.5" x14ac:dyDescent="0.35">
      <c r="A93" t="s">
        <v>396</v>
      </c>
      <c r="C93" t="s">
        <v>121</v>
      </c>
      <c r="D93" t="s">
        <v>385</v>
      </c>
      <c r="E93" s="133">
        <v>45838</v>
      </c>
      <c r="F93" s="2">
        <v>0.99067129629629624</v>
      </c>
      <c r="G93">
        <v>23</v>
      </c>
      <c r="H93" s="133">
        <v>45838</v>
      </c>
      <c r="I93" s="2">
        <v>0.4906712962962963</v>
      </c>
      <c r="J93">
        <v>11</v>
      </c>
      <c r="R93" t="s">
        <v>384</v>
      </c>
      <c r="S93">
        <v>22</v>
      </c>
      <c r="T93">
        <v>21</v>
      </c>
      <c r="U93" t="s">
        <v>520</v>
      </c>
      <c r="V93" t="s">
        <v>521</v>
      </c>
      <c r="W93">
        <v>1</v>
      </c>
      <c r="X93" t="s">
        <v>383</v>
      </c>
      <c r="AC93" t="s">
        <v>522</v>
      </c>
      <c r="AE93" s="135"/>
    </row>
    <row r="94" spans="1:31" ht="14.5" x14ac:dyDescent="0.35">
      <c r="A94" t="s">
        <v>396</v>
      </c>
      <c r="C94" t="s">
        <v>124</v>
      </c>
      <c r="D94" t="s">
        <v>385</v>
      </c>
      <c r="E94" s="133">
        <v>45838</v>
      </c>
      <c r="F94" s="2">
        <v>0.99094907407407407</v>
      </c>
      <c r="G94">
        <v>23</v>
      </c>
      <c r="H94" s="133">
        <v>45838</v>
      </c>
      <c r="I94" s="2">
        <v>0.49094907407407407</v>
      </c>
      <c r="J94">
        <v>11</v>
      </c>
      <c r="K94" t="s">
        <v>434</v>
      </c>
      <c r="R94" t="s">
        <v>384</v>
      </c>
      <c r="S94">
        <v>18</v>
      </c>
      <c r="T94">
        <v>15</v>
      </c>
      <c r="U94" t="s">
        <v>476</v>
      </c>
      <c r="V94" t="s">
        <v>523</v>
      </c>
      <c r="W94">
        <v>1</v>
      </c>
      <c r="X94" t="s">
        <v>282</v>
      </c>
      <c r="AC94" t="s">
        <v>524</v>
      </c>
      <c r="AE94" s="135"/>
    </row>
    <row r="95" spans="1:31" ht="14.5" x14ac:dyDescent="0.35">
      <c r="A95" t="s">
        <v>396</v>
      </c>
      <c r="C95" t="s">
        <v>127</v>
      </c>
      <c r="D95" t="s">
        <v>385</v>
      </c>
      <c r="E95" s="133">
        <v>45838</v>
      </c>
      <c r="F95" s="2">
        <v>0.9913657407407408</v>
      </c>
      <c r="G95">
        <v>23</v>
      </c>
      <c r="H95" s="133">
        <v>45838</v>
      </c>
      <c r="I95" s="2">
        <v>0.49136574074074074</v>
      </c>
      <c r="J95">
        <v>11</v>
      </c>
      <c r="R95" t="s">
        <v>384</v>
      </c>
      <c r="S95">
        <v>20</v>
      </c>
      <c r="T95">
        <v>19</v>
      </c>
      <c r="U95" t="s">
        <v>525</v>
      </c>
      <c r="V95" t="s">
        <v>526</v>
      </c>
      <c r="W95">
        <v>1</v>
      </c>
      <c r="X95" t="s">
        <v>282</v>
      </c>
      <c r="AC95" t="s">
        <v>527</v>
      </c>
      <c r="AE95" s="135"/>
    </row>
    <row r="96" spans="1:31" ht="14.5" x14ac:dyDescent="0.35">
      <c r="A96" t="s">
        <v>396</v>
      </c>
      <c r="C96" t="s">
        <v>125</v>
      </c>
      <c r="D96" t="s">
        <v>385</v>
      </c>
      <c r="E96" s="133">
        <v>45838</v>
      </c>
      <c r="F96" s="2">
        <v>0.99562499999999998</v>
      </c>
      <c r="G96">
        <v>23</v>
      </c>
      <c r="H96" s="133">
        <v>45838</v>
      </c>
      <c r="I96" s="2">
        <v>0.49562499999999998</v>
      </c>
      <c r="J96">
        <v>11</v>
      </c>
      <c r="R96" t="s">
        <v>30</v>
      </c>
      <c r="W96">
        <v>1</v>
      </c>
      <c r="X96" t="s">
        <v>30</v>
      </c>
      <c r="AC96" t="s">
        <v>528</v>
      </c>
      <c r="AE96" s="135"/>
    </row>
    <row r="97" spans="1:31" ht="14.5" x14ac:dyDescent="0.35">
      <c r="A97" t="s">
        <v>396</v>
      </c>
      <c r="C97" t="s">
        <v>126</v>
      </c>
      <c r="D97" t="s">
        <v>385</v>
      </c>
      <c r="E97" s="133">
        <v>45838</v>
      </c>
      <c r="F97" s="2">
        <v>0.99618055555555562</v>
      </c>
      <c r="G97">
        <v>23</v>
      </c>
      <c r="H97" s="133">
        <v>45838</v>
      </c>
      <c r="I97" s="2">
        <v>0.49618055555555557</v>
      </c>
      <c r="J97">
        <v>11</v>
      </c>
      <c r="R97" t="s">
        <v>30</v>
      </c>
      <c r="W97">
        <v>1</v>
      </c>
      <c r="X97" t="s">
        <v>30</v>
      </c>
      <c r="AC97" t="s">
        <v>529</v>
      </c>
      <c r="AE97" s="135"/>
    </row>
    <row r="98" spans="1:31" ht="14.5" x14ac:dyDescent="0.35">
      <c r="A98" t="s">
        <v>396</v>
      </c>
      <c r="C98" t="s">
        <v>129</v>
      </c>
      <c r="D98" t="s">
        <v>385</v>
      </c>
      <c r="E98" s="133">
        <v>45839</v>
      </c>
      <c r="F98" s="2">
        <v>2.3842592592592591E-3</v>
      </c>
      <c r="G98">
        <v>0</v>
      </c>
      <c r="H98" s="133">
        <v>45838</v>
      </c>
      <c r="I98" s="2">
        <v>0.50238425925925922</v>
      </c>
      <c r="J98">
        <v>12</v>
      </c>
      <c r="R98" t="s">
        <v>432</v>
      </c>
      <c r="S98">
        <v>5</v>
      </c>
      <c r="T98">
        <v>0</v>
      </c>
      <c r="U98">
        <v>0</v>
      </c>
      <c r="V98">
        <v>0</v>
      </c>
      <c r="W98">
        <v>1</v>
      </c>
      <c r="X98" t="s">
        <v>282</v>
      </c>
      <c r="AC98" t="s">
        <v>530</v>
      </c>
      <c r="AE98" s="135"/>
    </row>
    <row r="99" spans="1:31" ht="14.5" x14ac:dyDescent="0.35">
      <c r="A99" t="s">
        <v>396</v>
      </c>
      <c r="C99" t="s">
        <v>128</v>
      </c>
      <c r="D99" t="s">
        <v>385</v>
      </c>
      <c r="E99" s="133">
        <v>45839</v>
      </c>
      <c r="F99" s="2">
        <v>3.2638888888888891E-3</v>
      </c>
      <c r="G99">
        <v>0</v>
      </c>
      <c r="H99" s="133">
        <v>45838</v>
      </c>
      <c r="I99" s="2">
        <v>0.50326388888888884</v>
      </c>
      <c r="J99">
        <v>12</v>
      </c>
      <c r="R99" t="s">
        <v>432</v>
      </c>
      <c r="S99">
        <v>6</v>
      </c>
      <c r="T99">
        <v>0</v>
      </c>
      <c r="U99">
        <v>0</v>
      </c>
      <c r="V99">
        <v>0</v>
      </c>
      <c r="W99">
        <v>1</v>
      </c>
      <c r="X99" t="s">
        <v>239</v>
      </c>
      <c r="AC99" t="s">
        <v>531</v>
      </c>
      <c r="AE99" s="135"/>
    </row>
    <row r="100" spans="1:31" ht="14.5" x14ac:dyDescent="0.35">
      <c r="A100" t="s">
        <v>396</v>
      </c>
      <c r="C100" t="s">
        <v>130</v>
      </c>
      <c r="D100" t="s">
        <v>385</v>
      </c>
      <c r="E100" s="133">
        <v>45839</v>
      </c>
      <c r="F100" s="2">
        <v>2.4259259259259258E-2</v>
      </c>
      <c r="G100">
        <v>0</v>
      </c>
      <c r="H100" s="133">
        <v>45838</v>
      </c>
      <c r="I100" s="2">
        <v>0.52425925925925931</v>
      </c>
      <c r="J100">
        <v>12</v>
      </c>
      <c r="R100" t="s">
        <v>30</v>
      </c>
      <c r="W100">
        <v>1</v>
      </c>
      <c r="X100" t="s">
        <v>30</v>
      </c>
      <c r="AC100" t="s">
        <v>532</v>
      </c>
      <c r="AE100" s="135"/>
    </row>
    <row r="101" spans="1:31" ht="14.5" x14ac:dyDescent="0.35">
      <c r="A101" t="s">
        <v>396</v>
      </c>
      <c r="C101" t="s">
        <v>131</v>
      </c>
      <c r="D101" t="s">
        <v>385</v>
      </c>
      <c r="E101" s="133">
        <v>45839</v>
      </c>
      <c r="F101" s="2">
        <v>2.525462962962963E-2</v>
      </c>
      <c r="G101">
        <v>0</v>
      </c>
      <c r="H101" s="133">
        <v>45838</v>
      </c>
      <c r="I101" s="2">
        <v>0.52525462962962965</v>
      </c>
      <c r="J101">
        <v>12</v>
      </c>
      <c r="R101" t="s">
        <v>30</v>
      </c>
      <c r="W101">
        <v>1</v>
      </c>
      <c r="X101" t="s">
        <v>30</v>
      </c>
      <c r="AC101" t="s">
        <v>533</v>
      </c>
      <c r="AE101" s="135"/>
    </row>
    <row r="102" spans="1:31" ht="14.5" x14ac:dyDescent="0.35">
      <c r="A102" t="s">
        <v>396</v>
      </c>
      <c r="C102" t="s">
        <v>132</v>
      </c>
      <c r="D102" t="s">
        <v>385</v>
      </c>
      <c r="E102" s="133">
        <v>45839</v>
      </c>
      <c r="F102" s="2">
        <v>3.2129629629629626E-2</v>
      </c>
      <c r="G102">
        <v>0</v>
      </c>
      <c r="H102" s="133">
        <v>45838</v>
      </c>
      <c r="I102" s="2">
        <v>0.53212962962962962</v>
      </c>
      <c r="J102">
        <v>12</v>
      </c>
      <c r="R102" t="s">
        <v>30</v>
      </c>
      <c r="W102">
        <v>1</v>
      </c>
      <c r="X102" t="s">
        <v>30</v>
      </c>
      <c r="AC102" t="s">
        <v>534</v>
      </c>
      <c r="AE102" s="135"/>
    </row>
    <row r="103" spans="1:31" ht="14.5" x14ac:dyDescent="0.35">
      <c r="A103" t="s">
        <v>396</v>
      </c>
      <c r="C103" t="s">
        <v>133</v>
      </c>
      <c r="D103" t="s">
        <v>385</v>
      </c>
      <c r="E103" s="133">
        <v>45839</v>
      </c>
      <c r="F103" s="2">
        <v>3.3287037037037039E-2</v>
      </c>
      <c r="G103">
        <v>0</v>
      </c>
      <c r="H103" s="133">
        <v>45838</v>
      </c>
      <c r="I103" s="2">
        <v>0.53328703703703706</v>
      </c>
      <c r="J103">
        <v>12</v>
      </c>
      <c r="R103" t="s">
        <v>30</v>
      </c>
      <c r="W103">
        <v>1</v>
      </c>
      <c r="X103" t="s">
        <v>30</v>
      </c>
      <c r="AC103" t="s">
        <v>535</v>
      </c>
      <c r="AE103" s="135"/>
    </row>
    <row r="104" spans="1:31" ht="14.5" x14ac:dyDescent="0.35">
      <c r="A104" t="s">
        <v>396</v>
      </c>
      <c r="C104" t="s">
        <v>134</v>
      </c>
      <c r="D104" t="s">
        <v>385</v>
      </c>
      <c r="E104" s="133">
        <v>45839</v>
      </c>
      <c r="F104" s="2">
        <v>4.3310185185185181E-2</v>
      </c>
      <c r="G104">
        <v>1</v>
      </c>
      <c r="H104" s="133">
        <v>45838</v>
      </c>
      <c r="I104" s="2">
        <v>0.54331018518518526</v>
      </c>
      <c r="J104">
        <v>13</v>
      </c>
      <c r="R104" t="s">
        <v>30</v>
      </c>
      <c r="W104">
        <v>1</v>
      </c>
      <c r="X104" t="s">
        <v>30</v>
      </c>
      <c r="AC104" t="s">
        <v>536</v>
      </c>
      <c r="AE104" s="135"/>
    </row>
    <row r="105" spans="1:31" ht="14.5" x14ac:dyDescent="0.35">
      <c r="A105" t="s">
        <v>396</v>
      </c>
      <c r="C105" t="s">
        <v>135</v>
      </c>
      <c r="D105" t="s">
        <v>385</v>
      </c>
      <c r="E105" s="133">
        <v>45839</v>
      </c>
      <c r="F105" s="2">
        <v>5.0902777777777776E-2</v>
      </c>
      <c r="G105">
        <v>1</v>
      </c>
      <c r="H105" s="133">
        <v>45838</v>
      </c>
      <c r="I105" s="2">
        <v>0.55090277777777785</v>
      </c>
      <c r="J105">
        <v>13</v>
      </c>
      <c r="R105" t="s">
        <v>30</v>
      </c>
      <c r="W105">
        <v>1</v>
      </c>
      <c r="X105" t="s">
        <v>30</v>
      </c>
      <c r="AC105" t="s">
        <v>537</v>
      </c>
      <c r="AE105" s="135"/>
    </row>
    <row r="106" spans="1:31" ht="14.5" x14ac:dyDescent="0.35">
      <c r="A106" t="s">
        <v>396</v>
      </c>
      <c r="C106" t="s">
        <v>136</v>
      </c>
      <c r="D106" t="s">
        <v>385</v>
      </c>
      <c r="E106" s="133">
        <v>45839</v>
      </c>
      <c r="F106" s="2">
        <v>5.634259259259259E-2</v>
      </c>
      <c r="G106">
        <v>1</v>
      </c>
      <c r="H106" s="133">
        <v>45838</v>
      </c>
      <c r="I106" s="2">
        <v>0.55634259259259256</v>
      </c>
      <c r="J106">
        <v>13</v>
      </c>
      <c r="R106" t="s">
        <v>30</v>
      </c>
      <c r="W106">
        <v>1</v>
      </c>
      <c r="X106" t="s">
        <v>30</v>
      </c>
      <c r="AC106" t="s">
        <v>538</v>
      </c>
      <c r="AE106" s="135"/>
    </row>
    <row r="107" spans="1:31" ht="14.5" x14ac:dyDescent="0.35">
      <c r="A107" t="s">
        <v>396</v>
      </c>
      <c r="C107" t="s">
        <v>142</v>
      </c>
      <c r="D107" t="s">
        <v>385</v>
      </c>
      <c r="E107" s="133">
        <v>45839</v>
      </c>
      <c r="F107" s="2">
        <v>6.1851851851851852E-2</v>
      </c>
      <c r="G107">
        <v>1</v>
      </c>
      <c r="H107" s="133">
        <v>45838</v>
      </c>
      <c r="I107" s="2">
        <v>0.56185185185185182</v>
      </c>
      <c r="J107">
        <v>13</v>
      </c>
      <c r="R107" t="s">
        <v>30</v>
      </c>
      <c r="W107">
        <v>1</v>
      </c>
      <c r="X107" t="s">
        <v>30</v>
      </c>
      <c r="AC107" t="s">
        <v>539</v>
      </c>
      <c r="AE107" s="135"/>
    </row>
    <row r="108" spans="1:31" ht="14.5" x14ac:dyDescent="0.35">
      <c r="A108" t="s">
        <v>396</v>
      </c>
      <c r="C108" t="s">
        <v>139</v>
      </c>
      <c r="D108" t="s">
        <v>385</v>
      </c>
      <c r="E108" s="133">
        <v>45839</v>
      </c>
      <c r="F108" s="2">
        <v>7.1111111111111111E-2</v>
      </c>
      <c r="G108">
        <v>1</v>
      </c>
      <c r="H108" s="133">
        <v>45838</v>
      </c>
      <c r="I108" s="2">
        <v>0.57111111111111112</v>
      </c>
      <c r="J108">
        <v>13</v>
      </c>
      <c r="R108" t="s">
        <v>30</v>
      </c>
      <c r="W108">
        <v>1</v>
      </c>
      <c r="X108" t="s">
        <v>30</v>
      </c>
      <c r="AC108" t="s">
        <v>540</v>
      </c>
      <c r="AE108" s="135"/>
    </row>
    <row r="109" spans="1:31" ht="14.5" x14ac:dyDescent="0.35">
      <c r="A109" t="s">
        <v>396</v>
      </c>
      <c r="C109" t="s">
        <v>138</v>
      </c>
      <c r="D109" t="s">
        <v>385</v>
      </c>
      <c r="E109" s="133">
        <v>45839</v>
      </c>
      <c r="F109" s="2">
        <v>7.4722222222222232E-2</v>
      </c>
      <c r="G109">
        <v>1</v>
      </c>
      <c r="H109" s="133">
        <v>45838</v>
      </c>
      <c r="I109" s="2">
        <v>0.57472222222222225</v>
      </c>
      <c r="J109">
        <v>13</v>
      </c>
      <c r="R109" t="s">
        <v>30</v>
      </c>
      <c r="W109">
        <v>1</v>
      </c>
      <c r="X109" t="s">
        <v>30</v>
      </c>
      <c r="AC109" t="s">
        <v>541</v>
      </c>
      <c r="AE109" s="135"/>
    </row>
    <row r="110" spans="1:31" ht="14.5" x14ac:dyDescent="0.35">
      <c r="A110" t="s">
        <v>396</v>
      </c>
      <c r="C110" t="s">
        <v>140</v>
      </c>
      <c r="D110" t="s">
        <v>385</v>
      </c>
      <c r="E110" s="133">
        <v>45839</v>
      </c>
      <c r="F110" s="2">
        <v>7.4907407407407409E-2</v>
      </c>
      <c r="G110">
        <v>1</v>
      </c>
      <c r="H110" s="133">
        <v>45838</v>
      </c>
      <c r="I110" s="2">
        <v>0.57490740740740742</v>
      </c>
      <c r="J110">
        <v>13</v>
      </c>
      <c r="R110" t="s">
        <v>30</v>
      </c>
      <c r="W110">
        <v>1</v>
      </c>
      <c r="X110" t="s">
        <v>30</v>
      </c>
      <c r="AC110" t="s">
        <v>542</v>
      </c>
      <c r="AE110" s="135"/>
    </row>
    <row r="111" spans="1:31" ht="14.5" x14ac:dyDescent="0.35">
      <c r="A111" t="s">
        <v>396</v>
      </c>
      <c r="C111" t="s">
        <v>141</v>
      </c>
      <c r="D111" t="s">
        <v>385</v>
      </c>
      <c r="E111" s="133">
        <v>45839</v>
      </c>
      <c r="F111" s="2">
        <v>7.7754629629629632E-2</v>
      </c>
      <c r="G111">
        <v>1</v>
      </c>
      <c r="H111" s="133">
        <v>45838</v>
      </c>
      <c r="I111" s="2">
        <v>0.57775462962962965</v>
      </c>
      <c r="J111">
        <v>13</v>
      </c>
      <c r="R111" t="s">
        <v>30</v>
      </c>
      <c r="W111">
        <v>1</v>
      </c>
      <c r="X111" t="s">
        <v>30</v>
      </c>
      <c r="AC111" t="s">
        <v>543</v>
      </c>
      <c r="AE111" s="135"/>
    </row>
    <row r="112" spans="1:31" ht="14.5" x14ac:dyDescent="0.35">
      <c r="A112" t="s">
        <v>396</v>
      </c>
      <c r="C112" t="s">
        <v>137</v>
      </c>
      <c r="D112" t="s">
        <v>385</v>
      </c>
      <c r="E112" s="133">
        <v>45839</v>
      </c>
      <c r="F112" s="2">
        <v>8.5810185185185184E-2</v>
      </c>
      <c r="G112">
        <v>2</v>
      </c>
      <c r="H112" s="133">
        <v>45838</v>
      </c>
      <c r="I112" s="2">
        <v>0.58581018518518524</v>
      </c>
      <c r="J112">
        <v>14</v>
      </c>
      <c r="R112" t="s">
        <v>30</v>
      </c>
      <c r="W112">
        <v>1</v>
      </c>
      <c r="X112" t="s">
        <v>30</v>
      </c>
      <c r="AC112" t="s">
        <v>544</v>
      </c>
      <c r="AE112" s="135"/>
    </row>
    <row r="113" spans="1:31" ht="14.5" x14ac:dyDescent="0.35">
      <c r="A113" t="s">
        <v>396</v>
      </c>
      <c r="C113" t="s">
        <v>144</v>
      </c>
      <c r="D113" t="s">
        <v>385</v>
      </c>
      <c r="E113" s="133">
        <v>45839</v>
      </c>
      <c r="F113" s="2">
        <v>8.8125000000000009E-2</v>
      </c>
      <c r="G113">
        <v>2</v>
      </c>
      <c r="H113" s="133">
        <v>45838</v>
      </c>
      <c r="I113" s="2">
        <v>0.58812500000000001</v>
      </c>
      <c r="J113">
        <v>14</v>
      </c>
      <c r="R113" t="s">
        <v>30</v>
      </c>
      <c r="W113">
        <v>1</v>
      </c>
      <c r="X113" t="s">
        <v>30</v>
      </c>
      <c r="AC113" t="s">
        <v>545</v>
      </c>
      <c r="AE113" s="135"/>
    </row>
    <row r="114" spans="1:31" ht="14.5" x14ac:dyDescent="0.35">
      <c r="A114" t="s">
        <v>396</v>
      </c>
      <c r="C114" t="s">
        <v>143</v>
      </c>
      <c r="D114" t="s">
        <v>385</v>
      </c>
      <c r="E114" s="133">
        <v>45839</v>
      </c>
      <c r="F114" s="2">
        <v>9.1226851851851851E-2</v>
      </c>
      <c r="G114">
        <v>2</v>
      </c>
      <c r="H114" s="133">
        <v>45838</v>
      </c>
      <c r="I114" s="2">
        <v>0.59122685185185186</v>
      </c>
      <c r="J114">
        <v>14</v>
      </c>
      <c r="R114" t="s">
        <v>30</v>
      </c>
      <c r="W114">
        <v>1</v>
      </c>
      <c r="X114" t="s">
        <v>30</v>
      </c>
      <c r="AC114" t="s">
        <v>546</v>
      </c>
      <c r="AE114" s="135"/>
    </row>
    <row r="115" spans="1:31" ht="14.5" x14ac:dyDescent="0.35">
      <c r="A115" t="s">
        <v>396</v>
      </c>
      <c r="C115" t="s">
        <v>145</v>
      </c>
      <c r="D115" t="s">
        <v>385</v>
      </c>
      <c r="E115" s="133">
        <v>45839</v>
      </c>
      <c r="F115" s="2">
        <v>9.976851851851852E-2</v>
      </c>
      <c r="G115">
        <v>2</v>
      </c>
      <c r="H115" s="133">
        <v>45838</v>
      </c>
      <c r="I115" s="2">
        <v>0.59976851851851853</v>
      </c>
      <c r="J115">
        <v>14</v>
      </c>
      <c r="R115" t="s">
        <v>30</v>
      </c>
      <c r="W115">
        <v>1</v>
      </c>
      <c r="X115" t="s">
        <v>30</v>
      </c>
      <c r="AC115" t="s">
        <v>547</v>
      </c>
      <c r="AE115" s="135"/>
    </row>
    <row r="116" spans="1:31" ht="14.5" x14ac:dyDescent="0.35">
      <c r="A116" t="s">
        <v>396</v>
      </c>
      <c r="C116" t="s">
        <v>148</v>
      </c>
      <c r="D116" t="s">
        <v>385</v>
      </c>
      <c r="E116" s="133">
        <v>45839</v>
      </c>
      <c r="F116" s="2">
        <v>9.9999999999999992E-2</v>
      </c>
      <c r="G116">
        <v>2</v>
      </c>
      <c r="H116" s="133">
        <v>45838</v>
      </c>
      <c r="I116" s="2">
        <v>0.6</v>
      </c>
      <c r="J116">
        <v>14</v>
      </c>
      <c r="R116" t="s">
        <v>30</v>
      </c>
      <c r="W116">
        <v>1</v>
      </c>
      <c r="X116" t="s">
        <v>30</v>
      </c>
      <c r="AC116" t="s">
        <v>548</v>
      </c>
      <c r="AE116" s="135"/>
    </row>
    <row r="117" spans="1:31" ht="14.5" x14ac:dyDescent="0.35">
      <c r="A117" t="s">
        <v>396</v>
      </c>
      <c r="C117" t="s">
        <v>146</v>
      </c>
      <c r="D117" t="s">
        <v>385</v>
      </c>
      <c r="E117" s="133">
        <v>45839</v>
      </c>
      <c r="F117" s="2">
        <v>0.10078703703703702</v>
      </c>
      <c r="G117">
        <v>2</v>
      </c>
      <c r="H117" s="133">
        <v>45838</v>
      </c>
      <c r="I117" s="2">
        <v>0.60078703703703706</v>
      </c>
      <c r="J117">
        <v>14</v>
      </c>
      <c r="R117" t="s">
        <v>30</v>
      </c>
      <c r="W117">
        <v>1</v>
      </c>
      <c r="X117" t="s">
        <v>30</v>
      </c>
      <c r="AC117" t="s">
        <v>549</v>
      </c>
      <c r="AE117" s="135"/>
    </row>
    <row r="118" spans="1:31" ht="14.5" x14ac:dyDescent="0.35">
      <c r="A118" t="s">
        <v>396</v>
      </c>
      <c r="C118" t="s">
        <v>149</v>
      </c>
      <c r="D118" t="s">
        <v>385</v>
      </c>
      <c r="E118" s="133">
        <v>45839</v>
      </c>
      <c r="F118" s="2">
        <v>0.10627314814814814</v>
      </c>
      <c r="G118">
        <v>2</v>
      </c>
      <c r="H118" s="133">
        <v>45838</v>
      </c>
      <c r="I118" s="2">
        <v>0.60627314814814814</v>
      </c>
      <c r="J118">
        <v>14</v>
      </c>
      <c r="R118" t="s">
        <v>30</v>
      </c>
      <c r="W118">
        <v>1</v>
      </c>
      <c r="X118" t="s">
        <v>30</v>
      </c>
      <c r="AC118" t="s">
        <v>550</v>
      </c>
      <c r="AE118" s="135"/>
    </row>
    <row r="119" spans="1:31" ht="14.5" x14ac:dyDescent="0.35">
      <c r="A119" t="s">
        <v>396</v>
      </c>
      <c r="C119" t="s">
        <v>147</v>
      </c>
      <c r="D119" t="s">
        <v>385</v>
      </c>
      <c r="E119" s="133">
        <v>45839</v>
      </c>
      <c r="F119" s="2">
        <v>0.10650462962962963</v>
      </c>
      <c r="G119">
        <v>2</v>
      </c>
      <c r="H119" s="133">
        <v>45838</v>
      </c>
      <c r="I119" s="2">
        <v>0.60650462962962959</v>
      </c>
      <c r="J119">
        <v>14</v>
      </c>
      <c r="R119" t="s">
        <v>30</v>
      </c>
      <c r="W119">
        <v>1</v>
      </c>
      <c r="X119" t="s">
        <v>30</v>
      </c>
      <c r="AC119" t="s">
        <v>551</v>
      </c>
      <c r="AE119" s="135"/>
    </row>
    <row r="120" spans="1:31" ht="14.5" x14ac:dyDescent="0.35">
      <c r="A120" t="s">
        <v>396</v>
      </c>
      <c r="C120" t="s">
        <v>151</v>
      </c>
      <c r="D120" t="s">
        <v>385</v>
      </c>
      <c r="E120" s="133">
        <v>45839</v>
      </c>
      <c r="F120" s="2">
        <v>0.11995370370370372</v>
      </c>
      <c r="G120">
        <v>2</v>
      </c>
      <c r="H120" s="133">
        <v>45838</v>
      </c>
      <c r="I120" s="2">
        <v>0.61995370370370373</v>
      </c>
      <c r="J120">
        <v>14</v>
      </c>
      <c r="R120" t="s">
        <v>30</v>
      </c>
      <c r="W120">
        <v>1</v>
      </c>
      <c r="X120" t="s">
        <v>30</v>
      </c>
      <c r="AC120" t="s">
        <v>552</v>
      </c>
      <c r="AE120" s="135"/>
    </row>
    <row r="121" spans="1:31" ht="14.5" x14ac:dyDescent="0.35">
      <c r="A121" t="s">
        <v>396</v>
      </c>
      <c r="C121" t="s">
        <v>154</v>
      </c>
      <c r="D121" t="s">
        <v>385</v>
      </c>
      <c r="E121" s="133">
        <v>45839</v>
      </c>
      <c r="F121" s="2">
        <v>0.1212037037037037</v>
      </c>
      <c r="G121">
        <v>2</v>
      </c>
      <c r="H121" s="133">
        <v>45838</v>
      </c>
      <c r="I121" s="2">
        <v>0.6212037037037037</v>
      </c>
      <c r="J121">
        <v>14</v>
      </c>
      <c r="R121" t="s">
        <v>30</v>
      </c>
      <c r="W121">
        <v>1</v>
      </c>
      <c r="X121" t="s">
        <v>30</v>
      </c>
      <c r="AC121" t="s">
        <v>553</v>
      </c>
      <c r="AE121" s="135"/>
    </row>
    <row r="122" spans="1:31" ht="14.5" x14ac:dyDescent="0.35">
      <c r="A122" t="s">
        <v>396</v>
      </c>
      <c r="C122" t="s">
        <v>150</v>
      </c>
      <c r="D122" t="s">
        <v>385</v>
      </c>
      <c r="E122" s="133">
        <v>45839</v>
      </c>
      <c r="F122" s="2">
        <v>0.12256944444444444</v>
      </c>
      <c r="G122">
        <v>2</v>
      </c>
      <c r="H122" s="133">
        <v>45838</v>
      </c>
      <c r="I122" s="2">
        <v>0.6225694444444444</v>
      </c>
      <c r="J122">
        <v>14</v>
      </c>
      <c r="R122" t="s">
        <v>30</v>
      </c>
      <c r="W122">
        <v>1</v>
      </c>
      <c r="X122" t="s">
        <v>30</v>
      </c>
      <c r="AC122" t="s">
        <v>554</v>
      </c>
      <c r="AE122" s="135"/>
    </row>
    <row r="123" spans="1:31" ht="14.5" x14ac:dyDescent="0.35">
      <c r="A123" t="s">
        <v>396</v>
      </c>
      <c r="C123" t="s">
        <v>152</v>
      </c>
      <c r="D123" t="s">
        <v>385</v>
      </c>
      <c r="E123" s="133">
        <v>45839</v>
      </c>
      <c r="F123" s="2">
        <v>0.12868055555555555</v>
      </c>
      <c r="G123">
        <v>3</v>
      </c>
      <c r="H123" s="133">
        <v>45838</v>
      </c>
      <c r="I123" s="2">
        <v>0.62868055555555558</v>
      </c>
      <c r="J123">
        <v>15</v>
      </c>
      <c r="R123" t="s">
        <v>432</v>
      </c>
      <c r="S123">
        <v>3</v>
      </c>
      <c r="T123">
        <v>0</v>
      </c>
      <c r="U123">
        <v>0</v>
      </c>
      <c r="V123">
        <v>0</v>
      </c>
      <c r="W123">
        <v>1</v>
      </c>
      <c r="X123" t="s">
        <v>30</v>
      </c>
      <c r="AC123" t="s">
        <v>555</v>
      </c>
      <c r="AE123" s="135"/>
    </row>
    <row r="124" spans="1:31" ht="14.5" x14ac:dyDescent="0.35">
      <c r="A124" t="s">
        <v>396</v>
      </c>
      <c r="C124" t="s">
        <v>153</v>
      </c>
      <c r="D124" t="s">
        <v>385</v>
      </c>
      <c r="E124" s="133">
        <v>45839</v>
      </c>
      <c r="F124" s="2">
        <v>0.13326388888888888</v>
      </c>
      <c r="G124">
        <v>3</v>
      </c>
      <c r="H124" s="133">
        <v>45838</v>
      </c>
      <c r="I124" s="2">
        <v>0.63326388888888896</v>
      </c>
      <c r="J124">
        <v>15</v>
      </c>
      <c r="R124" t="s">
        <v>30</v>
      </c>
      <c r="W124">
        <v>1</v>
      </c>
      <c r="X124" t="s">
        <v>30</v>
      </c>
      <c r="AC124" t="s">
        <v>556</v>
      </c>
      <c r="AE124" s="135"/>
    </row>
    <row r="125" spans="1:31" ht="14.5" x14ac:dyDescent="0.35">
      <c r="A125" t="s">
        <v>396</v>
      </c>
      <c r="C125" t="s">
        <v>155</v>
      </c>
      <c r="D125" t="s">
        <v>385</v>
      </c>
      <c r="E125" s="133">
        <v>45839</v>
      </c>
      <c r="F125" s="2">
        <v>0.13541666666666666</v>
      </c>
      <c r="G125">
        <v>3</v>
      </c>
      <c r="H125" s="133">
        <v>45838</v>
      </c>
      <c r="I125" s="2">
        <v>0.63541666666666663</v>
      </c>
      <c r="J125">
        <v>15</v>
      </c>
      <c r="R125" t="s">
        <v>30</v>
      </c>
      <c r="W125">
        <v>1</v>
      </c>
      <c r="X125" t="s">
        <v>30</v>
      </c>
      <c r="AC125" t="s">
        <v>557</v>
      </c>
      <c r="AE125" s="135"/>
    </row>
    <row r="126" spans="1:31" ht="14.5" x14ac:dyDescent="0.35">
      <c r="A126" t="s">
        <v>396</v>
      </c>
      <c r="C126" t="s">
        <v>156</v>
      </c>
      <c r="D126" t="s">
        <v>385</v>
      </c>
      <c r="E126" s="133">
        <v>45839</v>
      </c>
      <c r="F126" s="2">
        <v>0.13731481481481481</v>
      </c>
      <c r="G126">
        <v>3</v>
      </c>
      <c r="H126" s="133">
        <v>45838</v>
      </c>
      <c r="I126" s="2">
        <v>0.63731481481481478</v>
      </c>
      <c r="J126">
        <v>15</v>
      </c>
      <c r="R126" t="s">
        <v>30</v>
      </c>
      <c r="W126">
        <v>1</v>
      </c>
      <c r="X126" t="s">
        <v>30</v>
      </c>
      <c r="AC126" t="s">
        <v>558</v>
      </c>
      <c r="AE126" s="135"/>
    </row>
    <row r="127" spans="1:31" ht="14.5" x14ac:dyDescent="0.35">
      <c r="A127" t="s">
        <v>396</v>
      </c>
      <c r="C127" t="s">
        <v>158</v>
      </c>
      <c r="D127" t="s">
        <v>385</v>
      </c>
      <c r="E127" s="133">
        <v>45839</v>
      </c>
      <c r="F127" s="2">
        <v>0.14108796296296297</v>
      </c>
      <c r="G127">
        <v>3</v>
      </c>
      <c r="H127" s="133">
        <v>45838</v>
      </c>
      <c r="I127" s="2">
        <v>0.641087962962963</v>
      </c>
      <c r="J127">
        <v>15</v>
      </c>
      <c r="R127" t="s">
        <v>30</v>
      </c>
      <c r="W127">
        <v>1</v>
      </c>
      <c r="X127" t="s">
        <v>30</v>
      </c>
      <c r="AC127" t="s">
        <v>559</v>
      </c>
      <c r="AE127" s="135"/>
    </row>
    <row r="128" spans="1:31" ht="14.5" x14ac:dyDescent="0.35">
      <c r="A128" t="s">
        <v>396</v>
      </c>
      <c r="C128" t="s">
        <v>157</v>
      </c>
      <c r="D128" t="s">
        <v>385</v>
      </c>
      <c r="E128" s="133">
        <v>45839</v>
      </c>
      <c r="F128" s="2">
        <v>0.14173611111111112</v>
      </c>
      <c r="G128">
        <v>3</v>
      </c>
      <c r="H128" s="133">
        <v>45838</v>
      </c>
      <c r="I128" s="2">
        <v>0.64173611111111117</v>
      </c>
      <c r="J128">
        <v>15</v>
      </c>
      <c r="R128" t="s">
        <v>30</v>
      </c>
      <c r="W128">
        <v>1</v>
      </c>
      <c r="X128" t="s">
        <v>30</v>
      </c>
      <c r="AC128" t="s">
        <v>560</v>
      </c>
      <c r="AE128" s="135"/>
    </row>
    <row r="129" spans="1:31" ht="14.5" x14ac:dyDescent="0.35">
      <c r="A129" t="s">
        <v>396</v>
      </c>
      <c r="C129" t="s">
        <v>161</v>
      </c>
      <c r="D129" t="s">
        <v>385</v>
      </c>
      <c r="E129" s="133">
        <v>45839</v>
      </c>
      <c r="F129" s="2">
        <v>0.14645833333333333</v>
      </c>
      <c r="G129">
        <v>3</v>
      </c>
      <c r="H129" s="133">
        <v>45838</v>
      </c>
      <c r="I129" s="2">
        <v>0.64645833333333336</v>
      </c>
      <c r="J129">
        <v>15</v>
      </c>
      <c r="R129" t="s">
        <v>30</v>
      </c>
      <c r="W129">
        <v>1</v>
      </c>
      <c r="X129" t="s">
        <v>30</v>
      </c>
      <c r="AC129" t="s">
        <v>561</v>
      </c>
      <c r="AE129" s="135"/>
    </row>
    <row r="130" spans="1:31" ht="14.5" x14ac:dyDescent="0.35">
      <c r="A130" t="s">
        <v>396</v>
      </c>
      <c r="C130" t="s">
        <v>160</v>
      </c>
      <c r="D130" t="s">
        <v>385</v>
      </c>
      <c r="E130" s="133">
        <v>45839</v>
      </c>
      <c r="F130" s="2">
        <v>0.14787037037037037</v>
      </c>
      <c r="G130">
        <v>3</v>
      </c>
      <c r="H130" s="133">
        <v>45838</v>
      </c>
      <c r="I130" s="2">
        <v>0.64787037037037043</v>
      </c>
      <c r="J130">
        <v>15</v>
      </c>
      <c r="R130" t="s">
        <v>30</v>
      </c>
      <c r="W130">
        <v>1</v>
      </c>
      <c r="X130" t="s">
        <v>30</v>
      </c>
      <c r="AC130" t="s">
        <v>562</v>
      </c>
      <c r="AE130" s="135"/>
    </row>
    <row r="131" spans="1:31" ht="14.5" x14ac:dyDescent="0.35">
      <c r="A131" t="s">
        <v>396</v>
      </c>
      <c r="C131" t="s">
        <v>163</v>
      </c>
      <c r="D131" t="s">
        <v>385</v>
      </c>
      <c r="E131" s="133">
        <v>45839</v>
      </c>
      <c r="F131" s="2">
        <v>0.16081018518518519</v>
      </c>
      <c r="G131">
        <v>3</v>
      </c>
      <c r="H131" s="133">
        <v>45838</v>
      </c>
      <c r="I131" s="2">
        <v>0.66081018518518519</v>
      </c>
      <c r="J131">
        <v>15</v>
      </c>
      <c r="R131" t="s">
        <v>30</v>
      </c>
      <c r="W131">
        <v>1</v>
      </c>
      <c r="X131" t="s">
        <v>30</v>
      </c>
      <c r="AC131" t="s">
        <v>563</v>
      </c>
      <c r="AE131" s="135"/>
    </row>
    <row r="132" spans="1:31" ht="14.5" x14ac:dyDescent="0.35">
      <c r="A132" t="s">
        <v>396</v>
      </c>
      <c r="C132" t="s">
        <v>159</v>
      </c>
      <c r="D132" t="s">
        <v>385</v>
      </c>
      <c r="E132" s="133">
        <v>45839</v>
      </c>
      <c r="F132" s="2">
        <v>0.18037037037037038</v>
      </c>
      <c r="G132">
        <v>4</v>
      </c>
      <c r="H132" s="133">
        <v>45838</v>
      </c>
      <c r="I132" s="2">
        <v>0.6803703703703704</v>
      </c>
      <c r="J132">
        <v>16</v>
      </c>
      <c r="R132" t="s">
        <v>30</v>
      </c>
      <c r="W132">
        <v>1</v>
      </c>
      <c r="X132" t="s">
        <v>30</v>
      </c>
      <c r="AC132" t="s">
        <v>564</v>
      </c>
      <c r="AE132" s="135"/>
    </row>
    <row r="133" spans="1:31" ht="14.5" x14ac:dyDescent="0.35">
      <c r="A133" t="s">
        <v>396</v>
      </c>
      <c r="C133" t="s">
        <v>164</v>
      </c>
      <c r="D133" t="s">
        <v>385</v>
      </c>
      <c r="E133" s="133">
        <v>45839</v>
      </c>
      <c r="F133" s="2">
        <v>0.89664351851851853</v>
      </c>
      <c r="G133">
        <v>21</v>
      </c>
      <c r="H133" s="133">
        <v>45839</v>
      </c>
      <c r="I133" s="2">
        <v>0.39664351851851848</v>
      </c>
      <c r="J133">
        <v>9</v>
      </c>
      <c r="R133" t="s">
        <v>30</v>
      </c>
      <c r="W133">
        <v>1</v>
      </c>
      <c r="X133" t="s">
        <v>30</v>
      </c>
      <c r="AC133" t="s">
        <v>565</v>
      </c>
      <c r="AE133" s="135"/>
    </row>
    <row r="134" spans="1:31" ht="14.5" x14ac:dyDescent="0.35">
      <c r="A134" t="s">
        <v>396</v>
      </c>
      <c r="C134" t="s">
        <v>162</v>
      </c>
      <c r="D134" t="s">
        <v>385</v>
      </c>
      <c r="E134" s="133">
        <v>45839</v>
      </c>
      <c r="F134" s="2">
        <v>0.8968518518518519</v>
      </c>
      <c r="G134">
        <v>21</v>
      </c>
      <c r="H134" s="133">
        <v>45839</v>
      </c>
      <c r="I134" s="2">
        <v>0.39685185185185184</v>
      </c>
      <c r="J134">
        <v>9</v>
      </c>
      <c r="R134" t="s">
        <v>30</v>
      </c>
      <c r="W134">
        <v>1</v>
      </c>
      <c r="X134" t="s">
        <v>30</v>
      </c>
      <c r="AC134" t="s">
        <v>566</v>
      </c>
      <c r="AE134" s="135"/>
    </row>
    <row r="135" spans="1:31" ht="14.5" x14ac:dyDescent="0.35">
      <c r="A135" t="s">
        <v>396</v>
      </c>
      <c r="C135" t="s">
        <v>165</v>
      </c>
      <c r="D135" t="s">
        <v>385</v>
      </c>
      <c r="E135" s="133">
        <v>45839</v>
      </c>
      <c r="F135" s="2">
        <v>0.89743055555555562</v>
      </c>
      <c r="G135">
        <v>21</v>
      </c>
      <c r="H135" s="133">
        <v>45839</v>
      </c>
      <c r="I135" s="2">
        <v>0.39743055555555556</v>
      </c>
      <c r="J135">
        <v>9</v>
      </c>
      <c r="R135" t="s">
        <v>30</v>
      </c>
      <c r="W135">
        <v>1</v>
      </c>
      <c r="X135" t="s">
        <v>30</v>
      </c>
      <c r="AC135" t="s">
        <v>567</v>
      </c>
      <c r="AE135" s="135"/>
    </row>
    <row r="136" spans="1:31" ht="14.5" x14ac:dyDescent="0.35">
      <c r="A136" t="s">
        <v>396</v>
      </c>
      <c r="C136" t="s">
        <v>166</v>
      </c>
      <c r="D136" t="s">
        <v>385</v>
      </c>
      <c r="E136" s="133">
        <v>45839</v>
      </c>
      <c r="F136" s="2">
        <v>0.89752314814814815</v>
      </c>
      <c r="G136">
        <v>21</v>
      </c>
      <c r="H136" s="133">
        <v>45839</v>
      </c>
      <c r="I136" s="2">
        <v>0.3975231481481481</v>
      </c>
      <c r="J136">
        <v>9</v>
      </c>
      <c r="R136" t="s">
        <v>30</v>
      </c>
      <c r="W136">
        <v>1</v>
      </c>
      <c r="X136" t="s">
        <v>30</v>
      </c>
      <c r="AC136" t="s">
        <v>568</v>
      </c>
      <c r="AE136" s="135"/>
    </row>
    <row r="137" spans="1:31" ht="14.5" x14ac:dyDescent="0.35">
      <c r="A137" t="s">
        <v>396</v>
      </c>
      <c r="C137" t="s">
        <v>167</v>
      </c>
      <c r="D137" t="s">
        <v>385</v>
      </c>
      <c r="E137" s="133">
        <v>45839</v>
      </c>
      <c r="F137" s="2">
        <v>0.89759259259259261</v>
      </c>
      <c r="G137">
        <v>21</v>
      </c>
      <c r="H137" s="133">
        <v>45839</v>
      </c>
      <c r="I137" s="2">
        <v>0.39759259259259255</v>
      </c>
      <c r="J137">
        <v>9</v>
      </c>
      <c r="R137" t="s">
        <v>30</v>
      </c>
      <c r="W137">
        <v>1</v>
      </c>
      <c r="X137" t="s">
        <v>30</v>
      </c>
      <c r="AC137" t="s">
        <v>569</v>
      </c>
      <c r="AE137" s="135"/>
    </row>
    <row r="138" spans="1:31" ht="14.5" x14ac:dyDescent="0.35">
      <c r="A138" t="s">
        <v>396</v>
      </c>
      <c r="C138" t="s">
        <v>170</v>
      </c>
      <c r="D138" t="s">
        <v>385</v>
      </c>
      <c r="E138" s="133">
        <v>45839</v>
      </c>
      <c r="F138" s="2">
        <v>0.89766203703703706</v>
      </c>
      <c r="G138">
        <v>21</v>
      </c>
      <c r="H138" s="133">
        <v>45839</v>
      </c>
      <c r="I138" s="2">
        <v>0.39766203703703701</v>
      </c>
      <c r="J138">
        <v>9</v>
      </c>
      <c r="R138" t="s">
        <v>30</v>
      </c>
      <c r="W138">
        <v>1</v>
      </c>
      <c r="X138" t="s">
        <v>30</v>
      </c>
      <c r="AC138" t="s">
        <v>570</v>
      </c>
      <c r="AE138" s="135"/>
    </row>
    <row r="139" spans="1:31" ht="14.5" x14ac:dyDescent="0.35">
      <c r="A139" t="s">
        <v>396</v>
      </c>
      <c r="C139" t="s">
        <v>172</v>
      </c>
      <c r="D139" t="s">
        <v>385</v>
      </c>
      <c r="E139" s="133">
        <v>45839</v>
      </c>
      <c r="F139" s="2">
        <v>0.89773148148148152</v>
      </c>
      <c r="G139">
        <v>21</v>
      </c>
      <c r="H139" s="133">
        <v>45839</v>
      </c>
      <c r="I139" s="2">
        <v>0.39773148148148146</v>
      </c>
      <c r="J139">
        <v>9</v>
      </c>
      <c r="R139" t="s">
        <v>30</v>
      </c>
      <c r="W139">
        <v>1</v>
      </c>
      <c r="X139" t="s">
        <v>30</v>
      </c>
      <c r="AC139" t="s">
        <v>571</v>
      </c>
      <c r="AE139" s="135"/>
    </row>
    <row r="140" spans="1:31" ht="14.5" x14ac:dyDescent="0.35">
      <c r="A140" t="s">
        <v>396</v>
      </c>
      <c r="C140" t="s">
        <v>169</v>
      </c>
      <c r="D140" t="s">
        <v>385</v>
      </c>
      <c r="E140" s="133">
        <v>45839</v>
      </c>
      <c r="F140" s="2">
        <v>0.89784722222222213</v>
      </c>
      <c r="G140">
        <v>21</v>
      </c>
      <c r="H140" s="133">
        <v>45839</v>
      </c>
      <c r="I140" s="2">
        <v>0.39784722222222224</v>
      </c>
      <c r="J140">
        <v>9</v>
      </c>
      <c r="R140" t="s">
        <v>30</v>
      </c>
      <c r="W140">
        <v>1</v>
      </c>
      <c r="X140" t="s">
        <v>30</v>
      </c>
      <c r="AC140" t="s">
        <v>572</v>
      </c>
      <c r="AE140" s="135"/>
    </row>
    <row r="141" spans="1:31" ht="14.5" x14ac:dyDescent="0.35">
      <c r="A141" t="s">
        <v>396</v>
      </c>
      <c r="C141" t="s">
        <v>168</v>
      </c>
      <c r="D141" t="s">
        <v>385</v>
      </c>
      <c r="E141" s="133">
        <v>45839</v>
      </c>
      <c r="F141" s="2">
        <v>0.89826388888888886</v>
      </c>
      <c r="G141">
        <v>21</v>
      </c>
      <c r="H141" s="133">
        <v>45839</v>
      </c>
      <c r="I141" s="2">
        <v>0.39826388888888892</v>
      </c>
      <c r="J141">
        <v>9</v>
      </c>
      <c r="R141" t="s">
        <v>30</v>
      </c>
      <c r="W141">
        <v>1</v>
      </c>
      <c r="X141" t="s">
        <v>30</v>
      </c>
      <c r="AC141" t="s">
        <v>573</v>
      </c>
      <c r="AE141" s="135"/>
    </row>
    <row r="142" spans="1:31" ht="14.5" x14ac:dyDescent="0.35">
      <c r="A142" t="s">
        <v>396</v>
      </c>
      <c r="C142" t="s">
        <v>173</v>
      </c>
      <c r="D142" t="s">
        <v>385</v>
      </c>
      <c r="E142" s="133">
        <v>45839</v>
      </c>
      <c r="F142" s="2">
        <v>0.89847222222222223</v>
      </c>
      <c r="G142">
        <v>21</v>
      </c>
      <c r="H142" s="133">
        <v>45839</v>
      </c>
      <c r="I142" s="2">
        <v>0.39847222222222217</v>
      </c>
      <c r="J142">
        <v>9</v>
      </c>
      <c r="R142" t="s">
        <v>30</v>
      </c>
      <c r="W142">
        <v>1</v>
      </c>
      <c r="X142" t="s">
        <v>30</v>
      </c>
      <c r="AC142" t="s">
        <v>574</v>
      </c>
      <c r="AE142" s="135"/>
    </row>
    <row r="143" spans="1:31" ht="14.5" x14ac:dyDescent="0.35">
      <c r="A143" t="s">
        <v>396</v>
      </c>
      <c r="C143" t="s">
        <v>171</v>
      </c>
      <c r="D143" t="s">
        <v>385</v>
      </c>
      <c r="E143" s="133">
        <v>45839</v>
      </c>
      <c r="F143" s="2">
        <v>0.89893518518518523</v>
      </c>
      <c r="G143">
        <v>21</v>
      </c>
      <c r="H143" s="133">
        <v>45839</v>
      </c>
      <c r="I143" s="2">
        <v>0.39893518518518517</v>
      </c>
      <c r="J143">
        <v>9</v>
      </c>
      <c r="R143" t="s">
        <v>30</v>
      </c>
      <c r="W143">
        <v>1</v>
      </c>
      <c r="X143" t="s">
        <v>30</v>
      </c>
      <c r="AC143" t="s">
        <v>575</v>
      </c>
      <c r="AE143" s="135"/>
    </row>
    <row r="144" spans="1:31" ht="14.5" x14ac:dyDescent="0.35">
      <c r="A144" t="s">
        <v>396</v>
      </c>
      <c r="C144" t="s">
        <v>174</v>
      </c>
      <c r="D144" t="s">
        <v>385</v>
      </c>
      <c r="E144" s="133">
        <v>45839</v>
      </c>
      <c r="F144" s="2">
        <v>0.89916666666666656</v>
      </c>
      <c r="G144">
        <v>21</v>
      </c>
      <c r="H144" s="133">
        <v>45839</v>
      </c>
      <c r="I144" s="2">
        <v>0.39916666666666667</v>
      </c>
      <c r="J144">
        <v>9</v>
      </c>
      <c r="R144" t="s">
        <v>30</v>
      </c>
      <c r="W144">
        <v>1</v>
      </c>
      <c r="X144" t="s">
        <v>30</v>
      </c>
      <c r="AC144" t="s">
        <v>576</v>
      </c>
      <c r="AE144" s="135"/>
    </row>
    <row r="145" spans="1:31" ht="14.5" x14ac:dyDescent="0.35">
      <c r="A145" t="s">
        <v>396</v>
      </c>
      <c r="C145" t="s">
        <v>175</v>
      </c>
      <c r="D145" t="s">
        <v>385</v>
      </c>
      <c r="E145" s="133">
        <v>45839</v>
      </c>
      <c r="F145" s="2">
        <v>0.89923611111111112</v>
      </c>
      <c r="G145">
        <v>21</v>
      </c>
      <c r="H145" s="133">
        <v>45839</v>
      </c>
      <c r="I145" s="2">
        <v>0.39923611111111112</v>
      </c>
      <c r="J145">
        <v>9</v>
      </c>
      <c r="R145" t="s">
        <v>30</v>
      </c>
      <c r="W145">
        <v>1</v>
      </c>
      <c r="X145" t="s">
        <v>30</v>
      </c>
      <c r="AC145" t="s">
        <v>577</v>
      </c>
      <c r="AE145" s="135"/>
    </row>
    <row r="146" spans="1:31" ht="12.5" customHeight="1" x14ac:dyDescent="0.35">
      <c r="A146" t="s">
        <v>396</v>
      </c>
      <c r="C146" t="s">
        <v>176</v>
      </c>
      <c r="D146" t="s">
        <v>385</v>
      </c>
      <c r="E146" s="133">
        <v>45839</v>
      </c>
      <c r="F146" s="2">
        <v>0.89939814814814811</v>
      </c>
      <c r="G146">
        <v>21</v>
      </c>
      <c r="H146" s="133">
        <v>45839</v>
      </c>
      <c r="I146" s="2">
        <v>0.39939814814814811</v>
      </c>
      <c r="J146">
        <v>9</v>
      </c>
      <c r="R146" t="s">
        <v>30</v>
      </c>
      <c r="W146">
        <v>1</v>
      </c>
      <c r="X146" t="s">
        <v>30</v>
      </c>
      <c r="AC146" t="s">
        <v>578</v>
      </c>
      <c r="AE146" s="135"/>
    </row>
    <row r="147" spans="1:31" ht="12.5" customHeight="1" x14ac:dyDescent="0.35">
      <c r="A147" t="s">
        <v>396</v>
      </c>
      <c r="C147" t="s">
        <v>177</v>
      </c>
      <c r="D147" t="s">
        <v>385</v>
      </c>
      <c r="E147" s="133">
        <v>45839</v>
      </c>
      <c r="F147" s="2">
        <v>0.89949074074074076</v>
      </c>
      <c r="G147">
        <v>21</v>
      </c>
      <c r="H147" s="133">
        <v>45839</v>
      </c>
      <c r="I147" s="2">
        <v>0.3994907407407407</v>
      </c>
      <c r="J147">
        <v>9</v>
      </c>
      <c r="R147" t="s">
        <v>30</v>
      </c>
      <c r="W147">
        <v>1</v>
      </c>
      <c r="X147" t="s">
        <v>30</v>
      </c>
      <c r="AC147" t="s">
        <v>579</v>
      </c>
      <c r="AE147" s="135"/>
    </row>
    <row r="148" spans="1:31" ht="12.5" customHeight="1" x14ac:dyDescent="0.35">
      <c r="A148" t="s">
        <v>396</v>
      </c>
      <c r="C148" t="s">
        <v>178</v>
      </c>
      <c r="D148" t="s">
        <v>385</v>
      </c>
      <c r="E148" s="133">
        <v>45839</v>
      </c>
      <c r="F148" s="2">
        <v>0.89956018518518521</v>
      </c>
      <c r="G148">
        <v>21</v>
      </c>
      <c r="H148" s="133">
        <v>45839</v>
      </c>
      <c r="I148" s="2">
        <v>0.39956018518518516</v>
      </c>
      <c r="J148">
        <v>9</v>
      </c>
      <c r="R148" t="s">
        <v>30</v>
      </c>
      <c r="W148">
        <v>1</v>
      </c>
      <c r="X148" t="s">
        <v>30</v>
      </c>
      <c r="AC148" t="s">
        <v>580</v>
      </c>
      <c r="AE148" s="135"/>
    </row>
    <row r="149" spans="1:31" ht="12.5" customHeight="1" x14ac:dyDescent="0.35">
      <c r="A149" t="s">
        <v>396</v>
      </c>
      <c r="C149" t="s">
        <v>181</v>
      </c>
      <c r="D149" t="s">
        <v>385</v>
      </c>
      <c r="E149" s="133">
        <v>45839</v>
      </c>
      <c r="F149" s="2">
        <v>0.8997222222222222</v>
      </c>
      <c r="G149">
        <v>21</v>
      </c>
      <c r="H149" s="133">
        <v>45839</v>
      </c>
      <c r="I149" s="2">
        <v>0.39972222222222226</v>
      </c>
      <c r="J149">
        <v>9</v>
      </c>
      <c r="R149" t="s">
        <v>30</v>
      </c>
      <c r="W149">
        <v>1</v>
      </c>
      <c r="X149" t="s">
        <v>30</v>
      </c>
      <c r="AC149" t="s">
        <v>581</v>
      </c>
      <c r="AE149" s="135"/>
    </row>
    <row r="150" spans="1:31" ht="12.5" customHeight="1" x14ac:dyDescent="0.35">
      <c r="A150" t="s">
        <v>396</v>
      </c>
      <c r="C150" t="s">
        <v>179</v>
      </c>
      <c r="D150" t="s">
        <v>385</v>
      </c>
      <c r="E150" s="133">
        <v>45839</v>
      </c>
      <c r="F150" s="2">
        <v>0.90085648148148145</v>
      </c>
      <c r="G150">
        <v>21</v>
      </c>
      <c r="H150" s="133">
        <v>45839</v>
      </c>
      <c r="I150" s="2">
        <v>0.40085648148148145</v>
      </c>
      <c r="J150">
        <v>9</v>
      </c>
      <c r="R150" t="s">
        <v>30</v>
      </c>
      <c r="W150">
        <v>1</v>
      </c>
      <c r="X150" t="s">
        <v>30</v>
      </c>
      <c r="AC150" t="s">
        <v>582</v>
      </c>
      <c r="AE150" s="135"/>
    </row>
    <row r="151" spans="1:31" ht="12.5" customHeight="1" x14ac:dyDescent="0.35">
      <c r="A151" t="s">
        <v>396</v>
      </c>
      <c r="C151" t="s">
        <v>180</v>
      </c>
      <c r="D151" t="s">
        <v>385</v>
      </c>
      <c r="E151" s="133">
        <v>45839</v>
      </c>
      <c r="F151" s="2">
        <v>0.90092592592592602</v>
      </c>
      <c r="G151">
        <v>21</v>
      </c>
      <c r="H151" s="133">
        <v>45839</v>
      </c>
      <c r="I151" s="2">
        <v>0.40092592592592591</v>
      </c>
      <c r="J151">
        <v>9</v>
      </c>
      <c r="R151" t="s">
        <v>30</v>
      </c>
      <c r="W151">
        <v>1</v>
      </c>
      <c r="X151" t="s">
        <v>30</v>
      </c>
      <c r="AC151" t="s">
        <v>583</v>
      </c>
      <c r="AE151" s="135"/>
    </row>
    <row r="152" spans="1:31" ht="12.5" customHeight="1" x14ac:dyDescent="0.35">
      <c r="A152" t="s">
        <v>396</v>
      </c>
      <c r="C152" t="s">
        <v>185</v>
      </c>
      <c r="D152" t="s">
        <v>385</v>
      </c>
      <c r="E152" s="133">
        <v>45839</v>
      </c>
      <c r="F152" s="2">
        <v>0.90099537037037036</v>
      </c>
      <c r="G152">
        <v>21</v>
      </c>
      <c r="H152" s="133">
        <v>45839</v>
      </c>
      <c r="I152" s="2">
        <v>0.40099537037037036</v>
      </c>
      <c r="J152">
        <v>9</v>
      </c>
      <c r="R152" t="s">
        <v>30</v>
      </c>
      <c r="W152">
        <v>1</v>
      </c>
      <c r="X152" t="s">
        <v>30</v>
      </c>
      <c r="AC152" t="s">
        <v>584</v>
      </c>
      <c r="AE152" s="135"/>
    </row>
    <row r="153" spans="1:31" ht="12.5" customHeight="1" x14ac:dyDescent="0.35">
      <c r="A153" t="s">
        <v>396</v>
      </c>
      <c r="C153" t="s">
        <v>183</v>
      </c>
      <c r="D153" t="s">
        <v>385</v>
      </c>
      <c r="E153" s="133">
        <v>45839</v>
      </c>
      <c r="F153" s="2">
        <v>0.90106481481481471</v>
      </c>
      <c r="G153">
        <v>21</v>
      </c>
      <c r="H153" s="133">
        <v>45839</v>
      </c>
      <c r="I153" s="2">
        <v>0.40106481481481482</v>
      </c>
      <c r="J153">
        <v>9</v>
      </c>
      <c r="R153" t="s">
        <v>30</v>
      </c>
      <c r="W153">
        <v>1</v>
      </c>
      <c r="X153" t="s">
        <v>30</v>
      </c>
      <c r="AC153" t="s">
        <v>585</v>
      </c>
      <c r="AE153" s="135"/>
    </row>
    <row r="154" spans="1:31" ht="12.5" customHeight="1" x14ac:dyDescent="0.35">
      <c r="A154" t="s">
        <v>396</v>
      </c>
      <c r="C154" t="s">
        <v>184</v>
      </c>
      <c r="D154" t="s">
        <v>385</v>
      </c>
      <c r="E154" s="133">
        <v>45839</v>
      </c>
      <c r="F154" s="2">
        <v>0.90115740740740735</v>
      </c>
      <c r="G154">
        <v>21</v>
      </c>
      <c r="H154" s="133">
        <v>45839</v>
      </c>
      <c r="I154" s="2">
        <v>0.40115740740740741</v>
      </c>
      <c r="J154">
        <v>9</v>
      </c>
      <c r="R154" t="s">
        <v>30</v>
      </c>
      <c r="W154">
        <v>1</v>
      </c>
      <c r="X154" t="s">
        <v>30</v>
      </c>
      <c r="AC154" t="s">
        <v>586</v>
      </c>
      <c r="AE154" s="135"/>
    </row>
    <row r="155" spans="1:31" ht="12.5" customHeight="1" x14ac:dyDescent="0.35">
      <c r="A155" t="s">
        <v>396</v>
      </c>
      <c r="C155" t="s">
        <v>182</v>
      </c>
      <c r="D155" t="s">
        <v>385</v>
      </c>
      <c r="E155" s="133">
        <v>45839</v>
      </c>
      <c r="F155" s="2">
        <v>0.90125</v>
      </c>
      <c r="G155">
        <v>21</v>
      </c>
      <c r="H155" s="133">
        <v>45839</v>
      </c>
      <c r="I155" s="2">
        <v>0.40125000000000005</v>
      </c>
      <c r="J155">
        <v>9</v>
      </c>
      <c r="R155" t="s">
        <v>30</v>
      </c>
      <c r="W155">
        <v>1</v>
      </c>
      <c r="X155" t="s">
        <v>30</v>
      </c>
      <c r="AC155" t="s">
        <v>587</v>
      </c>
      <c r="AE155" s="135"/>
    </row>
    <row r="156" spans="1:31" ht="12.5" customHeight="1" x14ac:dyDescent="0.35">
      <c r="A156" t="s">
        <v>396</v>
      </c>
      <c r="C156" t="s">
        <v>186</v>
      </c>
      <c r="D156" t="s">
        <v>385</v>
      </c>
      <c r="E156" s="133">
        <v>45839</v>
      </c>
      <c r="F156" s="2">
        <v>0.90201388888888889</v>
      </c>
      <c r="G156">
        <v>21</v>
      </c>
      <c r="H156" s="133">
        <v>45839</v>
      </c>
      <c r="I156" s="2">
        <v>0.40201388888888889</v>
      </c>
      <c r="J156">
        <v>9</v>
      </c>
      <c r="R156" t="s">
        <v>30</v>
      </c>
      <c r="W156">
        <v>1</v>
      </c>
      <c r="X156" t="s">
        <v>30</v>
      </c>
      <c r="AC156" t="s">
        <v>588</v>
      </c>
      <c r="AE156" s="135"/>
    </row>
    <row r="157" spans="1:31" ht="12.5" customHeight="1" x14ac:dyDescent="0.35">
      <c r="A157" t="s">
        <v>396</v>
      </c>
      <c r="C157" t="s">
        <v>190</v>
      </c>
      <c r="D157" t="s">
        <v>385</v>
      </c>
      <c r="E157" s="133">
        <v>45839</v>
      </c>
      <c r="F157" s="2">
        <v>0.90208333333333324</v>
      </c>
      <c r="G157">
        <v>21</v>
      </c>
      <c r="H157" s="133">
        <v>45839</v>
      </c>
      <c r="I157" s="2">
        <v>0.40208333333333335</v>
      </c>
      <c r="J157">
        <v>9</v>
      </c>
      <c r="R157" t="s">
        <v>30</v>
      </c>
      <c r="W157">
        <v>1</v>
      </c>
      <c r="X157" t="s">
        <v>30</v>
      </c>
      <c r="AC157" t="s">
        <v>589</v>
      </c>
      <c r="AE157" s="135"/>
    </row>
    <row r="158" spans="1:31" ht="12.5" customHeight="1" x14ac:dyDescent="0.35">
      <c r="A158" t="s">
        <v>396</v>
      </c>
      <c r="C158" t="s">
        <v>192</v>
      </c>
      <c r="D158" t="s">
        <v>385</v>
      </c>
      <c r="E158" s="133">
        <v>45839</v>
      </c>
      <c r="F158" s="2">
        <v>0.9021527777777778</v>
      </c>
      <c r="G158">
        <v>21</v>
      </c>
      <c r="H158" s="133">
        <v>45839</v>
      </c>
      <c r="I158" s="2">
        <v>0.4021527777777778</v>
      </c>
      <c r="J158">
        <v>9</v>
      </c>
      <c r="R158" t="s">
        <v>30</v>
      </c>
      <c r="W158">
        <v>1</v>
      </c>
      <c r="X158" t="s">
        <v>30</v>
      </c>
      <c r="AC158" t="s">
        <v>590</v>
      </c>
      <c r="AE158" s="135"/>
    </row>
    <row r="159" spans="1:31" ht="12.5" customHeight="1" x14ac:dyDescent="0.35">
      <c r="A159" t="s">
        <v>396</v>
      </c>
      <c r="C159" t="s">
        <v>187</v>
      </c>
      <c r="D159" t="s">
        <v>385</v>
      </c>
      <c r="E159" s="133">
        <v>45839</v>
      </c>
      <c r="F159" s="2">
        <v>0.90224537037037045</v>
      </c>
      <c r="G159">
        <v>21</v>
      </c>
      <c r="H159" s="133">
        <v>45839</v>
      </c>
      <c r="I159" s="2">
        <v>0.40224537037037034</v>
      </c>
      <c r="J159">
        <v>9</v>
      </c>
      <c r="R159" t="s">
        <v>30</v>
      </c>
      <c r="W159">
        <v>1</v>
      </c>
      <c r="X159" t="s">
        <v>30</v>
      </c>
      <c r="AC159" t="s">
        <v>591</v>
      </c>
      <c r="AE159" s="135"/>
    </row>
    <row r="160" spans="1:31" ht="12.5" customHeight="1" x14ac:dyDescent="0.35">
      <c r="A160" t="s">
        <v>396</v>
      </c>
      <c r="C160" t="s">
        <v>188</v>
      </c>
      <c r="D160" t="s">
        <v>385</v>
      </c>
      <c r="E160" s="133">
        <v>45839</v>
      </c>
      <c r="F160" s="2">
        <v>0.90231481481481479</v>
      </c>
      <c r="G160">
        <v>21</v>
      </c>
      <c r="H160" s="133">
        <v>45839</v>
      </c>
      <c r="I160" s="2">
        <v>0.40231481481481479</v>
      </c>
      <c r="J160">
        <v>9</v>
      </c>
      <c r="R160" t="s">
        <v>30</v>
      </c>
      <c r="W160">
        <v>1</v>
      </c>
      <c r="X160" t="s">
        <v>30</v>
      </c>
      <c r="AC160" t="s">
        <v>592</v>
      </c>
      <c r="AE160" s="135"/>
    </row>
    <row r="161" spans="1:31" ht="12.5" customHeight="1" x14ac:dyDescent="0.35">
      <c r="A161" t="s">
        <v>396</v>
      </c>
      <c r="C161" t="s">
        <v>194</v>
      </c>
      <c r="D161" t="s">
        <v>385</v>
      </c>
      <c r="E161" s="133">
        <v>45839</v>
      </c>
      <c r="F161" s="2">
        <v>0.90238425925925936</v>
      </c>
      <c r="G161">
        <v>21</v>
      </c>
      <c r="H161" s="133">
        <v>45839</v>
      </c>
      <c r="I161" s="2">
        <v>0.40238425925925925</v>
      </c>
      <c r="J161">
        <v>9</v>
      </c>
      <c r="R161" t="s">
        <v>30</v>
      </c>
      <c r="W161">
        <v>1</v>
      </c>
      <c r="X161" t="s">
        <v>30</v>
      </c>
      <c r="AC161" t="s">
        <v>593</v>
      </c>
      <c r="AE161" s="135"/>
    </row>
    <row r="162" spans="1:31" ht="12.5" customHeight="1" x14ac:dyDescent="0.35">
      <c r="A162" t="s">
        <v>396</v>
      </c>
      <c r="C162" t="s">
        <v>189</v>
      </c>
      <c r="D162" t="s">
        <v>385</v>
      </c>
      <c r="E162" s="133">
        <v>45839</v>
      </c>
      <c r="F162" s="2">
        <v>0.90247685185185189</v>
      </c>
      <c r="G162">
        <v>21</v>
      </c>
      <c r="H162" s="133">
        <v>45839</v>
      </c>
      <c r="I162" s="2">
        <v>0.40247685185185184</v>
      </c>
      <c r="J162">
        <v>9</v>
      </c>
      <c r="R162" t="s">
        <v>30</v>
      </c>
      <c r="W162">
        <v>1</v>
      </c>
      <c r="X162" t="s">
        <v>30</v>
      </c>
      <c r="AC162" t="s">
        <v>594</v>
      </c>
      <c r="AE162" s="135"/>
    </row>
    <row r="163" spans="1:31" ht="12.5" customHeight="1" x14ac:dyDescent="0.35">
      <c r="A163" t="s">
        <v>396</v>
      </c>
      <c r="C163" t="s">
        <v>195</v>
      </c>
      <c r="D163" t="s">
        <v>385</v>
      </c>
      <c r="E163" s="133">
        <v>45839</v>
      </c>
      <c r="F163" s="2">
        <v>0.90254629629629635</v>
      </c>
      <c r="G163">
        <v>21</v>
      </c>
      <c r="H163" s="133">
        <v>45839</v>
      </c>
      <c r="I163" s="2">
        <v>0.40254629629629629</v>
      </c>
      <c r="J163">
        <v>9</v>
      </c>
      <c r="R163" t="s">
        <v>30</v>
      </c>
      <c r="W163">
        <v>1</v>
      </c>
      <c r="X163" t="s">
        <v>30</v>
      </c>
      <c r="AC163" t="s">
        <v>595</v>
      </c>
      <c r="AE163" s="135"/>
    </row>
    <row r="164" spans="1:31" ht="12.5" customHeight="1" x14ac:dyDescent="0.35">
      <c r="A164" t="s">
        <v>396</v>
      </c>
      <c r="C164" t="s">
        <v>191</v>
      </c>
      <c r="D164" t="s">
        <v>385</v>
      </c>
      <c r="E164" s="133">
        <v>45839</v>
      </c>
      <c r="F164" s="2">
        <v>0.90263888888888888</v>
      </c>
      <c r="G164">
        <v>21</v>
      </c>
      <c r="H164" s="133">
        <v>45839</v>
      </c>
      <c r="I164" s="2">
        <v>0.40263888888888894</v>
      </c>
      <c r="J164">
        <v>9</v>
      </c>
      <c r="R164" t="s">
        <v>30</v>
      </c>
      <c r="W164">
        <v>1</v>
      </c>
      <c r="X164" t="s">
        <v>30</v>
      </c>
      <c r="AC164" t="s">
        <v>596</v>
      </c>
      <c r="AE164" s="135"/>
    </row>
    <row r="165" spans="1:31" ht="12.5" customHeight="1" x14ac:dyDescent="0.35">
      <c r="A165" t="s">
        <v>396</v>
      </c>
      <c r="C165" t="s">
        <v>193</v>
      </c>
      <c r="D165" t="s">
        <v>385</v>
      </c>
      <c r="E165" s="133">
        <v>45839</v>
      </c>
      <c r="F165" s="2">
        <v>0.90270833333333333</v>
      </c>
      <c r="G165">
        <v>21</v>
      </c>
      <c r="H165" s="133">
        <v>45839</v>
      </c>
      <c r="I165" s="2">
        <v>0.40270833333333328</v>
      </c>
      <c r="J165">
        <v>9</v>
      </c>
      <c r="R165" t="s">
        <v>30</v>
      </c>
      <c r="W165">
        <v>1</v>
      </c>
      <c r="X165" t="s">
        <v>30</v>
      </c>
      <c r="AC165" t="s">
        <v>597</v>
      </c>
      <c r="AE165" s="135"/>
    </row>
    <row r="166" spans="1:31" ht="12.5" customHeight="1" x14ac:dyDescent="0.35">
      <c r="A166" t="s">
        <v>396</v>
      </c>
      <c r="C166" t="s">
        <v>196</v>
      </c>
      <c r="D166" t="s">
        <v>385</v>
      </c>
      <c r="E166" s="133">
        <v>45839</v>
      </c>
      <c r="F166" s="2">
        <v>0.90307870370370369</v>
      </c>
      <c r="G166">
        <v>21</v>
      </c>
      <c r="H166" s="133">
        <v>45839</v>
      </c>
      <c r="I166" s="2">
        <v>0.40307870370370374</v>
      </c>
      <c r="J166">
        <v>9</v>
      </c>
      <c r="R166" t="s">
        <v>30</v>
      </c>
      <c r="W166">
        <v>1</v>
      </c>
      <c r="X166" t="s">
        <v>30</v>
      </c>
      <c r="AC166" t="s">
        <v>598</v>
      </c>
      <c r="AE166" s="135"/>
    </row>
    <row r="167" spans="1:31" ht="12.5" customHeight="1" x14ac:dyDescent="0.35">
      <c r="A167" t="s">
        <v>396</v>
      </c>
      <c r="C167" t="s">
        <v>201</v>
      </c>
      <c r="D167" t="s">
        <v>385</v>
      </c>
      <c r="E167" s="133">
        <v>45839</v>
      </c>
      <c r="F167" s="2">
        <v>0.90317129629629633</v>
      </c>
      <c r="G167">
        <v>21</v>
      </c>
      <c r="H167" s="133">
        <v>45839</v>
      </c>
      <c r="I167" s="2">
        <v>0.40317129629629633</v>
      </c>
      <c r="J167">
        <v>9</v>
      </c>
      <c r="R167" t="s">
        <v>30</v>
      </c>
      <c r="W167">
        <v>1</v>
      </c>
      <c r="X167" t="s">
        <v>30</v>
      </c>
      <c r="AC167" t="s">
        <v>599</v>
      </c>
      <c r="AE167" s="135"/>
    </row>
    <row r="168" spans="1:31" ht="12.5" customHeight="1" x14ac:dyDescent="0.35">
      <c r="A168" t="s">
        <v>396</v>
      </c>
      <c r="C168" t="s">
        <v>198</v>
      </c>
      <c r="D168" t="s">
        <v>385</v>
      </c>
      <c r="E168" s="133">
        <v>45839</v>
      </c>
      <c r="F168" s="2">
        <v>0.90324074074074068</v>
      </c>
      <c r="G168">
        <v>21</v>
      </c>
      <c r="H168" s="133">
        <v>45839</v>
      </c>
      <c r="I168" s="2">
        <v>0.40324074074074073</v>
      </c>
      <c r="J168">
        <v>9</v>
      </c>
      <c r="R168" t="s">
        <v>30</v>
      </c>
      <c r="W168">
        <v>1</v>
      </c>
      <c r="X168" t="s">
        <v>30</v>
      </c>
      <c r="AC168" t="s">
        <v>600</v>
      </c>
      <c r="AE168" s="135"/>
    </row>
    <row r="169" spans="1:31" ht="12.5" customHeight="1" x14ac:dyDescent="0.35">
      <c r="A169" t="s">
        <v>396</v>
      </c>
      <c r="C169" t="s">
        <v>197</v>
      </c>
      <c r="D169" t="s">
        <v>385</v>
      </c>
      <c r="E169" s="133">
        <v>45839</v>
      </c>
      <c r="F169" s="2">
        <v>0.90331018518518524</v>
      </c>
      <c r="G169">
        <v>21</v>
      </c>
      <c r="H169" s="133">
        <v>45839</v>
      </c>
      <c r="I169" s="2">
        <v>0.40331018518518519</v>
      </c>
      <c r="J169">
        <v>9</v>
      </c>
      <c r="R169" t="s">
        <v>30</v>
      </c>
      <c r="W169">
        <v>1</v>
      </c>
      <c r="X169" t="s">
        <v>30</v>
      </c>
      <c r="AC169" t="s">
        <v>601</v>
      </c>
      <c r="AE169" s="135"/>
    </row>
    <row r="170" spans="1:31" ht="12.5" customHeight="1" x14ac:dyDescent="0.35">
      <c r="A170" t="s">
        <v>396</v>
      </c>
      <c r="C170" t="s">
        <v>202</v>
      </c>
      <c r="D170" t="s">
        <v>385</v>
      </c>
      <c r="E170" s="133">
        <v>45839</v>
      </c>
      <c r="F170" s="2">
        <v>0.90340277777777767</v>
      </c>
      <c r="G170">
        <v>21</v>
      </c>
      <c r="H170" s="133">
        <v>45839</v>
      </c>
      <c r="I170" s="2">
        <v>0.40340277777777778</v>
      </c>
      <c r="J170">
        <v>9</v>
      </c>
      <c r="R170" t="s">
        <v>30</v>
      </c>
      <c r="W170">
        <v>1</v>
      </c>
      <c r="X170" t="s">
        <v>30</v>
      </c>
      <c r="AC170" t="s">
        <v>602</v>
      </c>
      <c r="AE170" s="135"/>
    </row>
    <row r="171" spans="1:31" ht="12.5" customHeight="1" x14ac:dyDescent="0.35">
      <c r="A171" t="s">
        <v>396</v>
      </c>
      <c r="C171" t="s">
        <v>204</v>
      </c>
      <c r="D171" t="s">
        <v>385</v>
      </c>
      <c r="E171" s="133">
        <v>45839</v>
      </c>
      <c r="F171" s="2">
        <v>0.90347222222222223</v>
      </c>
      <c r="G171">
        <v>21</v>
      </c>
      <c r="H171" s="133">
        <v>45839</v>
      </c>
      <c r="I171" s="2">
        <v>0.40347222222222223</v>
      </c>
      <c r="J171">
        <v>9</v>
      </c>
      <c r="R171" t="s">
        <v>30</v>
      </c>
      <c r="W171">
        <v>1</v>
      </c>
      <c r="X171" t="s">
        <v>30</v>
      </c>
      <c r="AC171" t="s">
        <v>603</v>
      </c>
      <c r="AE171" s="135"/>
    </row>
    <row r="172" spans="1:31" ht="12.5" customHeight="1" x14ac:dyDescent="0.35">
      <c r="A172" t="s">
        <v>396</v>
      </c>
      <c r="C172" t="s">
        <v>199</v>
      </c>
      <c r="D172" t="s">
        <v>385</v>
      </c>
      <c r="E172" s="133">
        <v>45839</v>
      </c>
      <c r="F172" s="2">
        <v>0.90363425925925922</v>
      </c>
      <c r="G172">
        <v>21</v>
      </c>
      <c r="H172" s="133">
        <v>45839</v>
      </c>
      <c r="I172" s="2">
        <v>0.40363425925925928</v>
      </c>
      <c r="J172">
        <v>9</v>
      </c>
      <c r="R172" t="s">
        <v>30</v>
      </c>
      <c r="W172">
        <v>1</v>
      </c>
      <c r="X172" t="s">
        <v>30</v>
      </c>
      <c r="AC172" t="s">
        <v>604</v>
      </c>
      <c r="AE172" s="135"/>
    </row>
    <row r="173" spans="1:31" ht="12.5" customHeight="1" x14ac:dyDescent="0.35">
      <c r="A173" t="s">
        <v>396</v>
      </c>
      <c r="C173" t="s">
        <v>203</v>
      </c>
      <c r="D173" t="s">
        <v>385</v>
      </c>
      <c r="E173" s="133">
        <v>45839</v>
      </c>
      <c r="F173" s="2">
        <v>0.90465277777777775</v>
      </c>
      <c r="G173">
        <v>21</v>
      </c>
      <c r="H173" s="133">
        <v>45839</v>
      </c>
      <c r="I173" s="2">
        <v>0.40465277777777775</v>
      </c>
      <c r="J173">
        <v>9</v>
      </c>
      <c r="R173" t="s">
        <v>30</v>
      </c>
      <c r="W173">
        <v>1</v>
      </c>
      <c r="X173" t="s">
        <v>30</v>
      </c>
      <c r="AC173" t="s">
        <v>605</v>
      </c>
      <c r="AE173" s="135"/>
    </row>
    <row r="174" spans="1:31" ht="12.5" customHeight="1" x14ac:dyDescent="0.35">
      <c r="A174" t="s">
        <v>396</v>
      </c>
      <c r="C174" t="s">
        <v>200</v>
      </c>
      <c r="D174" t="s">
        <v>385</v>
      </c>
      <c r="E174" s="133">
        <v>45839</v>
      </c>
      <c r="F174" s="2">
        <v>0.90590277777777783</v>
      </c>
      <c r="G174">
        <v>21</v>
      </c>
      <c r="H174" s="133">
        <v>45839</v>
      </c>
      <c r="I174" s="2">
        <v>0.40590277777777778</v>
      </c>
      <c r="J174">
        <v>9</v>
      </c>
      <c r="R174" t="s">
        <v>30</v>
      </c>
      <c r="W174">
        <v>1</v>
      </c>
      <c r="X174" t="s">
        <v>30</v>
      </c>
      <c r="AC174" t="s">
        <v>606</v>
      </c>
      <c r="AE174" s="135"/>
    </row>
    <row r="175" spans="1:31" ht="12.5" customHeight="1" x14ac:dyDescent="0.35">
      <c r="A175" t="s">
        <v>396</v>
      </c>
      <c r="C175" t="s">
        <v>207</v>
      </c>
      <c r="D175" t="s">
        <v>385</v>
      </c>
      <c r="E175" s="133">
        <v>45839</v>
      </c>
      <c r="F175" s="2">
        <v>0.90726851851851853</v>
      </c>
      <c r="G175">
        <v>21</v>
      </c>
      <c r="H175" s="133">
        <v>45839</v>
      </c>
      <c r="I175" s="2">
        <v>0.40726851851851853</v>
      </c>
      <c r="J175">
        <v>9</v>
      </c>
      <c r="R175" t="s">
        <v>30</v>
      </c>
      <c r="W175">
        <v>1</v>
      </c>
      <c r="X175" t="s">
        <v>30</v>
      </c>
      <c r="AC175" t="s">
        <v>607</v>
      </c>
      <c r="AE175" s="135"/>
    </row>
    <row r="176" spans="1:31" ht="12.5" customHeight="1" x14ac:dyDescent="0.35">
      <c r="A176" t="s">
        <v>396</v>
      </c>
      <c r="C176" t="s">
        <v>208</v>
      </c>
      <c r="D176" t="s">
        <v>385</v>
      </c>
      <c r="E176" s="133">
        <v>45839</v>
      </c>
      <c r="F176" s="2">
        <v>0.90895833333333342</v>
      </c>
      <c r="G176">
        <v>21</v>
      </c>
      <c r="H176" s="133">
        <v>45839</v>
      </c>
      <c r="I176" s="2">
        <v>0.40895833333333331</v>
      </c>
      <c r="J176">
        <v>9</v>
      </c>
      <c r="R176" t="s">
        <v>30</v>
      </c>
      <c r="W176">
        <v>1</v>
      </c>
      <c r="X176" t="s">
        <v>30</v>
      </c>
      <c r="AC176" t="s">
        <v>608</v>
      </c>
      <c r="AE176" s="135"/>
    </row>
    <row r="177" spans="1:31" ht="12.5" customHeight="1" x14ac:dyDescent="0.35">
      <c r="A177" t="s">
        <v>396</v>
      </c>
      <c r="C177" t="s">
        <v>205</v>
      </c>
      <c r="D177" t="s">
        <v>385</v>
      </c>
      <c r="E177" s="133">
        <v>45839</v>
      </c>
      <c r="F177" s="2">
        <v>0.91129629629629638</v>
      </c>
      <c r="G177">
        <v>21</v>
      </c>
      <c r="H177" s="133">
        <v>45839</v>
      </c>
      <c r="I177" s="2">
        <v>0.41129629629629627</v>
      </c>
      <c r="J177">
        <v>9</v>
      </c>
      <c r="R177" t="s">
        <v>30</v>
      </c>
      <c r="W177">
        <v>1</v>
      </c>
      <c r="X177" t="s">
        <v>30</v>
      </c>
      <c r="AC177" t="s">
        <v>609</v>
      </c>
      <c r="AE177" s="135"/>
    </row>
    <row r="178" spans="1:31" ht="12.5" customHeight="1" x14ac:dyDescent="0.35">
      <c r="A178" t="s">
        <v>396</v>
      </c>
      <c r="C178" t="s">
        <v>206</v>
      </c>
      <c r="D178" t="s">
        <v>385</v>
      </c>
      <c r="E178" s="133">
        <v>45839</v>
      </c>
      <c r="F178" s="2">
        <v>0.91969907407407403</v>
      </c>
      <c r="G178">
        <v>22</v>
      </c>
      <c r="H178" s="133">
        <v>45839</v>
      </c>
      <c r="I178" s="2">
        <v>0.41969907407407409</v>
      </c>
      <c r="J178">
        <v>10</v>
      </c>
      <c r="R178" t="s">
        <v>30</v>
      </c>
      <c r="W178">
        <v>1</v>
      </c>
      <c r="X178" t="s">
        <v>30</v>
      </c>
      <c r="AC178" t="s">
        <v>610</v>
      </c>
      <c r="AE178" s="135"/>
    </row>
    <row r="179" spans="1:31" ht="12.5" customHeight="1" x14ac:dyDescent="0.35">
      <c r="A179" t="s">
        <v>396</v>
      </c>
      <c r="C179" t="s">
        <v>213</v>
      </c>
      <c r="D179" t="s">
        <v>385</v>
      </c>
      <c r="E179" s="133">
        <v>45839</v>
      </c>
      <c r="F179" s="2">
        <v>0.92122685185185194</v>
      </c>
      <c r="G179">
        <v>22</v>
      </c>
      <c r="H179" s="133">
        <v>45839</v>
      </c>
      <c r="I179" s="2">
        <v>0.42122685185185182</v>
      </c>
      <c r="J179">
        <v>10</v>
      </c>
      <c r="R179" t="s">
        <v>30</v>
      </c>
      <c r="W179">
        <v>1</v>
      </c>
      <c r="X179" t="s">
        <v>30</v>
      </c>
      <c r="AC179" t="s">
        <v>611</v>
      </c>
      <c r="AE179" s="135"/>
    </row>
    <row r="180" spans="1:31" ht="12.5" customHeight="1" x14ac:dyDescent="0.35">
      <c r="A180" t="s">
        <v>396</v>
      </c>
      <c r="C180" t="s">
        <v>209</v>
      </c>
      <c r="D180" t="s">
        <v>385</v>
      </c>
      <c r="E180" s="133">
        <v>45839</v>
      </c>
      <c r="F180" s="2">
        <v>0.92333333333333334</v>
      </c>
      <c r="G180">
        <v>22</v>
      </c>
      <c r="H180" s="133">
        <v>45839</v>
      </c>
      <c r="I180" s="2">
        <v>0.42333333333333334</v>
      </c>
      <c r="J180">
        <v>10</v>
      </c>
      <c r="R180" t="s">
        <v>30</v>
      </c>
      <c r="W180">
        <v>1</v>
      </c>
      <c r="X180" t="s">
        <v>30</v>
      </c>
      <c r="AC180" t="s">
        <v>612</v>
      </c>
      <c r="AE180" s="135"/>
    </row>
    <row r="181" spans="1:31" ht="12.5" customHeight="1" x14ac:dyDescent="0.35">
      <c r="A181" t="s">
        <v>396</v>
      </c>
      <c r="C181" t="s">
        <v>212</v>
      </c>
      <c r="D181" t="s">
        <v>385</v>
      </c>
      <c r="E181" s="133">
        <v>45839</v>
      </c>
      <c r="F181" s="2">
        <v>0.92388888888888887</v>
      </c>
      <c r="G181">
        <v>22</v>
      </c>
      <c r="H181" s="133">
        <v>45839</v>
      </c>
      <c r="I181" s="2">
        <v>0.42388888888888893</v>
      </c>
      <c r="J181">
        <v>10</v>
      </c>
      <c r="R181" t="s">
        <v>30</v>
      </c>
      <c r="W181">
        <v>1</v>
      </c>
      <c r="X181" t="s">
        <v>30</v>
      </c>
      <c r="AC181" t="s">
        <v>613</v>
      </c>
      <c r="AE181" s="135"/>
    </row>
    <row r="182" spans="1:31" ht="12.5" customHeight="1" x14ac:dyDescent="0.35">
      <c r="A182" t="s">
        <v>396</v>
      </c>
      <c r="C182" t="s">
        <v>210</v>
      </c>
      <c r="D182" t="s">
        <v>385</v>
      </c>
      <c r="E182" s="133">
        <v>45839</v>
      </c>
      <c r="F182" s="2">
        <v>0.92437499999999995</v>
      </c>
      <c r="G182">
        <v>22</v>
      </c>
      <c r="H182" s="133">
        <v>45839</v>
      </c>
      <c r="I182" s="2">
        <v>0.424375</v>
      </c>
      <c r="J182">
        <v>10</v>
      </c>
      <c r="R182" t="s">
        <v>30</v>
      </c>
      <c r="W182">
        <v>1</v>
      </c>
      <c r="X182" t="s">
        <v>30</v>
      </c>
      <c r="AC182" t="s">
        <v>614</v>
      </c>
      <c r="AE182" s="135"/>
    </row>
    <row r="183" spans="1:31" ht="12.5" customHeight="1" x14ac:dyDescent="0.35">
      <c r="A183" t="s">
        <v>396</v>
      </c>
      <c r="C183" t="s">
        <v>211</v>
      </c>
      <c r="D183" t="s">
        <v>385</v>
      </c>
      <c r="E183" s="133">
        <v>45839</v>
      </c>
      <c r="F183" s="2">
        <v>0.92462962962962969</v>
      </c>
      <c r="G183">
        <v>22</v>
      </c>
      <c r="H183" s="133">
        <v>45839</v>
      </c>
      <c r="I183" s="2">
        <v>0.42462962962962963</v>
      </c>
      <c r="J183">
        <v>10</v>
      </c>
      <c r="R183" t="s">
        <v>30</v>
      </c>
      <c r="W183">
        <v>1</v>
      </c>
      <c r="X183" t="s">
        <v>30</v>
      </c>
      <c r="AC183" t="s">
        <v>615</v>
      </c>
      <c r="AE183" s="135"/>
    </row>
    <row r="184" spans="1:31" ht="12.5" customHeight="1" x14ac:dyDescent="0.35">
      <c r="A184" t="s">
        <v>396</v>
      </c>
      <c r="C184" t="s">
        <v>214</v>
      </c>
      <c r="D184" t="s">
        <v>385</v>
      </c>
      <c r="E184" s="133">
        <v>45839</v>
      </c>
      <c r="F184" s="2">
        <v>0.93053240740740739</v>
      </c>
      <c r="G184">
        <v>22</v>
      </c>
      <c r="H184" s="133">
        <v>45839</v>
      </c>
      <c r="I184" s="2">
        <v>0.43053240740740745</v>
      </c>
      <c r="J184">
        <v>10</v>
      </c>
      <c r="R184" t="s">
        <v>30</v>
      </c>
      <c r="W184">
        <v>1</v>
      </c>
      <c r="X184" t="s">
        <v>30</v>
      </c>
      <c r="AC184" t="s">
        <v>616</v>
      </c>
      <c r="AE184" s="135"/>
    </row>
    <row r="185" spans="1:31" ht="12.5" customHeight="1" x14ac:dyDescent="0.35">
      <c r="A185" t="s">
        <v>396</v>
      </c>
      <c r="C185" t="s">
        <v>215</v>
      </c>
      <c r="D185" t="s">
        <v>385</v>
      </c>
      <c r="E185" s="133">
        <v>45839</v>
      </c>
      <c r="F185" s="2">
        <v>0.93101851851851858</v>
      </c>
      <c r="G185">
        <v>22</v>
      </c>
      <c r="H185" s="133">
        <v>45839</v>
      </c>
      <c r="I185" s="2">
        <v>0.43101851851851852</v>
      </c>
      <c r="J185">
        <v>10</v>
      </c>
      <c r="R185" t="s">
        <v>30</v>
      </c>
      <c r="W185">
        <v>1</v>
      </c>
      <c r="X185" t="s">
        <v>30</v>
      </c>
      <c r="AC185" t="s">
        <v>617</v>
      </c>
      <c r="AE185" s="135"/>
    </row>
    <row r="186" spans="1:31" ht="12.5" customHeight="1" x14ac:dyDescent="0.35">
      <c r="A186" t="s">
        <v>396</v>
      </c>
      <c r="C186" t="s">
        <v>217</v>
      </c>
      <c r="D186" t="s">
        <v>385</v>
      </c>
      <c r="E186" s="133">
        <v>45839</v>
      </c>
      <c r="F186" s="2">
        <v>0.93398148148148152</v>
      </c>
      <c r="G186">
        <v>22</v>
      </c>
      <c r="H186" s="133">
        <v>45839</v>
      </c>
      <c r="I186" s="2">
        <v>0.43398148148148147</v>
      </c>
      <c r="J186">
        <v>10</v>
      </c>
      <c r="R186" t="s">
        <v>30</v>
      </c>
      <c r="W186">
        <v>1</v>
      </c>
      <c r="X186" t="s">
        <v>30</v>
      </c>
      <c r="AC186" t="s">
        <v>618</v>
      </c>
      <c r="AE186" s="135"/>
    </row>
    <row r="187" spans="1:31" ht="12.5" customHeight="1" x14ac:dyDescent="0.35">
      <c r="A187" t="s">
        <v>396</v>
      </c>
      <c r="C187" t="s">
        <v>220</v>
      </c>
      <c r="D187" t="s">
        <v>385</v>
      </c>
      <c r="E187" s="133">
        <v>45839</v>
      </c>
      <c r="F187" s="2">
        <v>0.93877314814814816</v>
      </c>
      <c r="G187">
        <v>22</v>
      </c>
      <c r="H187" s="133">
        <v>45839</v>
      </c>
      <c r="I187" s="2">
        <v>0.43877314814814811</v>
      </c>
      <c r="J187">
        <v>10</v>
      </c>
      <c r="R187" t="s">
        <v>30</v>
      </c>
      <c r="W187">
        <v>1</v>
      </c>
      <c r="X187" t="s">
        <v>30</v>
      </c>
      <c r="AC187" t="s">
        <v>619</v>
      </c>
      <c r="AE187" s="135"/>
    </row>
    <row r="188" spans="1:31" ht="12.5" customHeight="1" x14ac:dyDescent="0.35">
      <c r="A188" t="s">
        <v>396</v>
      </c>
      <c r="C188" t="s">
        <v>216</v>
      </c>
      <c r="D188" t="s">
        <v>385</v>
      </c>
      <c r="E188" s="133">
        <v>45839</v>
      </c>
      <c r="F188" s="2">
        <v>0.94291666666666663</v>
      </c>
      <c r="G188">
        <v>22</v>
      </c>
      <c r="H188" s="133">
        <v>45839</v>
      </c>
      <c r="I188" s="2">
        <v>0.44291666666666668</v>
      </c>
      <c r="J188">
        <v>10</v>
      </c>
      <c r="R188" t="s">
        <v>30</v>
      </c>
      <c r="W188">
        <v>1</v>
      </c>
      <c r="X188" t="s">
        <v>30</v>
      </c>
      <c r="AC188" t="s">
        <v>620</v>
      </c>
      <c r="AE188" s="135"/>
    </row>
    <row r="189" spans="1:31" ht="12.5" customHeight="1" x14ac:dyDescent="0.35">
      <c r="A189" t="s">
        <v>396</v>
      </c>
      <c r="C189" t="s">
        <v>219</v>
      </c>
      <c r="D189" t="s">
        <v>385</v>
      </c>
      <c r="E189" s="133">
        <v>45839</v>
      </c>
      <c r="F189" s="2">
        <v>0.94347222222222227</v>
      </c>
      <c r="G189">
        <v>22</v>
      </c>
      <c r="H189" s="133">
        <v>45839</v>
      </c>
      <c r="I189" s="2">
        <v>0.44347222222222221</v>
      </c>
      <c r="J189">
        <v>10</v>
      </c>
      <c r="R189" t="s">
        <v>30</v>
      </c>
      <c r="W189">
        <v>1</v>
      </c>
      <c r="X189" t="s">
        <v>30</v>
      </c>
      <c r="AC189" t="s">
        <v>621</v>
      </c>
      <c r="AE189" s="135"/>
    </row>
    <row r="190" spans="1:31" ht="12.5" customHeight="1" x14ac:dyDescent="0.35">
      <c r="A190" t="s">
        <v>396</v>
      </c>
      <c r="C190" t="s">
        <v>218</v>
      </c>
      <c r="D190" t="s">
        <v>385</v>
      </c>
      <c r="E190" s="133">
        <v>45839</v>
      </c>
      <c r="F190" s="2">
        <v>0.94587962962962957</v>
      </c>
      <c r="G190">
        <v>22</v>
      </c>
      <c r="H190" s="133">
        <v>45839</v>
      </c>
      <c r="I190" s="2">
        <v>0.44587962962962963</v>
      </c>
      <c r="J190">
        <v>10</v>
      </c>
      <c r="R190" t="s">
        <v>30</v>
      </c>
      <c r="W190">
        <v>1</v>
      </c>
      <c r="X190" t="s">
        <v>30</v>
      </c>
      <c r="AC190" t="s">
        <v>622</v>
      </c>
      <c r="AE190" s="135"/>
    </row>
    <row r="191" spans="1:31" ht="12.5" customHeight="1" x14ac:dyDescent="0.35">
      <c r="A191" t="s">
        <v>396</v>
      </c>
      <c r="C191" t="s">
        <v>222</v>
      </c>
      <c r="D191" t="s">
        <v>385</v>
      </c>
      <c r="E191" s="133">
        <v>45839</v>
      </c>
      <c r="F191" s="2">
        <v>0.95111111111111113</v>
      </c>
      <c r="G191">
        <v>22</v>
      </c>
      <c r="H191" s="133">
        <v>45839</v>
      </c>
      <c r="I191" s="2">
        <v>0.45111111111111107</v>
      </c>
      <c r="J191">
        <v>10</v>
      </c>
      <c r="R191" t="s">
        <v>30</v>
      </c>
      <c r="W191">
        <v>1</v>
      </c>
      <c r="X191" t="s">
        <v>30</v>
      </c>
      <c r="AC191" t="s">
        <v>623</v>
      </c>
      <c r="AE191" s="135"/>
    </row>
    <row r="192" spans="1:31" ht="12.5" customHeight="1" x14ac:dyDescent="0.35">
      <c r="A192" t="s">
        <v>396</v>
      </c>
      <c r="C192" t="s">
        <v>221</v>
      </c>
      <c r="D192" t="s">
        <v>385</v>
      </c>
      <c r="E192" s="133">
        <v>45839</v>
      </c>
      <c r="F192" s="2">
        <v>0.95412037037037034</v>
      </c>
      <c r="G192">
        <v>22</v>
      </c>
      <c r="H192" s="133">
        <v>45839</v>
      </c>
      <c r="I192" s="2">
        <v>0.4541203703703704</v>
      </c>
      <c r="J192">
        <v>10</v>
      </c>
      <c r="R192" t="s">
        <v>30</v>
      </c>
      <c r="W192">
        <v>1</v>
      </c>
      <c r="X192" t="s">
        <v>30</v>
      </c>
      <c r="AC192" t="s">
        <v>624</v>
      </c>
      <c r="AE192" s="135"/>
    </row>
    <row r="193" spans="1:31" ht="12.5" customHeight="1" x14ac:dyDescent="0.35">
      <c r="A193" t="s">
        <v>396</v>
      </c>
      <c r="C193" t="s">
        <v>223</v>
      </c>
      <c r="D193" t="s">
        <v>385</v>
      </c>
      <c r="E193" s="133">
        <v>45839</v>
      </c>
      <c r="F193" s="2">
        <v>0.95479166666666659</v>
      </c>
      <c r="G193">
        <v>22</v>
      </c>
      <c r="H193" s="133">
        <v>45839</v>
      </c>
      <c r="I193" s="2">
        <v>0.45479166666666665</v>
      </c>
      <c r="J193">
        <v>10</v>
      </c>
      <c r="K193" t="s">
        <v>388</v>
      </c>
      <c r="R193" t="s">
        <v>384</v>
      </c>
      <c r="S193">
        <v>28</v>
      </c>
      <c r="T193">
        <v>21</v>
      </c>
      <c r="U193" t="s">
        <v>453</v>
      </c>
      <c r="V193" t="s">
        <v>625</v>
      </c>
      <c r="W193">
        <v>1</v>
      </c>
      <c r="X193" t="s">
        <v>282</v>
      </c>
      <c r="AC193" t="s">
        <v>626</v>
      </c>
      <c r="AE193" s="135"/>
    </row>
    <row r="194" spans="1:31" ht="12.5" customHeight="1" x14ac:dyDescent="0.35">
      <c r="A194" t="s">
        <v>396</v>
      </c>
      <c r="C194" t="s">
        <v>225</v>
      </c>
      <c r="D194" t="s">
        <v>385</v>
      </c>
      <c r="E194" s="133">
        <v>45839</v>
      </c>
      <c r="F194" s="2">
        <v>0.95497685185185188</v>
      </c>
      <c r="G194">
        <v>22</v>
      </c>
      <c r="H194" s="133">
        <v>45839</v>
      </c>
      <c r="I194" s="2">
        <v>0.45497685185185183</v>
      </c>
      <c r="J194">
        <v>10</v>
      </c>
      <c r="K194" t="s">
        <v>387</v>
      </c>
      <c r="L194" t="s">
        <v>388</v>
      </c>
      <c r="R194" t="s">
        <v>384</v>
      </c>
      <c r="S194">
        <v>31</v>
      </c>
      <c r="T194">
        <v>21</v>
      </c>
      <c r="U194" t="s">
        <v>627</v>
      </c>
      <c r="V194" t="s">
        <v>628</v>
      </c>
      <c r="W194">
        <v>1</v>
      </c>
      <c r="X194" t="s">
        <v>282</v>
      </c>
      <c r="AC194" t="s">
        <v>629</v>
      </c>
      <c r="AE194" s="135"/>
    </row>
    <row r="195" spans="1:31" ht="12.5" customHeight="1" x14ac:dyDescent="0.35">
      <c r="A195" t="s">
        <v>396</v>
      </c>
      <c r="C195" t="s">
        <v>228</v>
      </c>
      <c r="D195" t="s">
        <v>385</v>
      </c>
      <c r="E195" s="133">
        <v>45839</v>
      </c>
      <c r="F195" s="2">
        <v>0.95509259259259249</v>
      </c>
      <c r="G195">
        <v>22</v>
      </c>
      <c r="H195" s="133">
        <v>45839</v>
      </c>
      <c r="I195" s="2">
        <v>0.4550925925925926</v>
      </c>
      <c r="J195">
        <v>10</v>
      </c>
      <c r="K195" t="s">
        <v>388</v>
      </c>
      <c r="R195" t="s">
        <v>384</v>
      </c>
      <c r="S195">
        <v>31</v>
      </c>
      <c r="T195">
        <v>29</v>
      </c>
      <c r="U195" t="s">
        <v>630</v>
      </c>
      <c r="V195" t="s">
        <v>631</v>
      </c>
      <c r="W195">
        <v>1</v>
      </c>
      <c r="X195" t="s">
        <v>383</v>
      </c>
      <c r="AC195" t="s">
        <v>632</v>
      </c>
      <c r="AE195" s="135"/>
    </row>
    <row r="196" spans="1:31" ht="12.5" customHeight="1" x14ac:dyDescent="0.35">
      <c r="A196" t="s">
        <v>396</v>
      </c>
      <c r="C196" t="s">
        <v>224</v>
      </c>
      <c r="D196" t="s">
        <v>385</v>
      </c>
      <c r="E196" s="133">
        <v>45839</v>
      </c>
      <c r="F196" s="2">
        <v>0.95527777777777778</v>
      </c>
      <c r="G196">
        <v>22</v>
      </c>
      <c r="H196" s="133">
        <v>45839</v>
      </c>
      <c r="I196" s="2">
        <v>0.45527777777777773</v>
      </c>
      <c r="J196">
        <v>10</v>
      </c>
      <c r="R196" t="s">
        <v>384</v>
      </c>
      <c r="S196">
        <v>23</v>
      </c>
      <c r="T196">
        <v>23</v>
      </c>
      <c r="U196">
        <v>1</v>
      </c>
      <c r="V196" t="s">
        <v>633</v>
      </c>
      <c r="W196">
        <v>1</v>
      </c>
      <c r="X196" t="s">
        <v>282</v>
      </c>
      <c r="AC196" t="s">
        <v>634</v>
      </c>
      <c r="AE196" s="135"/>
    </row>
    <row r="197" spans="1:31" ht="12.5" customHeight="1" x14ac:dyDescent="0.35">
      <c r="A197" t="s">
        <v>396</v>
      </c>
      <c r="C197" t="s">
        <v>226</v>
      </c>
      <c r="D197" t="s">
        <v>385</v>
      </c>
      <c r="E197" s="133">
        <v>45839</v>
      </c>
      <c r="F197" s="2">
        <v>0.95541666666666669</v>
      </c>
      <c r="G197">
        <v>22</v>
      </c>
      <c r="H197" s="133">
        <v>45839</v>
      </c>
      <c r="I197" s="2">
        <v>0.45541666666666664</v>
      </c>
      <c r="J197">
        <v>10</v>
      </c>
      <c r="K197" t="s">
        <v>635</v>
      </c>
      <c r="R197" t="s">
        <v>384</v>
      </c>
      <c r="S197">
        <v>28</v>
      </c>
      <c r="T197">
        <v>22</v>
      </c>
      <c r="U197" t="s">
        <v>636</v>
      </c>
      <c r="V197" t="s">
        <v>637</v>
      </c>
      <c r="W197">
        <v>1</v>
      </c>
      <c r="X197" t="s">
        <v>282</v>
      </c>
      <c r="AC197" t="s">
        <v>638</v>
      </c>
      <c r="AE197" s="135"/>
    </row>
    <row r="198" spans="1:31" ht="12.5" customHeight="1" x14ac:dyDescent="0.35">
      <c r="A198" t="s">
        <v>396</v>
      </c>
      <c r="C198" t="s">
        <v>227</v>
      </c>
      <c r="D198" t="s">
        <v>385</v>
      </c>
      <c r="E198" s="133">
        <v>45839</v>
      </c>
      <c r="F198" s="2">
        <v>0.95550925925925922</v>
      </c>
      <c r="G198">
        <v>22</v>
      </c>
      <c r="H198" s="133">
        <v>45839</v>
      </c>
      <c r="I198" s="2">
        <v>0.45550925925925928</v>
      </c>
      <c r="J198">
        <v>10</v>
      </c>
      <c r="K198" t="s">
        <v>387</v>
      </c>
      <c r="R198" t="s">
        <v>384</v>
      </c>
      <c r="S198">
        <v>10</v>
      </c>
      <c r="T198">
        <v>10</v>
      </c>
      <c r="U198">
        <v>1</v>
      </c>
      <c r="V198" t="s">
        <v>639</v>
      </c>
      <c r="W198">
        <v>1</v>
      </c>
      <c r="X198" t="s">
        <v>383</v>
      </c>
      <c r="AC198" t="s">
        <v>640</v>
      </c>
      <c r="AE198" s="135"/>
    </row>
    <row r="199" spans="1:31" ht="12.5" customHeight="1" x14ac:dyDescent="0.35">
      <c r="A199" t="s">
        <v>396</v>
      </c>
      <c r="C199" t="s">
        <v>229</v>
      </c>
      <c r="D199" t="s">
        <v>385</v>
      </c>
      <c r="E199" s="133">
        <v>45839</v>
      </c>
      <c r="F199" s="2">
        <v>0.95560185185185187</v>
      </c>
      <c r="G199">
        <v>22</v>
      </c>
      <c r="H199" s="133">
        <v>45839</v>
      </c>
      <c r="I199" s="2">
        <v>0.45560185185185187</v>
      </c>
      <c r="J199">
        <v>10</v>
      </c>
      <c r="K199" t="s">
        <v>384</v>
      </c>
      <c r="R199" t="s">
        <v>388</v>
      </c>
      <c r="S199">
        <v>18</v>
      </c>
      <c r="T199">
        <v>8</v>
      </c>
      <c r="U199" t="s">
        <v>641</v>
      </c>
      <c r="V199" t="s">
        <v>642</v>
      </c>
      <c r="W199">
        <v>1</v>
      </c>
      <c r="X199" t="s">
        <v>282</v>
      </c>
      <c r="AC199" t="s">
        <v>643</v>
      </c>
      <c r="AE199" s="135"/>
    </row>
    <row r="200" spans="1:31" ht="12.5" customHeight="1" x14ac:dyDescent="0.35">
      <c r="A200" t="s">
        <v>396</v>
      </c>
      <c r="C200" t="s">
        <v>231</v>
      </c>
      <c r="D200" t="s">
        <v>385</v>
      </c>
      <c r="E200" s="133">
        <v>45839</v>
      </c>
      <c r="F200" s="2">
        <v>0.95666666666666667</v>
      </c>
      <c r="G200">
        <v>22</v>
      </c>
      <c r="H200" s="133">
        <v>45839</v>
      </c>
      <c r="I200" s="2">
        <v>0.45666666666666672</v>
      </c>
      <c r="J200">
        <v>10</v>
      </c>
      <c r="K200" t="s">
        <v>434</v>
      </c>
      <c r="R200" t="s">
        <v>384</v>
      </c>
      <c r="S200">
        <v>16</v>
      </c>
      <c r="T200">
        <v>9</v>
      </c>
      <c r="U200" t="s">
        <v>644</v>
      </c>
      <c r="V200" t="s">
        <v>645</v>
      </c>
      <c r="W200">
        <v>1</v>
      </c>
      <c r="X200" t="s">
        <v>282</v>
      </c>
      <c r="AC200" t="s">
        <v>646</v>
      </c>
      <c r="AE200" s="135"/>
    </row>
    <row r="201" spans="1:31" ht="12.5" customHeight="1" x14ac:dyDescent="0.35">
      <c r="A201" t="s">
        <v>396</v>
      </c>
      <c r="C201" t="s">
        <v>230</v>
      </c>
      <c r="D201" t="s">
        <v>385</v>
      </c>
      <c r="E201" s="133">
        <v>45839</v>
      </c>
      <c r="F201" s="2">
        <v>0.95680555555555558</v>
      </c>
      <c r="G201">
        <v>22</v>
      </c>
      <c r="H201" s="133">
        <v>45839</v>
      </c>
      <c r="I201" s="2">
        <v>0.45680555555555552</v>
      </c>
      <c r="J201">
        <v>10</v>
      </c>
      <c r="K201" t="s">
        <v>434</v>
      </c>
      <c r="R201" t="s">
        <v>384</v>
      </c>
      <c r="S201">
        <v>16</v>
      </c>
      <c r="T201">
        <v>8</v>
      </c>
      <c r="U201" t="s">
        <v>449</v>
      </c>
      <c r="V201" t="s">
        <v>647</v>
      </c>
      <c r="W201">
        <v>1</v>
      </c>
      <c r="X201" t="s">
        <v>383</v>
      </c>
      <c r="AC201" t="s">
        <v>648</v>
      </c>
      <c r="AE201" s="135"/>
    </row>
    <row r="202" spans="1:31" ht="12.5" customHeight="1" x14ac:dyDescent="0.35">
      <c r="A202" t="s">
        <v>396</v>
      </c>
      <c r="C202" t="s">
        <v>232</v>
      </c>
      <c r="D202" t="s">
        <v>385</v>
      </c>
      <c r="E202" s="133">
        <v>45839</v>
      </c>
      <c r="F202" s="2">
        <v>0.95687500000000003</v>
      </c>
      <c r="G202">
        <v>22</v>
      </c>
      <c r="H202" s="133">
        <v>45839</v>
      </c>
      <c r="I202" s="2">
        <v>0.45687499999999998</v>
      </c>
      <c r="J202">
        <v>10</v>
      </c>
      <c r="R202" t="s">
        <v>432</v>
      </c>
      <c r="S202">
        <v>10</v>
      </c>
      <c r="T202">
        <v>0</v>
      </c>
      <c r="U202">
        <v>0</v>
      </c>
      <c r="V202">
        <v>0</v>
      </c>
      <c r="W202">
        <v>1</v>
      </c>
      <c r="X202" t="s">
        <v>282</v>
      </c>
      <c r="AC202" t="s">
        <v>649</v>
      </c>
      <c r="AE202" s="135"/>
    </row>
    <row r="203" spans="1:31" ht="12.5" customHeight="1" x14ac:dyDescent="0.35">
      <c r="A203" t="s">
        <v>396</v>
      </c>
      <c r="C203" t="s">
        <v>233</v>
      </c>
      <c r="D203" t="s">
        <v>385</v>
      </c>
      <c r="E203" s="133">
        <v>45839</v>
      </c>
      <c r="F203" s="2">
        <v>0.95703703703703702</v>
      </c>
      <c r="G203">
        <v>22</v>
      </c>
      <c r="H203" s="133">
        <v>45839</v>
      </c>
      <c r="I203" s="2">
        <v>0.45703703703703707</v>
      </c>
      <c r="J203">
        <v>10</v>
      </c>
      <c r="K203" t="s">
        <v>434</v>
      </c>
      <c r="R203" t="s">
        <v>384</v>
      </c>
      <c r="S203">
        <v>20</v>
      </c>
      <c r="T203">
        <v>13</v>
      </c>
      <c r="U203" t="s">
        <v>650</v>
      </c>
      <c r="V203" t="s">
        <v>651</v>
      </c>
      <c r="W203">
        <v>1</v>
      </c>
      <c r="X203" t="s">
        <v>282</v>
      </c>
      <c r="AC203" t="s">
        <v>652</v>
      </c>
      <c r="AE203" s="135"/>
    </row>
    <row r="204" spans="1:31" ht="12.5" customHeight="1" x14ac:dyDescent="0.35">
      <c r="A204" t="s">
        <v>396</v>
      </c>
      <c r="C204" t="s">
        <v>235</v>
      </c>
      <c r="D204" t="s">
        <v>385</v>
      </c>
      <c r="E204" s="133">
        <v>45839</v>
      </c>
      <c r="F204" s="2">
        <v>0.95715277777777785</v>
      </c>
      <c r="G204">
        <v>22</v>
      </c>
      <c r="H204" s="133">
        <v>45839</v>
      </c>
      <c r="I204" s="2">
        <v>0.45715277777777774</v>
      </c>
      <c r="J204">
        <v>10</v>
      </c>
      <c r="K204" t="s">
        <v>434</v>
      </c>
      <c r="R204" t="s">
        <v>384</v>
      </c>
      <c r="S204">
        <v>15</v>
      </c>
      <c r="T204">
        <v>9</v>
      </c>
      <c r="U204" t="s">
        <v>653</v>
      </c>
      <c r="V204" t="s">
        <v>654</v>
      </c>
      <c r="W204">
        <v>1</v>
      </c>
      <c r="X204" t="s">
        <v>282</v>
      </c>
      <c r="AC204" t="s">
        <v>655</v>
      </c>
      <c r="AE204" s="135"/>
    </row>
    <row r="205" spans="1:31" ht="12.5" customHeight="1" x14ac:dyDescent="0.35">
      <c r="A205" t="s">
        <v>396</v>
      </c>
      <c r="C205" t="s">
        <v>234</v>
      </c>
      <c r="D205" t="s">
        <v>385</v>
      </c>
      <c r="E205" s="133">
        <v>45839</v>
      </c>
      <c r="F205" s="2">
        <v>0.95729166666666676</v>
      </c>
      <c r="G205">
        <v>22</v>
      </c>
      <c r="H205" s="133">
        <v>45839</v>
      </c>
      <c r="I205" s="2">
        <v>0.45729166666666665</v>
      </c>
      <c r="J205">
        <v>10</v>
      </c>
      <c r="R205" t="s">
        <v>384</v>
      </c>
      <c r="S205">
        <v>12</v>
      </c>
      <c r="T205">
        <v>10</v>
      </c>
      <c r="U205" t="s">
        <v>476</v>
      </c>
      <c r="V205" t="s">
        <v>656</v>
      </c>
      <c r="W205">
        <v>1</v>
      </c>
      <c r="X205" t="s">
        <v>282</v>
      </c>
      <c r="AC205" t="s">
        <v>657</v>
      </c>
      <c r="AE205" s="135"/>
    </row>
    <row r="206" spans="1:31" ht="12.5" customHeight="1" x14ac:dyDescent="0.35">
      <c r="A206" t="s">
        <v>396</v>
      </c>
      <c r="C206" t="s">
        <v>237</v>
      </c>
      <c r="D206" t="s">
        <v>385</v>
      </c>
      <c r="E206" s="133">
        <v>45839</v>
      </c>
      <c r="F206" s="2">
        <v>0.95747685185185183</v>
      </c>
      <c r="G206">
        <v>22</v>
      </c>
      <c r="H206" s="133">
        <v>45839</v>
      </c>
      <c r="I206" s="2">
        <v>0.45747685185185188</v>
      </c>
      <c r="J206">
        <v>10</v>
      </c>
      <c r="K206" t="s">
        <v>434</v>
      </c>
      <c r="R206" t="s">
        <v>384</v>
      </c>
      <c r="S206">
        <v>18</v>
      </c>
      <c r="T206">
        <v>9</v>
      </c>
      <c r="U206" t="s">
        <v>449</v>
      </c>
      <c r="V206" t="s">
        <v>658</v>
      </c>
      <c r="W206">
        <v>1</v>
      </c>
      <c r="X206" t="s">
        <v>383</v>
      </c>
      <c r="AC206" t="s">
        <v>659</v>
      </c>
      <c r="AE206" s="135"/>
    </row>
    <row r="207" spans="1:31" ht="12.5" customHeight="1" x14ac:dyDescent="0.35">
      <c r="A207" t="s">
        <v>396</v>
      </c>
      <c r="C207" t="s">
        <v>236</v>
      </c>
      <c r="D207" t="s">
        <v>385</v>
      </c>
      <c r="E207" s="133">
        <v>45839</v>
      </c>
      <c r="F207" s="2">
        <v>0.95756944444444436</v>
      </c>
      <c r="G207">
        <v>22</v>
      </c>
      <c r="H207" s="133">
        <v>45839</v>
      </c>
      <c r="I207" s="2">
        <v>0.45756944444444447</v>
      </c>
      <c r="J207">
        <v>10</v>
      </c>
      <c r="K207" t="s">
        <v>434</v>
      </c>
      <c r="R207" t="s">
        <v>384</v>
      </c>
      <c r="S207">
        <v>19</v>
      </c>
      <c r="T207">
        <v>7</v>
      </c>
      <c r="U207" t="s">
        <v>660</v>
      </c>
      <c r="V207" t="s">
        <v>661</v>
      </c>
      <c r="W207">
        <v>1</v>
      </c>
      <c r="X207" t="s">
        <v>282</v>
      </c>
      <c r="AC207" t="s">
        <v>662</v>
      </c>
      <c r="AE207" s="135"/>
    </row>
    <row r="208" spans="1:31" ht="12.5" customHeight="1" x14ac:dyDescent="0.35">
      <c r="A208" t="s">
        <v>396</v>
      </c>
      <c r="C208" t="s">
        <v>663</v>
      </c>
      <c r="D208" t="s">
        <v>385</v>
      </c>
      <c r="E208" s="133">
        <v>45839</v>
      </c>
      <c r="F208" s="2">
        <v>0.95770833333333327</v>
      </c>
      <c r="G208">
        <v>22</v>
      </c>
      <c r="H208" s="133">
        <v>45839</v>
      </c>
      <c r="I208" s="2">
        <v>0.45770833333333333</v>
      </c>
      <c r="J208">
        <v>10</v>
      </c>
      <c r="R208" t="s">
        <v>432</v>
      </c>
      <c r="S208">
        <v>14</v>
      </c>
      <c r="T208">
        <v>0</v>
      </c>
      <c r="U208">
        <v>0</v>
      </c>
      <c r="V208">
        <v>0</v>
      </c>
      <c r="W208">
        <v>1</v>
      </c>
      <c r="X208" t="s">
        <v>282</v>
      </c>
      <c r="AC208" t="s">
        <v>664</v>
      </c>
      <c r="AE208" s="135"/>
    </row>
    <row r="209" spans="1:31" ht="12.5" customHeight="1" x14ac:dyDescent="0.35">
      <c r="A209" t="s">
        <v>396</v>
      </c>
      <c r="C209" t="s">
        <v>665</v>
      </c>
      <c r="D209" t="s">
        <v>385</v>
      </c>
      <c r="E209" s="133">
        <v>45839</v>
      </c>
      <c r="F209" s="2">
        <v>0.95787037037037026</v>
      </c>
      <c r="G209">
        <v>22</v>
      </c>
      <c r="H209" s="133">
        <v>45839</v>
      </c>
      <c r="I209" s="2">
        <v>0.45787037037037037</v>
      </c>
      <c r="J209">
        <v>10</v>
      </c>
      <c r="K209" t="s">
        <v>434</v>
      </c>
      <c r="R209" t="s">
        <v>390</v>
      </c>
      <c r="S209">
        <v>7</v>
      </c>
      <c r="T209">
        <v>5</v>
      </c>
      <c r="U209" t="s">
        <v>395</v>
      </c>
      <c r="V209" t="s">
        <v>666</v>
      </c>
      <c r="W209">
        <v>1</v>
      </c>
      <c r="X209" t="s">
        <v>667</v>
      </c>
      <c r="AC209" t="s">
        <v>668</v>
      </c>
      <c r="AE209" s="135"/>
    </row>
    <row r="210" spans="1:31" ht="12.5" customHeight="1" x14ac:dyDescent="0.35">
      <c r="A210" t="s">
        <v>396</v>
      </c>
      <c r="C210" t="s">
        <v>669</v>
      </c>
      <c r="D210" t="s">
        <v>385</v>
      </c>
      <c r="E210" s="133">
        <v>45839</v>
      </c>
      <c r="F210" s="2">
        <v>0.95798611111111109</v>
      </c>
      <c r="G210">
        <v>22</v>
      </c>
      <c r="H210" s="133">
        <v>45839</v>
      </c>
      <c r="I210" s="2">
        <v>0.45798611111111115</v>
      </c>
      <c r="J210">
        <v>10</v>
      </c>
      <c r="K210" t="s">
        <v>434</v>
      </c>
      <c r="R210" t="s">
        <v>390</v>
      </c>
      <c r="S210">
        <v>12</v>
      </c>
      <c r="T210">
        <v>7</v>
      </c>
      <c r="U210" t="s">
        <v>670</v>
      </c>
      <c r="V210" t="s">
        <v>671</v>
      </c>
      <c r="W210">
        <v>1</v>
      </c>
      <c r="X210" t="s">
        <v>282</v>
      </c>
      <c r="AC210" t="s">
        <v>672</v>
      </c>
      <c r="AE210" s="135"/>
    </row>
    <row r="211" spans="1:31" ht="12.5" customHeight="1" x14ac:dyDescent="0.35">
      <c r="A211" t="s">
        <v>396</v>
      </c>
      <c r="C211" t="s">
        <v>673</v>
      </c>
      <c r="D211" t="s">
        <v>385</v>
      </c>
      <c r="E211" s="133">
        <v>45839</v>
      </c>
      <c r="F211" s="2">
        <v>0.95817129629629638</v>
      </c>
      <c r="G211">
        <v>22</v>
      </c>
      <c r="H211" s="133">
        <v>45839</v>
      </c>
      <c r="I211" s="2">
        <v>0.45817129629629627</v>
      </c>
      <c r="J211">
        <v>10</v>
      </c>
      <c r="R211" t="s">
        <v>384</v>
      </c>
      <c r="S211">
        <v>18</v>
      </c>
      <c r="T211">
        <v>9</v>
      </c>
      <c r="U211" t="s">
        <v>449</v>
      </c>
      <c r="V211" t="s">
        <v>674</v>
      </c>
      <c r="W211">
        <v>1</v>
      </c>
      <c r="X211" t="s">
        <v>383</v>
      </c>
      <c r="AC211" t="s">
        <v>675</v>
      </c>
      <c r="AE211" s="135"/>
    </row>
    <row r="212" spans="1:31" ht="12.5" customHeight="1" x14ac:dyDescent="0.35">
      <c r="A212" t="s">
        <v>396</v>
      </c>
      <c r="C212" t="s">
        <v>676</v>
      </c>
      <c r="D212" t="s">
        <v>385</v>
      </c>
      <c r="E212" s="133">
        <v>45839</v>
      </c>
      <c r="F212" s="2">
        <v>0.95824074074074073</v>
      </c>
      <c r="G212">
        <v>22</v>
      </c>
      <c r="H212" s="133">
        <v>45839</v>
      </c>
      <c r="I212" s="2">
        <v>0.45824074074074073</v>
      </c>
      <c r="J212">
        <v>10</v>
      </c>
      <c r="R212" t="s">
        <v>432</v>
      </c>
      <c r="S212">
        <v>23</v>
      </c>
      <c r="T212">
        <v>0</v>
      </c>
      <c r="U212">
        <v>0</v>
      </c>
      <c r="V212">
        <v>0</v>
      </c>
      <c r="W212">
        <v>1</v>
      </c>
      <c r="X212" t="s">
        <v>282</v>
      </c>
      <c r="AC212" t="s">
        <v>677</v>
      </c>
      <c r="AE212" s="135"/>
    </row>
    <row r="213" spans="1:31" ht="12.5" customHeight="1" x14ac:dyDescent="0.35">
      <c r="A213" t="s">
        <v>396</v>
      </c>
      <c r="C213" t="s">
        <v>678</v>
      </c>
      <c r="D213" t="s">
        <v>385</v>
      </c>
      <c r="E213" s="133">
        <v>45839</v>
      </c>
      <c r="F213" s="2">
        <v>0.95840277777777771</v>
      </c>
      <c r="G213">
        <v>23</v>
      </c>
      <c r="H213" s="133">
        <v>45839</v>
      </c>
      <c r="I213" s="2">
        <v>0.45840277777777777</v>
      </c>
      <c r="J213">
        <v>11</v>
      </c>
      <c r="R213" t="s">
        <v>384</v>
      </c>
      <c r="S213">
        <v>16</v>
      </c>
      <c r="T213">
        <v>8</v>
      </c>
      <c r="U213" t="s">
        <v>449</v>
      </c>
      <c r="V213" t="s">
        <v>679</v>
      </c>
      <c r="W213">
        <v>1</v>
      </c>
      <c r="X213" t="s">
        <v>282</v>
      </c>
      <c r="AC213" t="s">
        <v>680</v>
      </c>
      <c r="AE213" s="135"/>
    </row>
    <row r="214" spans="1:31" ht="12.5" customHeight="1" x14ac:dyDescent="0.35">
      <c r="A214" t="s">
        <v>396</v>
      </c>
      <c r="C214" t="s">
        <v>681</v>
      </c>
      <c r="D214" t="s">
        <v>385</v>
      </c>
      <c r="E214" s="133">
        <v>45839</v>
      </c>
      <c r="F214" s="2">
        <v>0.95849537037037036</v>
      </c>
      <c r="G214">
        <v>23</v>
      </c>
      <c r="H214" s="133">
        <v>45839</v>
      </c>
      <c r="I214" s="2">
        <v>0.45849537037037041</v>
      </c>
      <c r="J214">
        <v>11</v>
      </c>
      <c r="K214" t="s">
        <v>434</v>
      </c>
      <c r="R214" t="s">
        <v>384</v>
      </c>
      <c r="S214">
        <v>12</v>
      </c>
      <c r="T214">
        <v>8</v>
      </c>
      <c r="U214" t="s">
        <v>393</v>
      </c>
      <c r="V214" t="s">
        <v>682</v>
      </c>
      <c r="W214">
        <v>1</v>
      </c>
      <c r="X214" t="s">
        <v>282</v>
      </c>
      <c r="AC214" t="s">
        <v>683</v>
      </c>
      <c r="AE214" s="135"/>
    </row>
    <row r="215" spans="1:31" ht="12.5" customHeight="1" x14ac:dyDescent="0.35">
      <c r="A215" t="s">
        <v>396</v>
      </c>
      <c r="C215" t="s">
        <v>684</v>
      </c>
      <c r="D215" t="s">
        <v>385</v>
      </c>
      <c r="E215" s="133">
        <v>45839</v>
      </c>
      <c r="F215" s="2">
        <v>0.95861111111111119</v>
      </c>
      <c r="G215">
        <v>23</v>
      </c>
      <c r="H215" s="133">
        <v>45839</v>
      </c>
      <c r="I215" s="2">
        <v>0.45861111111111108</v>
      </c>
      <c r="J215">
        <v>11</v>
      </c>
      <c r="R215" t="s">
        <v>384</v>
      </c>
      <c r="S215">
        <v>9</v>
      </c>
      <c r="T215">
        <v>8</v>
      </c>
      <c r="U215" t="s">
        <v>389</v>
      </c>
      <c r="V215" t="s">
        <v>685</v>
      </c>
      <c r="W215">
        <v>1</v>
      </c>
      <c r="X215" t="s">
        <v>282</v>
      </c>
      <c r="AC215" t="s">
        <v>686</v>
      </c>
      <c r="AE215" s="135"/>
    </row>
    <row r="216" spans="1:31" ht="12.5" customHeight="1" x14ac:dyDescent="0.35">
      <c r="A216" t="s">
        <v>396</v>
      </c>
      <c r="C216" t="s">
        <v>687</v>
      </c>
      <c r="D216" t="s">
        <v>385</v>
      </c>
      <c r="E216" s="133">
        <v>45839</v>
      </c>
      <c r="F216" s="2">
        <v>0.95877314814814818</v>
      </c>
      <c r="G216">
        <v>23</v>
      </c>
      <c r="H216" s="133">
        <v>45839</v>
      </c>
      <c r="I216" s="2">
        <v>0.45877314814814812</v>
      </c>
      <c r="J216">
        <v>11</v>
      </c>
      <c r="K216" t="s">
        <v>434</v>
      </c>
      <c r="R216" t="s">
        <v>384</v>
      </c>
      <c r="S216">
        <v>18</v>
      </c>
      <c r="T216">
        <v>9</v>
      </c>
      <c r="U216" t="s">
        <v>449</v>
      </c>
      <c r="V216" t="s">
        <v>688</v>
      </c>
      <c r="W216">
        <v>1</v>
      </c>
      <c r="X216" t="s">
        <v>282</v>
      </c>
      <c r="AC216" t="s">
        <v>689</v>
      </c>
      <c r="AE216" s="135"/>
    </row>
    <row r="217" spans="1:31" ht="12.5" customHeight="1" x14ac:dyDescent="0.35">
      <c r="A217" t="s">
        <v>396</v>
      </c>
      <c r="C217" t="s">
        <v>690</v>
      </c>
      <c r="D217" t="s">
        <v>385</v>
      </c>
      <c r="E217" s="133">
        <v>45839</v>
      </c>
      <c r="F217" s="2">
        <v>0.95891203703703709</v>
      </c>
      <c r="G217">
        <v>23</v>
      </c>
      <c r="H217" s="133">
        <v>45839</v>
      </c>
      <c r="I217" s="2">
        <v>0.45891203703703703</v>
      </c>
      <c r="J217">
        <v>11</v>
      </c>
      <c r="K217" t="s">
        <v>434</v>
      </c>
      <c r="R217" t="s">
        <v>384</v>
      </c>
      <c r="S217">
        <v>13</v>
      </c>
      <c r="T217">
        <v>7</v>
      </c>
      <c r="U217" t="s">
        <v>691</v>
      </c>
      <c r="V217" t="s">
        <v>692</v>
      </c>
      <c r="W217">
        <v>1</v>
      </c>
      <c r="X217" t="s">
        <v>282</v>
      </c>
      <c r="AC217" t="s">
        <v>693</v>
      </c>
      <c r="AE217" s="135"/>
    </row>
    <row r="218" spans="1:31" ht="12.5" customHeight="1" x14ac:dyDescent="0.35">
      <c r="A218" t="s">
        <v>396</v>
      </c>
      <c r="C218" t="s">
        <v>694</v>
      </c>
      <c r="D218" t="s">
        <v>385</v>
      </c>
      <c r="E218" s="133">
        <v>45839</v>
      </c>
      <c r="F218" s="2">
        <v>0.95898148148148143</v>
      </c>
      <c r="G218">
        <v>23</v>
      </c>
      <c r="H218" s="133">
        <v>45839</v>
      </c>
      <c r="I218" s="2">
        <v>0.45898148148148149</v>
      </c>
      <c r="J218">
        <v>11</v>
      </c>
      <c r="K218" t="s">
        <v>434</v>
      </c>
      <c r="R218" t="s">
        <v>384</v>
      </c>
      <c r="S218">
        <v>9</v>
      </c>
      <c r="T218">
        <v>4</v>
      </c>
      <c r="U218" t="s">
        <v>641</v>
      </c>
      <c r="V218" t="s">
        <v>695</v>
      </c>
      <c r="W218">
        <v>1</v>
      </c>
      <c r="X218" t="s">
        <v>282</v>
      </c>
      <c r="AC218" t="s">
        <v>696</v>
      </c>
      <c r="AE218" s="135"/>
    </row>
    <row r="219" spans="1:31" ht="12.5" customHeight="1" x14ac:dyDescent="0.35">
      <c r="A219" t="s">
        <v>396</v>
      </c>
      <c r="C219" t="s">
        <v>697</v>
      </c>
      <c r="D219" t="s">
        <v>385</v>
      </c>
      <c r="E219" s="133">
        <v>45839</v>
      </c>
      <c r="F219" s="2">
        <v>0.95925925925925926</v>
      </c>
      <c r="G219">
        <v>23</v>
      </c>
      <c r="H219" s="133">
        <v>45839</v>
      </c>
      <c r="I219" s="2">
        <v>0.45925925925925926</v>
      </c>
      <c r="J219">
        <v>11</v>
      </c>
      <c r="K219" t="s">
        <v>434</v>
      </c>
      <c r="R219" t="s">
        <v>384</v>
      </c>
      <c r="S219">
        <v>10</v>
      </c>
      <c r="T219">
        <v>4</v>
      </c>
      <c r="U219" t="s">
        <v>698</v>
      </c>
      <c r="V219" t="s">
        <v>699</v>
      </c>
      <c r="W219">
        <v>1</v>
      </c>
      <c r="X219" t="s">
        <v>355</v>
      </c>
      <c r="AC219" t="s">
        <v>700</v>
      </c>
      <c r="AE219" s="135"/>
    </row>
    <row r="220" spans="1:31" ht="12.5" customHeight="1" x14ac:dyDescent="0.35">
      <c r="A220" t="s">
        <v>396</v>
      </c>
      <c r="C220" t="s">
        <v>701</v>
      </c>
      <c r="D220" t="s">
        <v>385</v>
      </c>
      <c r="E220" s="133">
        <v>45839</v>
      </c>
      <c r="F220" s="2">
        <v>0.95937499999999998</v>
      </c>
      <c r="G220">
        <v>23</v>
      </c>
      <c r="H220" s="133">
        <v>45839</v>
      </c>
      <c r="I220" s="2">
        <v>0.45937500000000003</v>
      </c>
      <c r="J220">
        <v>11</v>
      </c>
      <c r="K220" t="s">
        <v>390</v>
      </c>
      <c r="L220" t="s">
        <v>434</v>
      </c>
      <c r="R220" t="s">
        <v>384</v>
      </c>
      <c r="S220">
        <v>9</v>
      </c>
      <c r="T220">
        <v>4</v>
      </c>
      <c r="U220" t="s">
        <v>641</v>
      </c>
      <c r="V220" t="s">
        <v>702</v>
      </c>
      <c r="W220">
        <v>1</v>
      </c>
      <c r="X220" t="s">
        <v>355</v>
      </c>
      <c r="AC220" t="s">
        <v>703</v>
      </c>
      <c r="AE220" s="135"/>
    </row>
    <row r="221" spans="1:31" ht="12.5" customHeight="1" x14ac:dyDescent="0.35">
      <c r="A221" t="s">
        <v>396</v>
      </c>
      <c r="C221" t="s">
        <v>704</v>
      </c>
      <c r="D221" t="s">
        <v>385</v>
      </c>
      <c r="E221" s="133">
        <v>45839</v>
      </c>
      <c r="F221" s="2">
        <v>0.95946759259259251</v>
      </c>
      <c r="G221">
        <v>23</v>
      </c>
      <c r="H221" s="133">
        <v>45839</v>
      </c>
      <c r="I221" s="2">
        <v>0.45946759259259262</v>
      </c>
      <c r="J221">
        <v>11</v>
      </c>
      <c r="K221" t="s">
        <v>434</v>
      </c>
      <c r="R221" t="s">
        <v>384</v>
      </c>
      <c r="S221">
        <v>11</v>
      </c>
      <c r="T221">
        <v>5</v>
      </c>
      <c r="U221" t="s">
        <v>705</v>
      </c>
      <c r="V221" t="s">
        <v>706</v>
      </c>
      <c r="W221">
        <v>1</v>
      </c>
      <c r="X221" t="s">
        <v>383</v>
      </c>
      <c r="AC221" t="s">
        <v>707</v>
      </c>
      <c r="AE221" s="135"/>
    </row>
    <row r="222" spans="1:31" ht="12.5" customHeight="1" x14ac:dyDescent="0.35">
      <c r="A222" t="s">
        <v>396</v>
      </c>
      <c r="C222" t="s">
        <v>708</v>
      </c>
      <c r="D222" t="s">
        <v>385</v>
      </c>
      <c r="E222" s="133">
        <v>45839</v>
      </c>
      <c r="F222" s="2">
        <v>0.95953703703703708</v>
      </c>
      <c r="G222">
        <v>23</v>
      </c>
      <c r="H222" s="133">
        <v>45839</v>
      </c>
      <c r="I222" s="2">
        <v>0.45953703703703702</v>
      </c>
      <c r="J222">
        <v>11</v>
      </c>
      <c r="R222" t="s">
        <v>384</v>
      </c>
      <c r="S222">
        <v>14</v>
      </c>
      <c r="T222">
        <v>10</v>
      </c>
      <c r="U222" t="s">
        <v>395</v>
      </c>
      <c r="V222" t="s">
        <v>709</v>
      </c>
      <c r="W222">
        <v>1</v>
      </c>
      <c r="X222" t="s">
        <v>282</v>
      </c>
      <c r="AC222" t="s">
        <v>710</v>
      </c>
      <c r="AE222" s="135"/>
    </row>
    <row r="223" spans="1:31" ht="12.5" customHeight="1" x14ac:dyDescent="0.35">
      <c r="A223" t="s">
        <v>396</v>
      </c>
      <c r="C223" t="s">
        <v>711</v>
      </c>
      <c r="D223" t="s">
        <v>385</v>
      </c>
      <c r="E223" s="133">
        <v>45839</v>
      </c>
      <c r="F223" s="2">
        <v>0.95962962962962972</v>
      </c>
      <c r="G223">
        <v>23</v>
      </c>
      <c r="H223" s="133">
        <v>45839</v>
      </c>
      <c r="I223" s="2">
        <v>0.45962962962962961</v>
      </c>
      <c r="J223">
        <v>11</v>
      </c>
      <c r="R223" t="s">
        <v>384</v>
      </c>
      <c r="S223">
        <v>6</v>
      </c>
      <c r="T223">
        <v>3</v>
      </c>
      <c r="U223" t="s">
        <v>449</v>
      </c>
      <c r="V223" t="s">
        <v>712</v>
      </c>
      <c r="W223">
        <v>1</v>
      </c>
      <c r="X223" t="s">
        <v>282</v>
      </c>
      <c r="AC223" t="s">
        <v>713</v>
      </c>
      <c r="AE223" s="135"/>
    </row>
    <row r="224" spans="1:31" ht="12.5" customHeight="1" x14ac:dyDescent="0.35">
      <c r="A224" t="s">
        <v>396</v>
      </c>
      <c r="C224" t="s">
        <v>714</v>
      </c>
      <c r="D224" t="s">
        <v>385</v>
      </c>
      <c r="E224" s="133">
        <v>45839</v>
      </c>
      <c r="F224" s="2">
        <v>0.95974537037037033</v>
      </c>
      <c r="G224">
        <v>23</v>
      </c>
      <c r="H224" s="133">
        <v>45839</v>
      </c>
      <c r="I224" s="2">
        <v>0.45974537037037039</v>
      </c>
      <c r="J224">
        <v>11</v>
      </c>
      <c r="R224" t="s">
        <v>384</v>
      </c>
      <c r="S224">
        <v>11</v>
      </c>
      <c r="T224">
        <v>11</v>
      </c>
      <c r="U224">
        <v>1</v>
      </c>
      <c r="V224" t="s">
        <v>715</v>
      </c>
      <c r="W224">
        <v>1</v>
      </c>
      <c r="X224" t="s">
        <v>282</v>
      </c>
      <c r="AC224" t="s">
        <v>716</v>
      </c>
      <c r="AE224" s="135"/>
    </row>
    <row r="225" spans="1:31" ht="12.5" customHeight="1" x14ac:dyDescent="0.35">
      <c r="A225" t="s">
        <v>396</v>
      </c>
      <c r="C225" t="s">
        <v>717</v>
      </c>
      <c r="D225" t="s">
        <v>385</v>
      </c>
      <c r="E225" s="133">
        <v>45839</v>
      </c>
      <c r="F225" s="2">
        <v>0.9601157407407408</v>
      </c>
      <c r="G225">
        <v>23</v>
      </c>
      <c r="H225" s="133">
        <v>45839</v>
      </c>
      <c r="I225" s="2">
        <v>0.46011574074074074</v>
      </c>
      <c r="J225">
        <v>11</v>
      </c>
      <c r="K225" t="s">
        <v>434</v>
      </c>
      <c r="R225" t="s">
        <v>384</v>
      </c>
      <c r="S225">
        <v>12</v>
      </c>
      <c r="T225">
        <v>10</v>
      </c>
      <c r="U225" t="s">
        <v>476</v>
      </c>
      <c r="V225" t="s">
        <v>718</v>
      </c>
      <c r="W225">
        <v>1</v>
      </c>
      <c r="X225" t="s">
        <v>282</v>
      </c>
      <c r="AC225" t="s">
        <v>719</v>
      </c>
      <c r="AE225" s="135"/>
    </row>
    <row r="226" spans="1:31" ht="12.5" customHeight="1" x14ac:dyDescent="0.35">
      <c r="A226" t="s">
        <v>396</v>
      </c>
      <c r="C226" t="s">
        <v>720</v>
      </c>
      <c r="D226" t="s">
        <v>385</v>
      </c>
      <c r="E226" s="133">
        <v>45839</v>
      </c>
      <c r="F226" s="2">
        <v>0.96018518518518514</v>
      </c>
      <c r="G226">
        <v>23</v>
      </c>
      <c r="H226" s="133">
        <v>45839</v>
      </c>
      <c r="I226" s="2">
        <v>0.4601851851851852</v>
      </c>
      <c r="J226">
        <v>11</v>
      </c>
      <c r="K226" t="s">
        <v>434</v>
      </c>
      <c r="R226" t="s">
        <v>384</v>
      </c>
      <c r="S226">
        <v>14</v>
      </c>
      <c r="T226">
        <v>10</v>
      </c>
      <c r="U226" t="s">
        <v>395</v>
      </c>
      <c r="V226" t="s">
        <v>721</v>
      </c>
      <c r="W226">
        <v>1</v>
      </c>
      <c r="X226" t="s">
        <v>282</v>
      </c>
      <c r="AC226" t="s">
        <v>722</v>
      </c>
      <c r="AE226" s="135"/>
    </row>
    <row r="227" spans="1:31" ht="12.5" customHeight="1" x14ac:dyDescent="0.35">
      <c r="A227" t="s">
        <v>396</v>
      </c>
      <c r="C227" t="s">
        <v>723</v>
      </c>
      <c r="D227" t="s">
        <v>385</v>
      </c>
      <c r="E227" s="133">
        <v>45839</v>
      </c>
      <c r="F227" s="2">
        <v>0.96046296296296296</v>
      </c>
      <c r="G227">
        <v>23</v>
      </c>
      <c r="H227" s="133">
        <v>45839</v>
      </c>
      <c r="I227" s="2">
        <v>0.46046296296296302</v>
      </c>
      <c r="J227">
        <v>11</v>
      </c>
      <c r="K227" t="s">
        <v>434</v>
      </c>
      <c r="R227" t="s">
        <v>384</v>
      </c>
      <c r="S227">
        <v>13</v>
      </c>
      <c r="T227">
        <v>6</v>
      </c>
      <c r="U227" t="s">
        <v>724</v>
      </c>
      <c r="V227" t="s">
        <v>725</v>
      </c>
      <c r="W227">
        <v>1</v>
      </c>
      <c r="X227" t="s">
        <v>355</v>
      </c>
      <c r="AC227" t="s">
        <v>726</v>
      </c>
      <c r="AE227" s="135"/>
    </row>
    <row r="228" spans="1:31" ht="12.5" customHeight="1" x14ac:dyDescent="0.35">
      <c r="A228" t="s">
        <v>396</v>
      </c>
      <c r="C228" t="s">
        <v>727</v>
      </c>
      <c r="D228" t="s">
        <v>385</v>
      </c>
      <c r="E228" s="133">
        <v>45839</v>
      </c>
      <c r="F228" s="2">
        <v>0.96053240740740742</v>
      </c>
      <c r="G228">
        <v>23</v>
      </c>
      <c r="H228" s="133">
        <v>45839</v>
      </c>
      <c r="I228" s="2">
        <v>0.46053240740740736</v>
      </c>
      <c r="J228">
        <v>11</v>
      </c>
      <c r="K228" t="s">
        <v>384</v>
      </c>
      <c r="L228" t="s">
        <v>434</v>
      </c>
      <c r="R228" t="s">
        <v>390</v>
      </c>
      <c r="S228">
        <v>8</v>
      </c>
      <c r="T228">
        <v>6</v>
      </c>
      <c r="U228" t="s">
        <v>453</v>
      </c>
      <c r="V228" t="s">
        <v>728</v>
      </c>
      <c r="W228">
        <v>1</v>
      </c>
      <c r="X228" t="s">
        <v>282</v>
      </c>
      <c r="AC228" t="s">
        <v>729</v>
      </c>
      <c r="AE228" s="135"/>
    </row>
    <row r="229" spans="1:31" ht="12.5" customHeight="1" x14ac:dyDescent="0.35">
      <c r="A229" t="s">
        <v>396</v>
      </c>
      <c r="C229" t="s">
        <v>730</v>
      </c>
      <c r="D229" t="s">
        <v>385</v>
      </c>
      <c r="E229" s="133">
        <v>45839</v>
      </c>
      <c r="F229" s="2">
        <v>0.96062499999999995</v>
      </c>
      <c r="G229">
        <v>23</v>
      </c>
      <c r="H229" s="133">
        <v>45839</v>
      </c>
      <c r="I229" s="2">
        <v>0.46062500000000001</v>
      </c>
      <c r="J229">
        <v>11</v>
      </c>
      <c r="R229" t="s">
        <v>432</v>
      </c>
      <c r="S229">
        <v>5</v>
      </c>
      <c r="T229">
        <v>0</v>
      </c>
      <c r="U229">
        <v>0</v>
      </c>
      <c r="V229">
        <v>0</v>
      </c>
      <c r="W229">
        <v>1</v>
      </c>
      <c r="X229" t="s">
        <v>282</v>
      </c>
      <c r="AC229" t="s">
        <v>731</v>
      </c>
      <c r="AE229" s="135"/>
    </row>
    <row r="230" spans="1:31" ht="12.5" customHeight="1" x14ac:dyDescent="0.35">
      <c r="A230" t="s">
        <v>396</v>
      </c>
      <c r="C230" t="s">
        <v>732</v>
      </c>
      <c r="D230" t="s">
        <v>385</v>
      </c>
      <c r="E230" s="133">
        <v>45839</v>
      </c>
      <c r="F230" s="2">
        <v>0.9607175925925926</v>
      </c>
      <c r="G230">
        <v>23</v>
      </c>
      <c r="H230" s="133">
        <v>45839</v>
      </c>
      <c r="I230" s="2">
        <v>0.4607175925925926</v>
      </c>
      <c r="J230">
        <v>11</v>
      </c>
      <c r="K230" t="s">
        <v>434</v>
      </c>
      <c r="R230" t="s">
        <v>384</v>
      </c>
      <c r="S230">
        <v>12</v>
      </c>
      <c r="T230">
        <v>9</v>
      </c>
      <c r="U230" t="s">
        <v>453</v>
      </c>
      <c r="V230" t="s">
        <v>733</v>
      </c>
      <c r="W230">
        <v>1</v>
      </c>
      <c r="X230" t="s">
        <v>383</v>
      </c>
      <c r="AC230" t="s">
        <v>734</v>
      </c>
      <c r="AE230" s="135"/>
    </row>
    <row r="231" spans="1:31" ht="12.5" customHeight="1" x14ac:dyDescent="0.35">
      <c r="A231" t="s">
        <v>396</v>
      </c>
      <c r="C231" t="s">
        <v>735</v>
      </c>
      <c r="D231" t="s">
        <v>385</v>
      </c>
      <c r="E231" s="133">
        <v>45839</v>
      </c>
      <c r="F231" s="2">
        <v>0.96081018518518524</v>
      </c>
      <c r="G231">
        <v>23</v>
      </c>
      <c r="H231" s="133">
        <v>45839</v>
      </c>
      <c r="I231" s="2">
        <v>0.46081018518518518</v>
      </c>
      <c r="J231">
        <v>11</v>
      </c>
      <c r="R231" t="s">
        <v>432</v>
      </c>
      <c r="S231">
        <v>4</v>
      </c>
      <c r="T231">
        <v>0</v>
      </c>
      <c r="U231">
        <v>0</v>
      </c>
      <c r="V231">
        <v>0</v>
      </c>
      <c r="W231">
        <v>1</v>
      </c>
      <c r="X231" t="s">
        <v>355</v>
      </c>
      <c r="AC231" t="s">
        <v>736</v>
      </c>
      <c r="AE231" s="135"/>
    </row>
    <row r="232" spans="1:31" ht="12.5" customHeight="1" x14ac:dyDescent="0.35">
      <c r="A232" t="s">
        <v>396</v>
      </c>
      <c r="C232" t="s">
        <v>737</v>
      </c>
      <c r="D232" t="s">
        <v>385</v>
      </c>
      <c r="E232" s="133">
        <v>45839</v>
      </c>
      <c r="F232" s="2">
        <v>0.96101851851851849</v>
      </c>
      <c r="G232">
        <v>23</v>
      </c>
      <c r="H232" s="133">
        <v>45839</v>
      </c>
      <c r="I232" s="2">
        <v>0.46101851851851849</v>
      </c>
      <c r="J232">
        <v>11</v>
      </c>
      <c r="R232" t="s">
        <v>384</v>
      </c>
      <c r="S232">
        <v>18</v>
      </c>
      <c r="T232">
        <v>15</v>
      </c>
      <c r="U232" t="s">
        <v>476</v>
      </c>
      <c r="V232" t="s">
        <v>738</v>
      </c>
      <c r="W232">
        <v>1</v>
      </c>
      <c r="X232" t="s">
        <v>282</v>
      </c>
      <c r="AC232" t="s">
        <v>739</v>
      </c>
      <c r="AE232" s="135"/>
    </row>
    <row r="233" spans="1:31" ht="12.5" customHeight="1" x14ac:dyDescent="0.35">
      <c r="A233" t="s">
        <v>396</v>
      </c>
      <c r="C233" t="s">
        <v>740</v>
      </c>
      <c r="D233" t="s">
        <v>385</v>
      </c>
      <c r="E233" s="133">
        <v>45839</v>
      </c>
      <c r="F233" s="2">
        <v>0.96120370370370367</v>
      </c>
      <c r="G233">
        <v>23</v>
      </c>
      <c r="H233" s="133">
        <v>45839</v>
      </c>
      <c r="I233" s="2">
        <v>0.46120370370370373</v>
      </c>
      <c r="J233">
        <v>11</v>
      </c>
      <c r="K233" t="s">
        <v>390</v>
      </c>
      <c r="L233" t="s">
        <v>434</v>
      </c>
      <c r="R233" t="s">
        <v>384</v>
      </c>
      <c r="S233">
        <v>6</v>
      </c>
      <c r="T233">
        <v>4</v>
      </c>
      <c r="U233" t="s">
        <v>393</v>
      </c>
      <c r="V233" t="s">
        <v>741</v>
      </c>
      <c r="W233">
        <v>1</v>
      </c>
      <c r="X233" t="s">
        <v>282</v>
      </c>
      <c r="AC233" t="s">
        <v>742</v>
      </c>
      <c r="AE233" s="135"/>
    </row>
    <row r="234" spans="1:31" ht="12.5" customHeight="1" x14ac:dyDescent="0.35">
      <c r="A234" t="s">
        <v>396</v>
      </c>
      <c r="C234" t="s">
        <v>743</v>
      </c>
      <c r="D234" t="s">
        <v>385</v>
      </c>
      <c r="E234" s="133">
        <v>45839</v>
      </c>
      <c r="F234" s="2">
        <v>0.96136574074074066</v>
      </c>
      <c r="G234">
        <v>23</v>
      </c>
      <c r="H234" s="133">
        <v>45839</v>
      </c>
      <c r="I234" s="2">
        <v>0.46136574074074077</v>
      </c>
      <c r="J234">
        <v>11</v>
      </c>
      <c r="K234" t="s">
        <v>384</v>
      </c>
      <c r="L234" t="s">
        <v>434</v>
      </c>
      <c r="R234" t="s">
        <v>390</v>
      </c>
      <c r="S234">
        <v>8</v>
      </c>
      <c r="T234">
        <v>5</v>
      </c>
      <c r="U234" t="s">
        <v>744</v>
      </c>
      <c r="V234" t="s">
        <v>745</v>
      </c>
      <c r="W234">
        <v>1</v>
      </c>
      <c r="X234" t="s">
        <v>282</v>
      </c>
      <c r="AC234" t="s">
        <v>746</v>
      </c>
      <c r="AE234" s="135"/>
    </row>
    <row r="235" spans="1:31" ht="12.5" customHeight="1" x14ac:dyDescent="0.35">
      <c r="A235" t="s">
        <v>396</v>
      </c>
      <c r="C235" t="s">
        <v>747</v>
      </c>
      <c r="D235" t="s">
        <v>385</v>
      </c>
      <c r="E235" s="133">
        <v>45839</v>
      </c>
      <c r="F235" s="2">
        <v>0.96164351851851848</v>
      </c>
      <c r="G235">
        <v>23</v>
      </c>
      <c r="H235" s="133">
        <v>45839</v>
      </c>
      <c r="I235" s="2">
        <v>0.46164351851851854</v>
      </c>
      <c r="J235">
        <v>11</v>
      </c>
      <c r="R235" t="s">
        <v>432</v>
      </c>
      <c r="S235">
        <v>8</v>
      </c>
      <c r="T235">
        <v>0</v>
      </c>
      <c r="U235">
        <v>0</v>
      </c>
      <c r="V235">
        <v>0</v>
      </c>
      <c r="W235">
        <v>1</v>
      </c>
      <c r="X235" t="s">
        <v>282</v>
      </c>
      <c r="AC235" t="s">
        <v>748</v>
      </c>
      <c r="AE235" s="135"/>
    </row>
    <row r="236" spans="1:31" ht="12.5" customHeight="1" x14ac:dyDescent="0.35">
      <c r="A236" t="s">
        <v>396</v>
      </c>
      <c r="C236" t="s">
        <v>749</v>
      </c>
      <c r="D236" t="s">
        <v>385</v>
      </c>
      <c r="E236" s="133">
        <v>45839</v>
      </c>
      <c r="F236" s="2">
        <v>0.96187500000000004</v>
      </c>
      <c r="G236">
        <v>23</v>
      </c>
      <c r="H236" s="133">
        <v>45839</v>
      </c>
      <c r="I236" s="2">
        <v>0.46187500000000004</v>
      </c>
      <c r="J236">
        <v>11</v>
      </c>
      <c r="K236" t="s">
        <v>390</v>
      </c>
      <c r="L236" t="s">
        <v>434</v>
      </c>
      <c r="R236" t="s">
        <v>384</v>
      </c>
      <c r="S236">
        <v>9</v>
      </c>
      <c r="T236">
        <v>8</v>
      </c>
      <c r="U236" t="s">
        <v>389</v>
      </c>
      <c r="V236" t="s">
        <v>750</v>
      </c>
      <c r="W236">
        <v>1</v>
      </c>
      <c r="X236" t="s">
        <v>282</v>
      </c>
      <c r="AC236" t="s">
        <v>751</v>
      </c>
      <c r="AE236" s="135"/>
    </row>
    <row r="237" spans="1:31" ht="12.5" customHeight="1" x14ac:dyDescent="0.35">
      <c r="A237" t="s">
        <v>396</v>
      </c>
      <c r="C237" t="s">
        <v>752</v>
      </c>
      <c r="D237" t="s">
        <v>385</v>
      </c>
      <c r="E237" s="133">
        <v>45839</v>
      </c>
      <c r="F237" s="2">
        <v>0.96196759259259268</v>
      </c>
      <c r="G237">
        <v>23</v>
      </c>
      <c r="H237" s="133">
        <v>45839</v>
      </c>
      <c r="I237" s="2">
        <v>0.46196759259259257</v>
      </c>
      <c r="J237">
        <v>11</v>
      </c>
      <c r="K237" t="s">
        <v>434</v>
      </c>
      <c r="R237" t="s">
        <v>384</v>
      </c>
      <c r="S237">
        <v>9</v>
      </c>
      <c r="T237">
        <v>6</v>
      </c>
      <c r="U237" t="s">
        <v>393</v>
      </c>
      <c r="V237" t="s">
        <v>753</v>
      </c>
      <c r="W237">
        <v>1</v>
      </c>
      <c r="X237" t="s">
        <v>282</v>
      </c>
      <c r="AC237" t="s">
        <v>754</v>
      </c>
      <c r="AE237" s="135"/>
    </row>
    <row r="238" spans="1:31" ht="12.5" customHeight="1" x14ac:dyDescent="0.35">
      <c r="A238" t="s">
        <v>396</v>
      </c>
      <c r="C238" t="s">
        <v>755</v>
      </c>
      <c r="D238" t="s">
        <v>385</v>
      </c>
      <c r="E238" s="133">
        <v>45839</v>
      </c>
      <c r="F238" s="2">
        <v>0.96203703703703702</v>
      </c>
      <c r="G238">
        <v>23</v>
      </c>
      <c r="H238" s="133">
        <v>45839</v>
      </c>
      <c r="I238" s="2">
        <v>0.46203703703703702</v>
      </c>
      <c r="J238">
        <v>11</v>
      </c>
      <c r="K238" t="s">
        <v>388</v>
      </c>
      <c r="R238" t="s">
        <v>384</v>
      </c>
      <c r="S238">
        <v>12</v>
      </c>
      <c r="T238">
        <v>8</v>
      </c>
      <c r="U238" t="s">
        <v>393</v>
      </c>
      <c r="V238" t="s">
        <v>756</v>
      </c>
      <c r="W238">
        <v>1</v>
      </c>
      <c r="X238" t="s">
        <v>282</v>
      </c>
      <c r="AC238" t="s">
        <v>757</v>
      </c>
      <c r="AE238" s="135"/>
    </row>
    <row r="239" spans="1:31" ht="12.5" customHeight="1" x14ac:dyDescent="0.35">
      <c r="A239" t="s">
        <v>396</v>
      </c>
      <c r="C239" t="s">
        <v>758</v>
      </c>
      <c r="D239" t="s">
        <v>385</v>
      </c>
      <c r="E239" s="133">
        <v>45839</v>
      </c>
      <c r="F239" s="2">
        <v>0.96224537037037028</v>
      </c>
      <c r="G239">
        <v>23</v>
      </c>
      <c r="H239" s="133">
        <v>45839</v>
      </c>
      <c r="I239" s="2">
        <v>0.46224537037037039</v>
      </c>
      <c r="J239">
        <v>11</v>
      </c>
      <c r="K239" t="s">
        <v>388</v>
      </c>
      <c r="R239" t="s">
        <v>384</v>
      </c>
      <c r="S239">
        <v>21</v>
      </c>
      <c r="T239">
        <v>17</v>
      </c>
      <c r="U239" t="s">
        <v>759</v>
      </c>
      <c r="V239" t="s">
        <v>760</v>
      </c>
      <c r="W239">
        <v>1</v>
      </c>
      <c r="X239" t="s">
        <v>383</v>
      </c>
      <c r="AC239" t="s">
        <v>761</v>
      </c>
      <c r="AE239" s="135"/>
    </row>
    <row r="240" spans="1:31" ht="12.5" customHeight="1" x14ac:dyDescent="0.35">
      <c r="A240" t="s">
        <v>396</v>
      </c>
      <c r="C240" t="s">
        <v>762</v>
      </c>
      <c r="D240" t="s">
        <v>385</v>
      </c>
      <c r="E240" s="133">
        <v>45839</v>
      </c>
      <c r="F240" s="2">
        <v>0.96263888888888882</v>
      </c>
      <c r="G240">
        <v>23</v>
      </c>
      <c r="H240" s="133">
        <v>45839</v>
      </c>
      <c r="I240" s="2">
        <v>0.46263888888888888</v>
      </c>
      <c r="J240">
        <v>11</v>
      </c>
      <c r="K240" t="s">
        <v>434</v>
      </c>
      <c r="R240" t="s">
        <v>384</v>
      </c>
      <c r="S240">
        <v>15</v>
      </c>
      <c r="T240">
        <v>13</v>
      </c>
      <c r="U240" t="s">
        <v>763</v>
      </c>
      <c r="V240" t="s">
        <v>764</v>
      </c>
      <c r="W240">
        <v>1</v>
      </c>
      <c r="X240" t="s">
        <v>383</v>
      </c>
      <c r="AC240" t="s">
        <v>765</v>
      </c>
      <c r="AE240" s="135"/>
    </row>
    <row r="241" spans="1:31" ht="12.5" customHeight="1" x14ac:dyDescent="0.35">
      <c r="A241" t="s">
        <v>396</v>
      </c>
      <c r="C241" t="s">
        <v>766</v>
      </c>
      <c r="D241" t="s">
        <v>385</v>
      </c>
      <c r="E241" s="133">
        <v>45839</v>
      </c>
      <c r="F241" s="2">
        <v>0.96277777777777773</v>
      </c>
      <c r="G241">
        <v>23</v>
      </c>
      <c r="H241" s="133">
        <v>45839</v>
      </c>
      <c r="I241" s="2">
        <v>0.46277777777777779</v>
      </c>
      <c r="J241">
        <v>11</v>
      </c>
      <c r="K241" t="s">
        <v>388</v>
      </c>
      <c r="R241" t="s">
        <v>384</v>
      </c>
      <c r="S241">
        <v>24</v>
      </c>
      <c r="T241">
        <v>15</v>
      </c>
      <c r="U241" t="s">
        <v>744</v>
      </c>
      <c r="V241" t="s">
        <v>767</v>
      </c>
      <c r="W241">
        <v>1</v>
      </c>
      <c r="X241" t="s">
        <v>282</v>
      </c>
      <c r="AC241" t="s">
        <v>768</v>
      </c>
      <c r="AE241" s="135"/>
    </row>
    <row r="242" spans="1:31" ht="12.5" customHeight="1" x14ac:dyDescent="0.35">
      <c r="A242" t="s">
        <v>396</v>
      </c>
      <c r="C242" t="s">
        <v>769</v>
      </c>
      <c r="D242" t="s">
        <v>385</v>
      </c>
      <c r="E242" s="133">
        <v>45839</v>
      </c>
      <c r="F242" s="2">
        <v>0.96305555555555555</v>
      </c>
      <c r="G242">
        <v>23</v>
      </c>
      <c r="H242" s="133">
        <v>45839</v>
      </c>
      <c r="I242" s="2">
        <v>0.46305555555555555</v>
      </c>
      <c r="J242">
        <v>11</v>
      </c>
      <c r="K242" t="s">
        <v>390</v>
      </c>
      <c r="L242" t="s">
        <v>384</v>
      </c>
      <c r="R242" t="s">
        <v>432</v>
      </c>
      <c r="S242">
        <v>5</v>
      </c>
      <c r="T242">
        <v>0</v>
      </c>
      <c r="U242">
        <v>0</v>
      </c>
      <c r="V242">
        <v>0</v>
      </c>
      <c r="W242">
        <v>1</v>
      </c>
      <c r="X242" t="s">
        <v>282</v>
      </c>
      <c r="AC242" t="s">
        <v>770</v>
      </c>
      <c r="AE242" s="135"/>
    </row>
    <row r="243" spans="1:31" ht="12.5" customHeight="1" x14ac:dyDescent="0.35">
      <c r="A243" t="s">
        <v>396</v>
      </c>
      <c r="C243" t="s">
        <v>771</v>
      </c>
      <c r="D243" t="s">
        <v>385</v>
      </c>
      <c r="E243" s="133">
        <v>45839</v>
      </c>
      <c r="F243" s="2">
        <v>0.96319444444444446</v>
      </c>
      <c r="G243">
        <v>23</v>
      </c>
      <c r="H243" s="133">
        <v>45839</v>
      </c>
      <c r="I243" s="2">
        <v>0.46319444444444446</v>
      </c>
      <c r="J243">
        <v>11</v>
      </c>
      <c r="R243" t="s">
        <v>384</v>
      </c>
      <c r="S243">
        <v>12</v>
      </c>
      <c r="T243">
        <v>10</v>
      </c>
      <c r="U243" t="s">
        <v>476</v>
      </c>
      <c r="V243" t="s">
        <v>772</v>
      </c>
      <c r="W243">
        <v>1</v>
      </c>
      <c r="X243" t="s">
        <v>383</v>
      </c>
      <c r="AC243" t="s">
        <v>773</v>
      </c>
      <c r="AE243" s="135"/>
    </row>
    <row r="244" spans="1:31" ht="12.5" customHeight="1" x14ac:dyDescent="0.35">
      <c r="A244" t="s">
        <v>396</v>
      </c>
      <c r="C244" t="s">
        <v>774</v>
      </c>
      <c r="D244" t="s">
        <v>385</v>
      </c>
      <c r="E244" s="133">
        <v>45839</v>
      </c>
      <c r="F244" s="2">
        <v>0.96331018518518519</v>
      </c>
      <c r="G244">
        <v>23</v>
      </c>
      <c r="H244" s="133">
        <v>45839</v>
      </c>
      <c r="I244" s="2">
        <v>0.46331018518518513</v>
      </c>
      <c r="J244">
        <v>11</v>
      </c>
      <c r="R244" t="s">
        <v>384</v>
      </c>
      <c r="S244">
        <v>2</v>
      </c>
      <c r="T244">
        <v>2</v>
      </c>
      <c r="U244">
        <v>1</v>
      </c>
      <c r="V244" t="s">
        <v>775</v>
      </c>
      <c r="W244">
        <v>1</v>
      </c>
      <c r="X244" t="s">
        <v>282</v>
      </c>
      <c r="AC244" t="s">
        <v>776</v>
      </c>
      <c r="AE244" s="135"/>
    </row>
    <row r="245" spans="1:31" ht="12.5" customHeight="1" x14ac:dyDescent="0.35">
      <c r="A245" t="s">
        <v>396</v>
      </c>
      <c r="C245" t="s">
        <v>777</v>
      </c>
      <c r="D245" t="s">
        <v>385</v>
      </c>
      <c r="E245" s="133">
        <v>45839</v>
      </c>
      <c r="F245" s="2">
        <v>0.96354166666666663</v>
      </c>
      <c r="G245">
        <v>23</v>
      </c>
      <c r="H245" s="133">
        <v>45839</v>
      </c>
      <c r="I245" s="2">
        <v>0.46354166666666669</v>
      </c>
      <c r="J245">
        <v>11</v>
      </c>
      <c r="K245" t="s">
        <v>434</v>
      </c>
      <c r="L245" t="s">
        <v>384</v>
      </c>
      <c r="R245" t="s">
        <v>390</v>
      </c>
      <c r="S245">
        <v>8</v>
      </c>
      <c r="T245">
        <v>7</v>
      </c>
      <c r="U245" t="s">
        <v>778</v>
      </c>
      <c r="V245" t="s">
        <v>779</v>
      </c>
      <c r="W245">
        <v>1</v>
      </c>
      <c r="X245" t="s">
        <v>383</v>
      </c>
      <c r="AC245" t="s">
        <v>780</v>
      </c>
      <c r="AE245" s="135"/>
    </row>
    <row r="246" spans="1:31" ht="12.5" customHeight="1" x14ac:dyDescent="0.35">
      <c r="A246" t="s">
        <v>396</v>
      </c>
      <c r="C246" t="s">
        <v>781</v>
      </c>
      <c r="D246" t="s">
        <v>385</v>
      </c>
      <c r="E246" s="133">
        <v>45839</v>
      </c>
      <c r="F246" s="2">
        <v>0.96363425925925927</v>
      </c>
      <c r="G246">
        <v>23</v>
      </c>
      <c r="H246" s="133">
        <v>45839</v>
      </c>
      <c r="I246" s="2">
        <v>0.46363425925925927</v>
      </c>
      <c r="J246">
        <v>11</v>
      </c>
      <c r="R246" t="s">
        <v>432</v>
      </c>
      <c r="S246">
        <v>13</v>
      </c>
      <c r="T246">
        <v>0</v>
      </c>
      <c r="U246">
        <v>0</v>
      </c>
      <c r="V246">
        <v>0</v>
      </c>
      <c r="W246">
        <v>1</v>
      </c>
      <c r="X246" t="s">
        <v>282</v>
      </c>
      <c r="AC246" t="s">
        <v>782</v>
      </c>
      <c r="AE246" s="135"/>
    </row>
    <row r="247" spans="1:31" ht="12.5" customHeight="1" x14ac:dyDescent="0.35">
      <c r="A247" t="s">
        <v>396</v>
      </c>
      <c r="C247" t="s">
        <v>783</v>
      </c>
      <c r="D247" t="s">
        <v>385</v>
      </c>
      <c r="E247" s="133">
        <v>45839</v>
      </c>
      <c r="F247" s="2">
        <v>0.96379629629629626</v>
      </c>
      <c r="G247">
        <v>23</v>
      </c>
      <c r="H247" s="133">
        <v>45839</v>
      </c>
      <c r="I247" s="2">
        <v>0.46379629629629626</v>
      </c>
      <c r="J247">
        <v>11</v>
      </c>
      <c r="K247" t="s">
        <v>434</v>
      </c>
      <c r="R247" t="s">
        <v>384</v>
      </c>
      <c r="S247">
        <v>10</v>
      </c>
      <c r="T247">
        <v>8</v>
      </c>
      <c r="U247" t="s">
        <v>496</v>
      </c>
      <c r="V247" t="s">
        <v>784</v>
      </c>
      <c r="W247">
        <v>1</v>
      </c>
      <c r="X247" t="s">
        <v>282</v>
      </c>
      <c r="AC247" t="s">
        <v>785</v>
      </c>
      <c r="AE247" s="135"/>
    </row>
    <row r="248" spans="1:31" ht="12.5" customHeight="1" x14ac:dyDescent="0.35">
      <c r="A248" t="s">
        <v>396</v>
      </c>
      <c r="C248" t="s">
        <v>786</v>
      </c>
      <c r="D248" t="s">
        <v>385</v>
      </c>
      <c r="E248" s="133">
        <v>45839</v>
      </c>
      <c r="F248" s="2">
        <v>0.96393518518518517</v>
      </c>
      <c r="G248">
        <v>23</v>
      </c>
      <c r="H248" s="133">
        <v>45839</v>
      </c>
      <c r="I248" s="2">
        <v>0.46393518518518517</v>
      </c>
      <c r="J248">
        <v>11</v>
      </c>
      <c r="K248" t="s">
        <v>390</v>
      </c>
      <c r="R248" t="s">
        <v>384</v>
      </c>
      <c r="S248">
        <v>11</v>
      </c>
      <c r="T248">
        <v>10</v>
      </c>
      <c r="U248" t="s">
        <v>787</v>
      </c>
      <c r="V248" t="s">
        <v>788</v>
      </c>
      <c r="W248">
        <v>1</v>
      </c>
      <c r="X248" t="s">
        <v>282</v>
      </c>
      <c r="AC248" t="s">
        <v>789</v>
      </c>
      <c r="AE248" s="135"/>
    </row>
    <row r="249" spans="1:31" ht="12.5" customHeight="1" x14ac:dyDescent="0.35">
      <c r="A249" t="s">
        <v>396</v>
      </c>
      <c r="C249" t="s">
        <v>790</v>
      </c>
      <c r="D249" t="s">
        <v>385</v>
      </c>
      <c r="E249" s="133">
        <v>45839</v>
      </c>
      <c r="F249" s="2">
        <v>0.96400462962962974</v>
      </c>
      <c r="G249">
        <v>23</v>
      </c>
      <c r="H249" s="133">
        <v>45839</v>
      </c>
      <c r="I249" s="2">
        <v>0.46400462962962963</v>
      </c>
      <c r="J249">
        <v>11</v>
      </c>
      <c r="R249" t="s">
        <v>432</v>
      </c>
      <c r="S249">
        <v>12</v>
      </c>
      <c r="T249">
        <v>0</v>
      </c>
      <c r="U249">
        <v>0</v>
      </c>
      <c r="V249">
        <v>0</v>
      </c>
      <c r="W249">
        <v>1</v>
      </c>
      <c r="X249" t="s">
        <v>282</v>
      </c>
      <c r="AC249" t="s">
        <v>791</v>
      </c>
      <c r="AE249" s="135"/>
    </row>
    <row r="250" spans="1:31" ht="12.5" customHeight="1" x14ac:dyDescent="0.35">
      <c r="A250" t="s">
        <v>396</v>
      </c>
      <c r="C250" t="s">
        <v>792</v>
      </c>
      <c r="D250" t="s">
        <v>385</v>
      </c>
      <c r="E250" s="133">
        <v>45839</v>
      </c>
      <c r="F250" s="2">
        <v>0.96414351851851843</v>
      </c>
      <c r="G250">
        <v>23</v>
      </c>
      <c r="H250" s="133">
        <v>45839</v>
      </c>
      <c r="I250" s="2">
        <v>0.46414351851851854</v>
      </c>
      <c r="J250">
        <v>11</v>
      </c>
      <c r="R250" t="s">
        <v>384</v>
      </c>
      <c r="S250">
        <v>15</v>
      </c>
      <c r="T250">
        <v>11</v>
      </c>
      <c r="U250" t="s">
        <v>793</v>
      </c>
      <c r="V250" t="s">
        <v>794</v>
      </c>
      <c r="W250">
        <v>1</v>
      </c>
      <c r="X250" t="s">
        <v>282</v>
      </c>
      <c r="AC250" t="s">
        <v>795</v>
      </c>
      <c r="AE250" s="135"/>
    </row>
    <row r="251" spans="1:31" ht="12.5" customHeight="1" x14ac:dyDescent="0.35">
      <c r="A251" t="s">
        <v>396</v>
      </c>
      <c r="C251" t="s">
        <v>796</v>
      </c>
      <c r="D251" t="s">
        <v>385</v>
      </c>
      <c r="E251" s="133">
        <v>45839</v>
      </c>
      <c r="F251" s="2">
        <v>0.96423611111111107</v>
      </c>
      <c r="G251">
        <v>23</v>
      </c>
      <c r="H251" s="133">
        <v>45839</v>
      </c>
      <c r="I251" s="2">
        <v>0.46423611111111113</v>
      </c>
      <c r="J251">
        <v>11</v>
      </c>
      <c r="R251" t="s">
        <v>432</v>
      </c>
      <c r="S251">
        <v>2</v>
      </c>
      <c r="T251">
        <v>0</v>
      </c>
      <c r="U251">
        <v>0</v>
      </c>
      <c r="V251">
        <v>0</v>
      </c>
      <c r="W251">
        <v>1</v>
      </c>
      <c r="X251" t="s">
        <v>282</v>
      </c>
      <c r="AC251" t="s">
        <v>797</v>
      </c>
      <c r="AE251" s="135"/>
    </row>
    <row r="252" spans="1:31" ht="12.5" customHeight="1" x14ac:dyDescent="0.35">
      <c r="A252" t="s">
        <v>396</v>
      </c>
      <c r="C252" t="s">
        <v>798</v>
      </c>
      <c r="D252" t="s">
        <v>385</v>
      </c>
      <c r="E252" s="133">
        <v>45839</v>
      </c>
      <c r="F252" s="2">
        <v>0.9643518518518519</v>
      </c>
      <c r="G252">
        <v>23</v>
      </c>
      <c r="H252" s="133">
        <v>45839</v>
      </c>
      <c r="I252" s="2">
        <v>0.46435185185185185</v>
      </c>
      <c r="J252">
        <v>11</v>
      </c>
      <c r="K252" t="s">
        <v>388</v>
      </c>
      <c r="R252" t="s">
        <v>384</v>
      </c>
      <c r="S252">
        <v>25</v>
      </c>
      <c r="T252">
        <v>12</v>
      </c>
      <c r="U252" t="s">
        <v>799</v>
      </c>
      <c r="V252" t="s">
        <v>800</v>
      </c>
      <c r="W252">
        <v>1</v>
      </c>
      <c r="X252" t="s">
        <v>383</v>
      </c>
      <c r="AC252" t="s">
        <v>801</v>
      </c>
      <c r="AE252" s="135"/>
    </row>
    <row r="253" spans="1:31" ht="12.5" customHeight="1" x14ac:dyDescent="0.35">
      <c r="A253" t="s">
        <v>396</v>
      </c>
      <c r="C253" t="s">
        <v>802</v>
      </c>
      <c r="D253" t="s">
        <v>385</v>
      </c>
      <c r="E253" s="133">
        <v>45839</v>
      </c>
      <c r="F253" s="2">
        <v>0.96446759259259263</v>
      </c>
      <c r="G253">
        <v>23</v>
      </c>
      <c r="H253" s="133">
        <v>45839</v>
      </c>
      <c r="I253" s="2">
        <v>0.46446759259259257</v>
      </c>
      <c r="J253">
        <v>11</v>
      </c>
      <c r="K253" t="s">
        <v>390</v>
      </c>
      <c r="L253" t="s">
        <v>434</v>
      </c>
      <c r="R253" t="s">
        <v>384</v>
      </c>
      <c r="S253">
        <v>17</v>
      </c>
      <c r="T253">
        <v>8</v>
      </c>
      <c r="U253" t="s">
        <v>803</v>
      </c>
      <c r="V253" t="s">
        <v>804</v>
      </c>
      <c r="W253">
        <v>1</v>
      </c>
      <c r="X253" t="s">
        <v>282</v>
      </c>
      <c r="AC253" t="s">
        <v>805</v>
      </c>
      <c r="AE253" s="135"/>
    </row>
    <row r="254" spans="1:31" ht="12.5" customHeight="1" x14ac:dyDescent="0.35">
      <c r="A254" t="s">
        <v>396</v>
      </c>
      <c r="C254" t="s">
        <v>806</v>
      </c>
      <c r="D254" t="s">
        <v>385</v>
      </c>
      <c r="E254" s="133">
        <v>45839</v>
      </c>
      <c r="F254" s="2">
        <v>0.96460648148148154</v>
      </c>
      <c r="G254">
        <v>23</v>
      </c>
      <c r="H254" s="133">
        <v>45839</v>
      </c>
      <c r="I254" s="2">
        <v>0.46460648148148148</v>
      </c>
      <c r="J254">
        <v>11</v>
      </c>
      <c r="R254" t="s">
        <v>432</v>
      </c>
      <c r="S254">
        <v>10</v>
      </c>
      <c r="T254">
        <v>0</v>
      </c>
      <c r="U254">
        <v>0</v>
      </c>
      <c r="V254">
        <v>0</v>
      </c>
      <c r="W254">
        <v>1</v>
      </c>
      <c r="X254" t="s">
        <v>282</v>
      </c>
      <c r="AC254" t="s">
        <v>807</v>
      </c>
      <c r="AE254" s="135"/>
    </row>
    <row r="255" spans="1:31" ht="12.5" customHeight="1" x14ac:dyDescent="0.35">
      <c r="A255" t="s">
        <v>396</v>
      </c>
      <c r="C255" t="s">
        <v>808</v>
      </c>
      <c r="D255" t="s">
        <v>385</v>
      </c>
      <c r="E255" s="133">
        <v>45839</v>
      </c>
      <c r="F255" s="2">
        <v>0.96472222222222215</v>
      </c>
      <c r="G255">
        <v>23</v>
      </c>
      <c r="H255" s="133">
        <v>45839</v>
      </c>
      <c r="I255" s="2">
        <v>0.4647222222222222</v>
      </c>
      <c r="J255">
        <v>11</v>
      </c>
      <c r="K255" t="s">
        <v>390</v>
      </c>
      <c r="L255" t="s">
        <v>434</v>
      </c>
      <c r="R255" t="s">
        <v>432</v>
      </c>
      <c r="S255">
        <v>4</v>
      </c>
      <c r="T255">
        <v>0</v>
      </c>
      <c r="U255">
        <v>0</v>
      </c>
      <c r="V255">
        <v>0</v>
      </c>
      <c r="W255">
        <v>1</v>
      </c>
      <c r="X255" t="s">
        <v>355</v>
      </c>
      <c r="AC255" t="s">
        <v>809</v>
      </c>
      <c r="AE255" s="135"/>
    </row>
    <row r="256" spans="1:31" ht="12.5" customHeight="1" x14ac:dyDescent="0.35">
      <c r="A256" t="s">
        <v>396</v>
      </c>
      <c r="C256" t="s">
        <v>810</v>
      </c>
      <c r="D256" t="s">
        <v>385</v>
      </c>
      <c r="E256" s="133">
        <v>45839</v>
      </c>
      <c r="F256" s="2">
        <v>0.96481481481481479</v>
      </c>
      <c r="G256">
        <v>23</v>
      </c>
      <c r="H256" s="133">
        <v>45839</v>
      </c>
      <c r="I256" s="2">
        <v>0.46481481481481479</v>
      </c>
      <c r="J256">
        <v>11</v>
      </c>
      <c r="R256" t="s">
        <v>432</v>
      </c>
      <c r="S256">
        <v>9</v>
      </c>
      <c r="T256">
        <v>0</v>
      </c>
      <c r="U256">
        <v>0</v>
      </c>
      <c r="V256">
        <v>0</v>
      </c>
      <c r="W256">
        <v>1</v>
      </c>
      <c r="X256" t="s">
        <v>667</v>
      </c>
      <c r="AC256" t="s">
        <v>811</v>
      </c>
      <c r="AE256" s="135"/>
    </row>
    <row r="257" spans="1:31" ht="12.5" customHeight="1" x14ac:dyDescent="0.35">
      <c r="A257" t="s">
        <v>396</v>
      </c>
      <c r="C257" t="s">
        <v>812</v>
      </c>
      <c r="D257" t="s">
        <v>385</v>
      </c>
      <c r="E257" s="133">
        <v>45839</v>
      </c>
      <c r="F257" s="2">
        <v>0.9649537037037037</v>
      </c>
      <c r="G257">
        <v>23</v>
      </c>
      <c r="H257" s="133">
        <v>45839</v>
      </c>
      <c r="I257" s="2">
        <v>0.4649537037037037</v>
      </c>
      <c r="J257">
        <v>11</v>
      </c>
      <c r="K257" t="s">
        <v>434</v>
      </c>
      <c r="R257" t="s">
        <v>390</v>
      </c>
      <c r="S257">
        <v>16</v>
      </c>
      <c r="T257">
        <v>11</v>
      </c>
      <c r="U257" t="s">
        <v>813</v>
      </c>
      <c r="V257" t="s">
        <v>814</v>
      </c>
      <c r="W257">
        <v>1</v>
      </c>
      <c r="X257" t="s">
        <v>355</v>
      </c>
      <c r="AC257" t="s">
        <v>815</v>
      </c>
      <c r="AE257" s="135"/>
    </row>
    <row r="258" spans="1:31" ht="12.5" customHeight="1" x14ac:dyDescent="0.35">
      <c r="A258" t="s">
        <v>396</v>
      </c>
      <c r="C258" t="s">
        <v>816</v>
      </c>
      <c r="D258" t="s">
        <v>385</v>
      </c>
      <c r="E258" s="133">
        <v>45839</v>
      </c>
      <c r="F258" s="2">
        <v>0.96506944444444442</v>
      </c>
      <c r="G258">
        <v>23</v>
      </c>
      <c r="H258" s="133">
        <v>45839</v>
      </c>
      <c r="I258" s="2">
        <v>0.46506944444444448</v>
      </c>
      <c r="J258">
        <v>11</v>
      </c>
      <c r="K258" t="s">
        <v>434</v>
      </c>
      <c r="R258" t="s">
        <v>390</v>
      </c>
      <c r="S258">
        <v>15</v>
      </c>
      <c r="T258">
        <v>11</v>
      </c>
      <c r="U258" t="s">
        <v>793</v>
      </c>
      <c r="V258" t="s">
        <v>817</v>
      </c>
      <c r="W258">
        <v>1</v>
      </c>
      <c r="X258" t="s">
        <v>383</v>
      </c>
      <c r="AC258" t="s">
        <v>818</v>
      </c>
      <c r="AE258" s="135"/>
    </row>
    <row r="259" spans="1:31" ht="12.5" customHeight="1" x14ac:dyDescent="0.35">
      <c r="A259" t="s">
        <v>396</v>
      </c>
      <c r="C259" t="s">
        <v>819</v>
      </c>
      <c r="D259" t="s">
        <v>385</v>
      </c>
      <c r="E259" s="133">
        <v>45839</v>
      </c>
      <c r="F259" s="2">
        <v>0.96527777777777779</v>
      </c>
      <c r="G259">
        <v>23</v>
      </c>
      <c r="H259" s="133">
        <v>45839</v>
      </c>
      <c r="I259" s="2">
        <v>0.46527777777777773</v>
      </c>
      <c r="J259">
        <v>11</v>
      </c>
      <c r="K259" t="s">
        <v>434</v>
      </c>
      <c r="R259" t="s">
        <v>384</v>
      </c>
      <c r="S259">
        <v>11</v>
      </c>
      <c r="T259">
        <v>9</v>
      </c>
      <c r="U259" t="s">
        <v>820</v>
      </c>
      <c r="V259" t="s">
        <v>821</v>
      </c>
      <c r="W259">
        <v>1</v>
      </c>
      <c r="X259" t="s">
        <v>282</v>
      </c>
      <c r="AC259" t="s">
        <v>822</v>
      </c>
      <c r="AE259" s="135"/>
    </row>
    <row r="260" spans="1:31" ht="12.5" customHeight="1" x14ac:dyDescent="0.35">
      <c r="A260" t="s">
        <v>396</v>
      </c>
      <c r="C260" t="s">
        <v>823</v>
      </c>
      <c r="D260" t="s">
        <v>385</v>
      </c>
      <c r="E260" s="133">
        <v>45839</v>
      </c>
      <c r="F260" s="2">
        <v>0.9654166666666667</v>
      </c>
      <c r="G260">
        <v>23</v>
      </c>
      <c r="H260" s="133">
        <v>45839</v>
      </c>
      <c r="I260" s="2">
        <v>0.46541666666666665</v>
      </c>
      <c r="J260">
        <v>11</v>
      </c>
      <c r="K260" t="s">
        <v>434</v>
      </c>
      <c r="R260" t="s">
        <v>384</v>
      </c>
      <c r="S260">
        <v>11</v>
      </c>
      <c r="T260">
        <v>6</v>
      </c>
      <c r="U260" t="s">
        <v>458</v>
      </c>
      <c r="V260" t="s">
        <v>824</v>
      </c>
      <c r="W260">
        <v>1</v>
      </c>
      <c r="X260" t="s">
        <v>383</v>
      </c>
      <c r="AC260" t="s">
        <v>825</v>
      </c>
      <c r="AE260" s="135"/>
    </row>
    <row r="261" spans="1:31" ht="12.5" customHeight="1" x14ac:dyDescent="0.35">
      <c r="A261" t="s">
        <v>396</v>
      </c>
      <c r="C261" t="s">
        <v>826</v>
      </c>
      <c r="D261" t="s">
        <v>385</v>
      </c>
      <c r="E261" s="133">
        <v>45839</v>
      </c>
      <c r="F261" s="2">
        <v>0.96548611111111116</v>
      </c>
      <c r="G261">
        <v>23</v>
      </c>
      <c r="H261" s="133">
        <v>45839</v>
      </c>
      <c r="I261" s="2">
        <v>0.4654861111111111</v>
      </c>
      <c r="J261">
        <v>11</v>
      </c>
      <c r="R261" t="s">
        <v>432</v>
      </c>
      <c r="S261">
        <v>16</v>
      </c>
      <c r="T261">
        <v>0</v>
      </c>
      <c r="U261">
        <v>0</v>
      </c>
      <c r="V261">
        <v>0</v>
      </c>
      <c r="W261">
        <v>1</v>
      </c>
      <c r="X261" t="s">
        <v>282</v>
      </c>
      <c r="AC261" t="s">
        <v>827</v>
      </c>
      <c r="AE261" s="135"/>
    </row>
    <row r="262" spans="1:31" ht="12.5" customHeight="1" x14ac:dyDescent="0.35">
      <c r="A262" t="s">
        <v>396</v>
      </c>
      <c r="C262" t="s">
        <v>828</v>
      </c>
      <c r="D262" t="s">
        <v>385</v>
      </c>
      <c r="E262" s="133">
        <v>45839</v>
      </c>
      <c r="F262" s="2">
        <v>0.96564814814814814</v>
      </c>
      <c r="G262">
        <v>23</v>
      </c>
      <c r="H262" s="133">
        <v>45839</v>
      </c>
      <c r="I262" s="2">
        <v>0.4656481481481482</v>
      </c>
      <c r="J262">
        <v>11</v>
      </c>
      <c r="K262" t="s">
        <v>434</v>
      </c>
      <c r="R262" t="s">
        <v>384</v>
      </c>
      <c r="S262">
        <v>17</v>
      </c>
      <c r="T262">
        <v>7</v>
      </c>
      <c r="U262" t="s">
        <v>829</v>
      </c>
      <c r="V262" t="s">
        <v>830</v>
      </c>
      <c r="W262">
        <v>1</v>
      </c>
      <c r="X262" t="s">
        <v>383</v>
      </c>
      <c r="AC262" t="s">
        <v>831</v>
      </c>
      <c r="AE262" s="135"/>
    </row>
    <row r="263" spans="1:31" ht="12.5" customHeight="1" x14ac:dyDescent="0.35">
      <c r="A263" t="s">
        <v>396</v>
      </c>
      <c r="C263" t="s">
        <v>832</v>
      </c>
      <c r="D263" t="s">
        <v>385</v>
      </c>
      <c r="E263" s="133">
        <v>45839</v>
      </c>
      <c r="F263" s="2">
        <v>0.96581018518518524</v>
      </c>
      <c r="G263">
        <v>23</v>
      </c>
      <c r="H263" s="133">
        <v>45839</v>
      </c>
      <c r="I263" s="2">
        <v>0.46581018518518519</v>
      </c>
      <c r="J263">
        <v>11</v>
      </c>
      <c r="K263" t="s">
        <v>390</v>
      </c>
      <c r="L263" t="s">
        <v>434</v>
      </c>
      <c r="R263" t="s">
        <v>384</v>
      </c>
      <c r="S263">
        <v>16</v>
      </c>
      <c r="T263">
        <v>9</v>
      </c>
      <c r="U263" t="s">
        <v>644</v>
      </c>
      <c r="V263" t="s">
        <v>833</v>
      </c>
      <c r="W263">
        <v>1</v>
      </c>
      <c r="X263" t="s">
        <v>383</v>
      </c>
      <c r="AC263" t="s">
        <v>834</v>
      </c>
      <c r="AE263" s="135"/>
    </row>
    <row r="264" spans="1:31" ht="12.5" customHeight="1" x14ac:dyDescent="0.35">
      <c r="A264" t="s">
        <v>396</v>
      </c>
      <c r="C264" t="s">
        <v>835</v>
      </c>
      <c r="D264" t="s">
        <v>385</v>
      </c>
      <c r="E264" s="133">
        <v>45839</v>
      </c>
      <c r="F264" s="2">
        <v>0.9660185185185185</v>
      </c>
      <c r="G264">
        <v>23</v>
      </c>
      <c r="H264" s="133">
        <v>45839</v>
      </c>
      <c r="I264" s="2">
        <v>0.46601851851851855</v>
      </c>
      <c r="J264">
        <v>11</v>
      </c>
      <c r="K264" t="s">
        <v>384</v>
      </c>
      <c r="L264" t="s">
        <v>434</v>
      </c>
      <c r="R264" t="s">
        <v>390</v>
      </c>
      <c r="S264">
        <v>13</v>
      </c>
      <c r="T264">
        <v>9</v>
      </c>
      <c r="U264" t="s">
        <v>481</v>
      </c>
      <c r="V264" t="s">
        <v>836</v>
      </c>
      <c r="W264">
        <v>1</v>
      </c>
      <c r="X264" t="s">
        <v>282</v>
      </c>
      <c r="AC264" t="s">
        <v>837</v>
      </c>
      <c r="AE264" s="135"/>
    </row>
    <row r="265" spans="1:31" ht="12.5" customHeight="1" x14ac:dyDescent="0.35">
      <c r="A265" t="s">
        <v>396</v>
      </c>
      <c r="C265" t="s">
        <v>838</v>
      </c>
      <c r="D265" t="s">
        <v>385</v>
      </c>
      <c r="E265" s="133">
        <v>45839</v>
      </c>
      <c r="F265" s="2">
        <v>0.96620370370370379</v>
      </c>
      <c r="G265">
        <v>23</v>
      </c>
      <c r="H265" s="133">
        <v>45839</v>
      </c>
      <c r="I265" s="2">
        <v>0.46620370370370368</v>
      </c>
      <c r="J265">
        <v>11</v>
      </c>
      <c r="R265" t="s">
        <v>384</v>
      </c>
      <c r="S265">
        <v>23</v>
      </c>
      <c r="T265">
        <v>17</v>
      </c>
      <c r="U265" t="s">
        <v>839</v>
      </c>
      <c r="V265" t="s">
        <v>840</v>
      </c>
      <c r="W265">
        <v>1</v>
      </c>
      <c r="X265" t="s">
        <v>841</v>
      </c>
      <c r="AC265" t="s">
        <v>842</v>
      </c>
      <c r="AE265" s="135"/>
    </row>
    <row r="266" spans="1:31" ht="12.5" customHeight="1" x14ac:dyDescent="0.35">
      <c r="A266" t="s">
        <v>396</v>
      </c>
      <c r="C266" t="s">
        <v>843</v>
      </c>
      <c r="D266" t="s">
        <v>385</v>
      </c>
      <c r="E266" s="133">
        <v>45839</v>
      </c>
      <c r="F266" s="2">
        <v>0.96636574074074078</v>
      </c>
      <c r="G266">
        <v>23</v>
      </c>
      <c r="H266" s="133">
        <v>45839</v>
      </c>
      <c r="I266" s="2">
        <v>0.46636574074074072</v>
      </c>
      <c r="J266">
        <v>11</v>
      </c>
      <c r="R266" t="s">
        <v>432</v>
      </c>
      <c r="S266">
        <v>14</v>
      </c>
      <c r="T266">
        <v>0</v>
      </c>
      <c r="U266">
        <v>0</v>
      </c>
      <c r="V266">
        <v>0</v>
      </c>
      <c r="W266">
        <v>1</v>
      </c>
      <c r="X266" t="s">
        <v>282</v>
      </c>
      <c r="AC266" t="s">
        <v>844</v>
      </c>
      <c r="AE266" s="135"/>
    </row>
    <row r="267" spans="1:31" ht="12.5" customHeight="1" x14ac:dyDescent="0.35">
      <c r="A267" t="s">
        <v>396</v>
      </c>
      <c r="C267" t="s">
        <v>845</v>
      </c>
      <c r="D267" t="s">
        <v>385</v>
      </c>
      <c r="E267" s="133">
        <v>45839</v>
      </c>
      <c r="F267" s="2">
        <v>0.96645833333333331</v>
      </c>
      <c r="G267">
        <v>23</v>
      </c>
      <c r="H267" s="133">
        <v>45839</v>
      </c>
      <c r="I267" s="2">
        <v>0.46645833333333336</v>
      </c>
      <c r="J267">
        <v>11</v>
      </c>
      <c r="K267" t="s">
        <v>390</v>
      </c>
      <c r="L267" t="s">
        <v>434</v>
      </c>
      <c r="R267" t="s">
        <v>384</v>
      </c>
      <c r="S267">
        <v>11</v>
      </c>
      <c r="T267">
        <v>9</v>
      </c>
      <c r="U267" t="s">
        <v>820</v>
      </c>
      <c r="V267" t="s">
        <v>846</v>
      </c>
      <c r="W267">
        <v>1</v>
      </c>
      <c r="X267" t="s">
        <v>282</v>
      </c>
      <c r="AC267" t="s">
        <v>847</v>
      </c>
      <c r="AE267" s="135"/>
    </row>
    <row r="268" spans="1:31" ht="12.5" customHeight="1" x14ac:dyDescent="0.35">
      <c r="A268" t="s">
        <v>396</v>
      </c>
      <c r="C268" t="s">
        <v>848</v>
      </c>
      <c r="D268" t="s">
        <v>385</v>
      </c>
      <c r="E268" s="133">
        <v>45839</v>
      </c>
      <c r="F268" s="2">
        <v>0.96652777777777776</v>
      </c>
      <c r="G268">
        <v>23</v>
      </c>
      <c r="H268" s="133">
        <v>45839</v>
      </c>
      <c r="I268" s="2">
        <v>0.46652777777777782</v>
      </c>
      <c r="J268">
        <v>11</v>
      </c>
      <c r="K268" t="s">
        <v>390</v>
      </c>
      <c r="L268" t="s">
        <v>434</v>
      </c>
      <c r="R268" t="s">
        <v>384</v>
      </c>
      <c r="S268">
        <v>17</v>
      </c>
      <c r="T268">
        <v>8</v>
      </c>
      <c r="U268" t="s">
        <v>803</v>
      </c>
      <c r="V268" t="s">
        <v>849</v>
      </c>
      <c r="W268">
        <v>1</v>
      </c>
      <c r="X268" t="s">
        <v>282</v>
      </c>
      <c r="AC268" t="s">
        <v>850</v>
      </c>
      <c r="AE268" s="135"/>
    </row>
    <row r="269" spans="1:31" ht="12.5" customHeight="1" x14ac:dyDescent="0.35">
      <c r="A269" t="s">
        <v>396</v>
      </c>
      <c r="C269" t="s">
        <v>851</v>
      </c>
      <c r="D269" t="s">
        <v>385</v>
      </c>
      <c r="E269" s="133">
        <v>45839</v>
      </c>
      <c r="F269" s="2">
        <v>0.96854166666666675</v>
      </c>
      <c r="G269">
        <v>23</v>
      </c>
      <c r="H269" s="133">
        <v>45839</v>
      </c>
      <c r="I269" s="2">
        <v>0.46854166666666663</v>
      </c>
      <c r="J269">
        <v>11</v>
      </c>
      <c r="R269" t="s">
        <v>30</v>
      </c>
      <c r="W269">
        <v>1</v>
      </c>
      <c r="X269" t="s">
        <v>30</v>
      </c>
      <c r="AC269" t="s">
        <v>852</v>
      </c>
      <c r="AE269" s="135"/>
    </row>
    <row r="270" spans="1:31" ht="12.5" customHeight="1" x14ac:dyDescent="0.35">
      <c r="A270" t="s">
        <v>396</v>
      </c>
      <c r="C270" t="s">
        <v>853</v>
      </c>
      <c r="D270" t="s">
        <v>385</v>
      </c>
      <c r="E270" s="133">
        <v>45839</v>
      </c>
      <c r="F270" s="2">
        <v>0.96960648148148154</v>
      </c>
      <c r="G270">
        <v>23</v>
      </c>
      <c r="H270" s="133">
        <v>45839</v>
      </c>
      <c r="I270" s="2">
        <v>0.46960648148148149</v>
      </c>
      <c r="J270">
        <v>11</v>
      </c>
      <c r="R270" t="s">
        <v>30</v>
      </c>
      <c r="W270">
        <v>1</v>
      </c>
      <c r="X270" t="s">
        <v>30</v>
      </c>
      <c r="AC270" t="s">
        <v>854</v>
      </c>
      <c r="AE270" s="135"/>
    </row>
    <row r="271" spans="1:31" ht="12.5" customHeight="1" x14ac:dyDescent="0.35">
      <c r="A271" t="s">
        <v>396</v>
      </c>
      <c r="C271" t="s">
        <v>855</v>
      </c>
      <c r="D271" t="s">
        <v>385</v>
      </c>
      <c r="E271" s="133">
        <v>45839</v>
      </c>
      <c r="F271" s="2">
        <v>0.9705787037037038</v>
      </c>
      <c r="G271">
        <v>23</v>
      </c>
      <c r="H271" s="133">
        <v>45839</v>
      </c>
      <c r="I271" s="2">
        <v>0.47057870370370369</v>
      </c>
      <c r="J271">
        <v>11</v>
      </c>
      <c r="R271" t="s">
        <v>30</v>
      </c>
      <c r="W271">
        <v>1</v>
      </c>
      <c r="X271" t="s">
        <v>30</v>
      </c>
      <c r="AC271" t="s">
        <v>856</v>
      </c>
      <c r="AE271" s="135"/>
    </row>
    <row r="272" spans="1:31" ht="12.5" customHeight="1" x14ac:dyDescent="0.35">
      <c r="A272" t="s">
        <v>396</v>
      </c>
      <c r="C272" t="s">
        <v>857</v>
      </c>
      <c r="D272" t="s">
        <v>385</v>
      </c>
      <c r="E272" s="133">
        <v>45839</v>
      </c>
      <c r="F272" s="2">
        <v>0.97201388888888884</v>
      </c>
      <c r="G272">
        <v>23</v>
      </c>
      <c r="H272" s="133">
        <v>45839</v>
      </c>
      <c r="I272" s="2">
        <v>0.4720138888888889</v>
      </c>
      <c r="J272">
        <v>11</v>
      </c>
      <c r="R272" t="s">
        <v>30</v>
      </c>
      <c r="W272">
        <v>1</v>
      </c>
      <c r="X272" t="s">
        <v>30</v>
      </c>
      <c r="AC272" t="s">
        <v>858</v>
      </c>
      <c r="AE272" s="135"/>
    </row>
    <row r="273" spans="1:31" ht="12.5" customHeight="1" x14ac:dyDescent="0.35">
      <c r="A273" t="s">
        <v>396</v>
      </c>
      <c r="C273" t="s">
        <v>859</v>
      </c>
      <c r="D273" t="s">
        <v>385</v>
      </c>
      <c r="E273" s="133">
        <v>45839</v>
      </c>
      <c r="F273" s="2">
        <v>0.9725462962962963</v>
      </c>
      <c r="G273">
        <v>23</v>
      </c>
      <c r="H273" s="133">
        <v>45839</v>
      </c>
      <c r="I273" s="2">
        <v>0.4725462962962963</v>
      </c>
      <c r="J273">
        <v>11</v>
      </c>
      <c r="R273" t="s">
        <v>30</v>
      </c>
      <c r="W273">
        <v>1</v>
      </c>
      <c r="X273" t="s">
        <v>30</v>
      </c>
      <c r="AC273" t="s">
        <v>860</v>
      </c>
      <c r="AE273" s="135"/>
    </row>
    <row r="274" spans="1:31" ht="12.5" customHeight="1" x14ac:dyDescent="0.35">
      <c r="A274" t="s">
        <v>396</v>
      </c>
      <c r="C274" t="s">
        <v>861</v>
      </c>
      <c r="D274" t="s">
        <v>385</v>
      </c>
      <c r="E274" s="133">
        <v>45839</v>
      </c>
      <c r="F274" s="2">
        <v>0.9743750000000001</v>
      </c>
      <c r="G274">
        <v>23</v>
      </c>
      <c r="H274" s="133">
        <v>45839</v>
      </c>
      <c r="I274" s="2">
        <v>0.47437499999999999</v>
      </c>
      <c r="J274">
        <v>11</v>
      </c>
      <c r="R274" t="s">
        <v>30</v>
      </c>
      <c r="W274">
        <v>1</v>
      </c>
      <c r="X274" t="s">
        <v>30</v>
      </c>
      <c r="AC274" t="s">
        <v>862</v>
      </c>
      <c r="AE274" s="135"/>
    </row>
    <row r="275" spans="1:31" ht="12.5" customHeight="1" x14ac:dyDescent="0.35">
      <c r="A275" t="s">
        <v>396</v>
      </c>
      <c r="C275" t="s">
        <v>863</v>
      </c>
      <c r="D275" t="s">
        <v>385</v>
      </c>
      <c r="E275" s="133">
        <v>45839</v>
      </c>
      <c r="F275" s="2">
        <v>0.9819675925925927</v>
      </c>
      <c r="G275">
        <v>23</v>
      </c>
      <c r="H275" s="133">
        <v>45839</v>
      </c>
      <c r="I275" s="2">
        <v>0.48196759259259259</v>
      </c>
      <c r="J275">
        <v>11</v>
      </c>
      <c r="R275" t="s">
        <v>30</v>
      </c>
      <c r="W275">
        <v>1</v>
      </c>
      <c r="X275" t="s">
        <v>30</v>
      </c>
      <c r="AC275" t="s">
        <v>864</v>
      </c>
      <c r="AE275" s="135"/>
    </row>
    <row r="276" spans="1:31" ht="12.5" customHeight="1" x14ac:dyDescent="0.35">
      <c r="A276" t="s">
        <v>396</v>
      </c>
      <c r="C276" t="s">
        <v>865</v>
      </c>
      <c r="D276" t="s">
        <v>385</v>
      </c>
      <c r="E276" s="133">
        <v>45839</v>
      </c>
      <c r="F276" s="2">
        <v>0.98421296296296301</v>
      </c>
      <c r="G276">
        <v>23</v>
      </c>
      <c r="H276" s="133">
        <v>45839</v>
      </c>
      <c r="I276" s="2">
        <v>0.48421296296296296</v>
      </c>
      <c r="J276">
        <v>11</v>
      </c>
      <c r="R276" t="s">
        <v>30</v>
      </c>
      <c r="W276">
        <v>1</v>
      </c>
      <c r="X276" t="s">
        <v>30</v>
      </c>
      <c r="AC276" t="s">
        <v>866</v>
      </c>
      <c r="AE276" s="135"/>
    </row>
    <row r="277" spans="1:31" ht="12.5" customHeight="1" x14ac:dyDescent="0.35">
      <c r="A277" t="s">
        <v>396</v>
      </c>
      <c r="C277" t="s">
        <v>867</v>
      </c>
      <c r="D277" t="s">
        <v>385</v>
      </c>
      <c r="E277" s="133">
        <v>45839</v>
      </c>
      <c r="F277" s="2">
        <v>0.98865740740740737</v>
      </c>
      <c r="G277">
        <v>23</v>
      </c>
      <c r="H277" s="133">
        <v>45839</v>
      </c>
      <c r="I277" s="2">
        <v>0.48865740740740743</v>
      </c>
      <c r="J277">
        <v>11</v>
      </c>
      <c r="R277" t="s">
        <v>384</v>
      </c>
      <c r="S277">
        <v>17</v>
      </c>
      <c r="T277">
        <v>17</v>
      </c>
      <c r="U277">
        <v>1</v>
      </c>
      <c r="V277" t="s">
        <v>868</v>
      </c>
      <c r="W277">
        <v>1</v>
      </c>
      <c r="X277" t="s">
        <v>282</v>
      </c>
      <c r="AC277" t="s">
        <v>869</v>
      </c>
      <c r="AE277" s="135"/>
    </row>
    <row r="278" spans="1:31" ht="12.5" customHeight="1" x14ac:dyDescent="0.35">
      <c r="A278" t="s">
        <v>396</v>
      </c>
      <c r="C278" t="s">
        <v>870</v>
      </c>
      <c r="D278" t="s">
        <v>385</v>
      </c>
      <c r="E278" s="133">
        <v>45839</v>
      </c>
      <c r="F278" s="2">
        <v>0.98875000000000002</v>
      </c>
      <c r="G278">
        <v>23</v>
      </c>
      <c r="H278" s="133">
        <v>45839</v>
      </c>
      <c r="I278" s="2">
        <v>0.48875000000000002</v>
      </c>
      <c r="J278">
        <v>11</v>
      </c>
      <c r="R278" t="s">
        <v>384</v>
      </c>
      <c r="S278">
        <v>10</v>
      </c>
      <c r="T278">
        <v>10</v>
      </c>
      <c r="U278">
        <v>1</v>
      </c>
      <c r="V278" t="s">
        <v>871</v>
      </c>
      <c r="W278">
        <v>1</v>
      </c>
      <c r="X278" t="s">
        <v>282</v>
      </c>
      <c r="AC278" t="s">
        <v>872</v>
      </c>
      <c r="AE278" s="135"/>
    </row>
    <row r="279" spans="1:31" ht="12.5" customHeight="1" x14ac:dyDescent="0.35">
      <c r="A279" t="s">
        <v>396</v>
      </c>
      <c r="C279" t="s">
        <v>873</v>
      </c>
      <c r="D279" t="s">
        <v>385</v>
      </c>
      <c r="E279" s="133">
        <v>45839</v>
      </c>
      <c r="F279" s="2">
        <v>0.98888888888888893</v>
      </c>
      <c r="G279">
        <v>23</v>
      </c>
      <c r="H279" s="133">
        <v>45839</v>
      </c>
      <c r="I279" s="2">
        <v>0.48888888888888887</v>
      </c>
      <c r="J279">
        <v>11</v>
      </c>
      <c r="R279" t="s">
        <v>384</v>
      </c>
      <c r="S279">
        <v>18</v>
      </c>
      <c r="T279">
        <v>17</v>
      </c>
      <c r="U279" t="s">
        <v>874</v>
      </c>
      <c r="V279" t="s">
        <v>875</v>
      </c>
      <c r="W279">
        <v>1</v>
      </c>
      <c r="X279" t="s">
        <v>282</v>
      </c>
      <c r="AC279" t="s">
        <v>876</v>
      </c>
      <c r="AE279" s="135"/>
    </row>
    <row r="280" spans="1:31" ht="12.5" customHeight="1" x14ac:dyDescent="0.35">
      <c r="A280" t="s">
        <v>396</v>
      </c>
      <c r="C280" t="s">
        <v>877</v>
      </c>
      <c r="D280" t="s">
        <v>385</v>
      </c>
      <c r="E280" s="133">
        <v>45839</v>
      </c>
      <c r="F280" s="2">
        <v>0.98898148148148157</v>
      </c>
      <c r="G280">
        <v>23</v>
      </c>
      <c r="H280" s="133">
        <v>45839</v>
      </c>
      <c r="I280" s="2">
        <v>0.48898148148148146</v>
      </c>
      <c r="J280">
        <v>11</v>
      </c>
      <c r="R280" t="s">
        <v>384</v>
      </c>
      <c r="S280">
        <v>2</v>
      </c>
      <c r="T280">
        <v>2</v>
      </c>
      <c r="U280">
        <v>1</v>
      </c>
      <c r="V280" t="s">
        <v>878</v>
      </c>
      <c r="W280">
        <v>1</v>
      </c>
      <c r="X280" t="s">
        <v>282</v>
      </c>
      <c r="AC280" t="s">
        <v>879</v>
      </c>
      <c r="AE280" s="135"/>
    </row>
    <row r="281" spans="1:31" ht="12.5" customHeight="1" x14ac:dyDescent="0.35">
      <c r="A281" t="s">
        <v>396</v>
      </c>
      <c r="C281" t="s">
        <v>880</v>
      </c>
      <c r="D281" t="s">
        <v>385</v>
      </c>
      <c r="E281" s="133">
        <v>45839</v>
      </c>
      <c r="F281" s="2">
        <v>0.98914351851851856</v>
      </c>
      <c r="G281">
        <v>23</v>
      </c>
      <c r="H281" s="133">
        <v>45839</v>
      </c>
      <c r="I281" s="2">
        <v>0.48914351851851851</v>
      </c>
      <c r="J281">
        <v>11</v>
      </c>
      <c r="R281" t="s">
        <v>384</v>
      </c>
      <c r="S281">
        <v>23</v>
      </c>
      <c r="T281">
        <v>23</v>
      </c>
      <c r="U281">
        <v>1</v>
      </c>
      <c r="V281" t="s">
        <v>881</v>
      </c>
      <c r="W281">
        <v>1</v>
      </c>
      <c r="X281" t="s">
        <v>282</v>
      </c>
      <c r="AC281" t="s">
        <v>882</v>
      </c>
      <c r="AE281" s="135"/>
    </row>
    <row r="282" spans="1:31" ht="12.5" customHeight="1" x14ac:dyDescent="0.35">
      <c r="A282" t="s">
        <v>396</v>
      </c>
      <c r="C282" t="s">
        <v>883</v>
      </c>
      <c r="D282" t="s">
        <v>385</v>
      </c>
      <c r="E282" s="133">
        <v>45839</v>
      </c>
      <c r="F282" s="2">
        <v>0.98935185185185182</v>
      </c>
      <c r="G282">
        <v>23</v>
      </c>
      <c r="H282" s="133">
        <v>45839</v>
      </c>
      <c r="I282" s="2">
        <v>0.48935185185185182</v>
      </c>
      <c r="J282">
        <v>11</v>
      </c>
      <c r="R282" t="s">
        <v>384</v>
      </c>
      <c r="S282">
        <v>7</v>
      </c>
      <c r="T282">
        <v>7</v>
      </c>
      <c r="U282">
        <v>1</v>
      </c>
      <c r="V282" t="s">
        <v>884</v>
      </c>
      <c r="W282">
        <v>1</v>
      </c>
      <c r="X282" t="s">
        <v>282</v>
      </c>
      <c r="AC282" t="s">
        <v>885</v>
      </c>
      <c r="AE282" s="135"/>
    </row>
    <row r="283" spans="1:31" ht="12.5" customHeight="1" x14ac:dyDescent="0.35">
      <c r="A283" t="s">
        <v>396</v>
      </c>
      <c r="C283" t="s">
        <v>886</v>
      </c>
      <c r="D283" t="s">
        <v>385</v>
      </c>
      <c r="E283" s="133">
        <v>45839</v>
      </c>
      <c r="F283" s="2">
        <v>0.98951388888888892</v>
      </c>
      <c r="G283">
        <v>23</v>
      </c>
      <c r="H283" s="133">
        <v>45839</v>
      </c>
      <c r="I283" s="2">
        <v>0.48951388888888886</v>
      </c>
      <c r="J283">
        <v>11</v>
      </c>
      <c r="K283" t="s">
        <v>388</v>
      </c>
      <c r="R283" t="s">
        <v>384</v>
      </c>
      <c r="S283">
        <v>17</v>
      </c>
      <c r="T283">
        <v>17</v>
      </c>
      <c r="U283">
        <v>1</v>
      </c>
      <c r="V283" t="s">
        <v>887</v>
      </c>
      <c r="W283">
        <v>1</v>
      </c>
      <c r="X283" t="s">
        <v>282</v>
      </c>
      <c r="AC283" t="s">
        <v>888</v>
      </c>
      <c r="AE283" s="135"/>
    </row>
    <row r="284" spans="1:31" ht="12.5" customHeight="1" x14ac:dyDescent="0.35">
      <c r="A284" t="s">
        <v>396</v>
      </c>
      <c r="C284" t="s">
        <v>889</v>
      </c>
      <c r="D284" t="s">
        <v>385</v>
      </c>
      <c r="E284" s="133">
        <v>45839</v>
      </c>
      <c r="F284" s="2">
        <v>0.98960648148148145</v>
      </c>
      <c r="G284">
        <v>23</v>
      </c>
      <c r="H284" s="133">
        <v>45839</v>
      </c>
      <c r="I284" s="2">
        <v>0.4896064814814815</v>
      </c>
      <c r="J284">
        <v>11</v>
      </c>
      <c r="R284" t="s">
        <v>384</v>
      </c>
      <c r="S284">
        <v>18</v>
      </c>
      <c r="T284">
        <v>17</v>
      </c>
      <c r="U284" t="s">
        <v>874</v>
      </c>
      <c r="V284" t="s">
        <v>890</v>
      </c>
      <c r="W284">
        <v>1</v>
      </c>
      <c r="X284" t="s">
        <v>282</v>
      </c>
      <c r="AC284" t="s">
        <v>891</v>
      </c>
      <c r="AE284" s="135"/>
    </row>
    <row r="285" spans="1:31" ht="12.5" customHeight="1" x14ac:dyDescent="0.35">
      <c r="A285" t="s">
        <v>396</v>
      </c>
      <c r="C285" t="s">
        <v>892</v>
      </c>
      <c r="D285" t="s">
        <v>385</v>
      </c>
      <c r="E285" s="133">
        <v>45839</v>
      </c>
      <c r="F285" s="2">
        <v>0.98979166666666663</v>
      </c>
      <c r="G285">
        <v>23</v>
      </c>
      <c r="H285" s="133">
        <v>45839</v>
      </c>
      <c r="I285" s="2">
        <v>0.48979166666666668</v>
      </c>
      <c r="J285">
        <v>11</v>
      </c>
      <c r="R285" t="s">
        <v>384</v>
      </c>
      <c r="S285">
        <v>18</v>
      </c>
      <c r="T285">
        <v>18</v>
      </c>
      <c r="U285">
        <v>1</v>
      </c>
      <c r="V285" t="s">
        <v>893</v>
      </c>
      <c r="W285">
        <v>1</v>
      </c>
      <c r="X285" t="s">
        <v>383</v>
      </c>
      <c r="AC285" t="s">
        <v>894</v>
      </c>
      <c r="AE285" s="135"/>
    </row>
    <row r="286" spans="1:31" ht="12.5" customHeight="1" x14ac:dyDescent="0.35">
      <c r="A286" t="s">
        <v>396</v>
      </c>
      <c r="C286" t="s">
        <v>895</v>
      </c>
      <c r="D286" t="s">
        <v>385</v>
      </c>
      <c r="E286" s="133">
        <v>45839</v>
      </c>
      <c r="F286" s="2">
        <v>0.98993055555555554</v>
      </c>
      <c r="G286">
        <v>23</v>
      </c>
      <c r="H286" s="133">
        <v>45839</v>
      </c>
      <c r="I286" s="2">
        <v>0.48993055555555554</v>
      </c>
      <c r="J286">
        <v>11</v>
      </c>
      <c r="K286" t="s">
        <v>387</v>
      </c>
      <c r="L286" t="s">
        <v>388</v>
      </c>
      <c r="R286" t="s">
        <v>384</v>
      </c>
      <c r="S286">
        <v>22</v>
      </c>
      <c r="T286">
        <v>19</v>
      </c>
      <c r="U286" t="s">
        <v>896</v>
      </c>
      <c r="V286" t="s">
        <v>897</v>
      </c>
      <c r="W286">
        <v>1</v>
      </c>
      <c r="X286" t="s">
        <v>841</v>
      </c>
      <c r="AC286" t="s">
        <v>898</v>
      </c>
      <c r="AE286" s="135"/>
    </row>
    <row r="287" spans="1:31" ht="12.5" customHeight="1" x14ac:dyDescent="0.35">
      <c r="A287" t="s">
        <v>396</v>
      </c>
      <c r="C287" t="s">
        <v>899</v>
      </c>
      <c r="D287" t="s">
        <v>385</v>
      </c>
      <c r="E287" s="133">
        <v>45839</v>
      </c>
      <c r="F287" s="2">
        <v>0.99011574074074071</v>
      </c>
      <c r="G287">
        <v>23</v>
      </c>
      <c r="H287" s="133">
        <v>45839</v>
      </c>
      <c r="I287" s="2">
        <v>0.49011574074074077</v>
      </c>
      <c r="J287">
        <v>11</v>
      </c>
      <c r="R287" t="s">
        <v>384</v>
      </c>
      <c r="S287">
        <v>12</v>
      </c>
      <c r="T287">
        <v>12</v>
      </c>
      <c r="U287">
        <v>1</v>
      </c>
      <c r="V287" t="s">
        <v>900</v>
      </c>
      <c r="W287">
        <v>1</v>
      </c>
      <c r="X287" t="s">
        <v>282</v>
      </c>
      <c r="AC287" t="s">
        <v>901</v>
      </c>
      <c r="AE287" s="135"/>
    </row>
    <row r="288" spans="1:31" ht="12.5" customHeight="1" x14ac:dyDescent="0.35">
      <c r="A288" t="s">
        <v>396</v>
      </c>
      <c r="C288" t="s">
        <v>902</v>
      </c>
      <c r="D288" t="s">
        <v>385</v>
      </c>
      <c r="E288" s="133">
        <v>45839</v>
      </c>
      <c r="F288" s="2">
        <v>0.99032407407407408</v>
      </c>
      <c r="G288">
        <v>23</v>
      </c>
      <c r="H288" s="133">
        <v>45839</v>
      </c>
      <c r="I288" s="2">
        <v>0.49032407407407402</v>
      </c>
      <c r="J288">
        <v>11</v>
      </c>
      <c r="R288" t="s">
        <v>384</v>
      </c>
      <c r="S288">
        <v>22</v>
      </c>
      <c r="T288">
        <v>21</v>
      </c>
      <c r="U288" t="s">
        <v>520</v>
      </c>
      <c r="V288" t="s">
        <v>903</v>
      </c>
      <c r="W288">
        <v>1</v>
      </c>
      <c r="X288" t="s">
        <v>282</v>
      </c>
      <c r="AC288" t="s">
        <v>904</v>
      </c>
      <c r="AE288" s="135"/>
    </row>
    <row r="289" spans="1:31" ht="12.5" customHeight="1" x14ac:dyDescent="0.35">
      <c r="A289" t="s">
        <v>396</v>
      </c>
      <c r="C289" t="s">
        <v>905</v>
      </c>
      <c r="D289" t="s">
        <v>385</v>
      </c>
      <c r="E289" s="133">
        <v>45839</v>
      </c>
      <c r="F289" s="2">
        <v>0.99074074074074081</v>
      </c>
      <c r="G289">
        <v>23</v>
      </c>
      <c r="H289" s="133">
        <v>45839</v>
      </c>
      <c r="I289" s="2">
        <v>0.49074074074074076</v>
      </c>
      <c r="J289">
        <v>11</v>
      </c>
      <c r="R289" t="s">
        <v>384</v>
      </c>
      <c r="S289">
        <v>5</v>
      </c>
      <c r="T289">
        <v>5</v>
      </c>
      <c r="U289">
        <v>1</v>
      </c>
      <c r="V289" t="s">
        <v>906</v>
      </c>
      <c r="W289">
        <v>1</v>
      </c>
      <c r="X289" t="s">
        <v>282</v>
      </c>
      <c r="AC289" t="s">
        <v>907</v>
      </c>
      <c r="AE289" s="135"/>
    </row>
    <row r="290" spans="1:31" ht="12.5" customHeight="1" x14ac:dyDescent="0.35">
      <c r="A290" t="s">
        <v>396</v>
      </c>
      <c r="C290" t="s">
        <v>908</v>
      </c>
      <c r="D290" t="s">
        <v>385</v>
      </c>
      <c r="E290" s="133">
        <v>45839</v>
      </c>
      <c r="F290" s="2">
        <v>0.99092592592592599</v>
      </c>
      <c r="G290">
        <v>23</v>
      </c>
      <c r="H290" s="133">
        <v>45839</v>
      </c>
      <c r="I290" s="2">
        <v>0.49092592592592593</v>
      </c>
      <c r="J290">
        <v>11</v>
      </c>
      <c r="R290" t="s">
        <v>384</v>
      </c>
      <c r="S290">
        <v>13</v>
      </c>
      <c r="T290">
        <v>11</v>
      </c>
      <c r="U290" t="s">
        <v>909</v>
      </c>
      <c r="V290" t="s">
        <v>910</v>
      </c>
      <c r="W290">
        <v>1</v>
      </c>
      <c r="X290" t="s">
        <v>383</v>
      </c>
      <c r="AC290" t="s">
        <v>911</v>
      </c>
      <c r="AE290" s="135"/>
    </row>
    <row r="291" spans="1:31" ht="12.5" customHeight="1" x14ac:dyDescent="0.35">
      <c r="A291" t="s">
        <v>396</v>
      </c>
      <c r="C291" t="s">
        <v>912</v>
      </c>
      <c r="D291" t="s">
        <v>385</v>
      </c>
      <c r="E291" s="133">
        <v>45839</v>
      </c>
      <c r="F291" s="2">
        <v>0.99111111111111105</v>
      </c>
      <c r="G291">
        <v>23</v>
      </c>
      <c r="H291" s="133">
        <v>45839</v>
      </c>
      <c r="I291" s="2">
        <v>0.49111111111111111</v>
      </c>
      <c r="J291">
        <v>11</v>
      </c>
      <c r="R291" t="s">
        <v>384</v>
      </c>
      <c r="S291">
        <v>11</v>
      </c>
      <c r="T291">
        <v>11</v>
      </c>
      <c r="U291">
        <v>1</v>
      </c>
      <c r="V291" t="s">
        <v>913</v>
      </c>
      <c r="W291">
        <v>1</v>
      </c>
      <c r="X291" t="s">
        <v>282</v>
      </c>
      <c r="AC291" t="s">
        <v>914</v>
      </c>
      <c r="AE291" s="135"/>
    </row>
    <row r="292" spans="1:31" ht="12.5" customHeight="1" x14ac:dyDescent="0.35">
      <c r="A292" t="s">
        <v>396</v>
      </c>
      <c r="C292" t="s">
        <v>915</v>
      </c>
      <c r="D292" t="s">
        <v>385</v>
      </c>
      <c r="E292" s="133">
        <v>45839</v>
      </c>
      <c r="F292" s="2">
        <v>0.99122685185185189</v>
      </c>
      <c r="G292">
        <v>23</v>
      </c>
      <c r="H292" s="133">
        <v>45839</v>
      </c>
      <c r="I292" s="2">
        <v>0.49122685185185189</v>
      </c>
      <c r="J292">
        <v>11</v>
      </c>
      <c r="R292" t="s">
        <v>384</v>
      </c>
      <c r="S292">
        <v>18</v>
      </c>
      <c r="T292">
        <v>16</v>
      </c>
      <c r="U292" t="s">
        <v>389</v>
      </c>
      <c r="V292" t="s">
        <v>916</v>
      </c>
      <c r="W292">
        <v>1</v>
      </c>
      <c r="X292" t="s">
        <v>282</v>
      </c>
      <c r="AC292" t="s">
        <v>917</v>
      </c>
      <c r="AE292" s="135"/>
    </row>
    <row r="293" spans="1:31" ht="12.5" customHeight="1" x14ac:dyDescent="0.35">
      <c r="A293" t="s">
        <v>396</v>
      </c>
      <c r="C293" t="s">
        <v>918</v>
      </c>
      <c r="D293" t="s">
        <v>385</v>
      </c>
      <c r="E293" s="133">
        <v>45839</v>
      </c>
      <c r="F293" s="2">
        <v>0.99134259259259261</v>
      </c>
      <c r="G293">
        <v>23</v>
      </c>
      <c r="H293" s="133">
        <v>45839</v>
      </c>
      <c r="I293" s="2">
        <v>0.49134259259259255</v>
      </c>
      <c r="J293">
        <v>11</v>
      </c>
      <c r="R293" t="s">
        <v>384</v>
      </c>
      <c r="S293">
        <v>6</v>
      </c>
      <c r="T293">
        <v>6</v>
      </c>
      <c r="U293">
        <v>1</v>
      </c>
      <c r="V293" t="s">
        <v>919</v>
      </c>
      <c r="W293">
        <v>1</v>
      </c>
      <c r="X293" t="s">
        <v>282</v>
      </c>
      <c r="AC293" t="s">
        <v>920</v>
      </c>
      <c r="AE293" s="135"/>
    </row>
    <row r="294" spans="1:31" ht="12.5" customHeight="1" x14ac:dyDescent="0.35">
      <c r="A294" t="s">
        <v>396</v>
      </c>
      <c r="C294" t="s">
        <v>921</v>
      </c>
      <c r="D294" t="s">
        <v>385</v>
      </c>
      <c r="E294" s="133">
        <v>45839</v>
      </c>
      <c r="F294" s="2">
        <v>0.99164351851851851</v>
      </c>
      <c r="G294">
        <v>23</v>
      </c>
      <c r="H294" s="133">
        <v>45839</v>
      </c>
      <c r="I294" s="2">
        <v>0.49164351851851856</v>
      </c>
      <c r="J294">
        <v>11</v>
      </c>
      <c r="K294" t="s">
        <v>388</v>
      </c>
      <c r="R294" t="s">
        <v>384</v>
      </c>
      <c r="S294">
        <v>7</v>
      </c>
      <c r="T294">
        <v>6</v>
      </c>
      <c r="U294" t="s">
        <v>922</v>
      </c>
      <c r="V294" t="s">
        <v>923</v>
      </c>
      <c r="W294">
        <v>1</v>
      </c>
      <c r="X294" t="s">
        <v>282</v>
      </c>
      <c r="AC294" t="s">
        <v>924</v>
      </c>
      <c r="AE294" s="135"/>
    </row>
    <row r="295" spans="1:31" ht="12.5" customHeight="1" x14ac:dyDescent="0.35">
      <c r="A295" t="s">
        <v>396</v>
      </c>
      <c r="C295" t="s">
        <v>925</v>
      </c>
      <c r="D295" t="s">
        <v>385</v>
      </c>
      <c r="E295" s="133">
        <v>45839</v>
      </c>
      <c r="F295" s="2">
        <v>0.99182870370370368</v>
      </c>
      <c r="G295">
        <v>23</v>
      </c>
      <c r="H295" s="133">
        <v>45839</v>
      </c>
      <c r="I295" s="2">
        <v>0.49182870370370368</v>
      </c>
      <c r="J295">
        <v>11</v>
      </c>
      <c r="R295" t="s">
        <v>384</v>
      </c>
      <c r="S295">
        <v>17</v>
      </c>
      <c r="T295">
        <v>14</v>
      </c>
      <c r="U295" t="s">
        <v>926</v>
      </c>
      <c r="V295" t="s">
        <v>927</v>
      </c>
      <c r="W295">
        <v>1</v>
      </c>
      <c r="X295" t="s">
        <v>383</v>
      </c>
      <c r="AC295" t="s">
        <v>928</v>
      </c>
      <c r="AE295" s="135"/>
    </row>
    <row r="296" spans="1:31" ht="12.5" customHeight="1" x14ac:dyDescent="0.35">
      <c r="A296" t="s">
        <v>396</v>
      </c>
      <c r="C296" t="s">
        <v>929</v>
      </c>
      <c r="D296" t="s">
        <v>385</v>
      </c>
      <c r="E296" s="133">
        <v>45839</v>
      </c>
      <c r="F296" s="2">
        <v>0.99238425925925933</v>
      </c>
      <c r="G296">
        <v>23</v>
      </c>
      <c r="H296" s="133">
        <v>45839</v>
      </c>
      <c r="I296" s="2">
        <v>0.49238425925925927</v>
      </c>
      <c r="J296">
        <v>11</v>
      </c>
      <c r="K296" t="s">
        <v>388</v>
      </c>
      <c r="R296" t="s">
        <v>384</v>
      </c>
      <c r="S296">
        <v>3</v>
      </c>
      <c r="T296">
        <v>3</v>
      </c>
      <c r="U296">
        <v>1</v>
      </c>
      <c r="V296" t="s">
        <v>930</v>
      </c>
      <c r="W296">
        <v>1</v>
      </c>
      <c r="X296" t="s">
        <v>282</v>
      </c>
      <c r="AC296" t="s">
        <v>931</v>
      </c>
      <c r="AE296" s="135"/>
    </row>
    <row r="297" spans="1:31" ht="12.5" customHeight="1" x14ac:dyDescent="0.35">
      <c r="A297" t="s">
        <v>396</v>
      </c>
      <c r="C297" t="s">
        <v>932</v>
      </c>
      <c r="D297" t="s">
        <v>385</v>
      </c>
      <c r="E297" s="133">
        <v>45839</v>
      </c>
      <c r="F297" s="2">
        <v>0.99250000000000005</v>
      </c>
      <c r="G297">
        <v>23</v>
      </c>
      <c r="H297" s="133">
        <v>45839</v>
      </c>
      <c r="I297" s="2">
        <v>0.49249999999999999</v>
      </c>
      <c r="J297">
        <v>11</v>
      </c>
      <c r="R297" t="s">
        <v>384</v>
      </c>
      <c r="S297">
        <v>19</v>
      </c>
      <c r="T297">
        <v>18</v>
      </c>
      <c r="U297" t="s">
        <v>391</v>
      </c>
      <c r="V297" t="s">
        <v>933</v>
      </c>
      <c r="W297">
        <v>1</v>
      </c>
      <c r="X297" t="s">
        <v>282</v>
      </c>
      <c r="AC297" t="s">
        <v>934</v>
      </c>
      <c r="AE297" s="135"/>
    </row>
    <row r="298" spans="1:31" ht="12.5" customHeight="1" x14ac:dyDescent="0.35">
      <c r="A298" t="s">
        <v>396</v>
      </c>
      <c r="C298" t="s">
        <v>935</v>
      </c>
      <c r="D298" t="s">
        <v>385</v>
      </c>
      <c r="E298" s="133">
        <v>45839</v>
      </c>
      <c r="F298" s="2">
        <v>0.99268518518518523</v>
      </c>
      <c r="G298">
        <v>23</v>
      </c>
      <c r="H298" s="133">
        <v>45839</v>
      </c>
      <c r="I298" s="2">
        <v>0.49268518518518517</v>
      </c>
      <c r="J298">
        <v>11</v>
      </c>
      <c r="R298" t="s">
        <v>384</v>
      </c>
      <c r="S298">
        <v>10</v>
      </c>
      <c r="T298">
        <v>10</v>
      </c>
      <c r="U298">
        <v>1</v>
      </c>
      <c r="V298" t="s">
        <v>936</v>
      </c>
      <c r="W298">
        <v>1</v>
      </c>
      <c r="X298" t="s">
        <v>282</v>
      </c>
      <c r="AC298" t="s">
        <v>937</v>
      </c>
      <c r="AE298" s="135"/>
    </row>
    <row r="299" spans="1:31" ht="12.5" customHeight="1" x14ac:dyDescent="0.35">
      <c r="A299" t="s">
        <v>396</v>
      </c>
      <c r="C299" t="s">
        <v>938</v>
      </c>
      <c r="D299" t="s">
        <v>385</v>
      </c>
      <c r="E299" s="133">
        <v>45839</v>
      </c>
      <c r="F299" s="2">
        <v>0.99282407407407414</v>
      </c>
      <c r="G299">
        <v>23</v>
      </c>
      <c r="H299" s="133">
        <v>45839</v>
      </c>
      <c r="I299" s="2">
        <v>0.49282407407407408</v>
      </c>
      <c r="J299">
        <v>11</v>
      </c>
      <c r="K299" t="s">
        <v>635</v>
      </c>
      <c r="R299" t="s">
        <v>384</v>
      </c>
      <c r="S299">
        <v>20</v>
      </c>
      <c r="T299">
        <v>19</v>
      </c>
      <c r="U299" t="s">
        <v>525</v>
      </c>
      <c r="V299" t="s">
        <v>939</v>
      </c>
      <c r="W299">
        <v>1</v>
      </c>
      <c r="X299" t="s">
        <v>282</v>
      </c>
      <c r="AC299" t="s">
        <v>940</v>
      </c>
      <c r="AE299" s="135"/>
    </row>
    <row r="300" spans="1:31" ht="12.5" customHeight="1" x14ac:dyDescent="0.35">
      <c r="A300" t="s">
        <v>396</v>
      </c>
      <c r="C300" t="s">
        <v>941</v>
      </c>
      <c r="D300" t="s">
        <v>385</v>
      </c>
      <c r="E300" s="133">
        <v>45839</v>
      </c>
      <c r="F300" s="2">
        <v>0.99321759259259268</v>
      </c>
      <c r="G300">
        <v>23</v>
      </c>
      <c r="H300" s="133">
        <v>45839</v>
      </c>
      <c r="I300" s="2">
        <v>0.49321759259259257</v>
      </c>
      <c r="J300">
        <v>11</v>
      </c>
      <c r="K300" t="s">
        <v>635</v>
      </c>
      <c r="L300" t="s">
        <v>388</v>
      </c>
      <c r="R300" t="s">
        <v>384</v>
      </c>
      <c r="S300">
        <v>31</v>
      </c>
      <c r="T300">
        <v>24</v>
      </c>
      <c r="U300" t="s">
        <v>942</v>
      </c>
      <c r="V300" t="s">
        <v>943</v>
      </c>
      <c r="W300">
        <v>1</v>
      </c>
      <c r="X300" t="s">
        <v>282</v>
      </c>
      <c r="AC300" t="s">
        <v>944</v>
      </c>
      <c r="AE300" s="135"/>
    </row>
    <row r="301" spans="1:31" ht="12.5" customHeight="1" x14ac:dyDescent="0.35">
      <c r="A301" t="s">
        <v>396</v>
      </c>
      <c r="C301" t="s">
        <v>945</v>
      </c>
      <c r="D301" t="s">
        <v>385</v>
      </c>
      <c r="E301" s="133">
        <v>45839</v>
      </c>
      <c r="F301" s="2">
        <v>0.99331018518518521</v>
      </c>
      <c r="G301">
        <v>23</v>
      </c>
      <c r="H301" s="133">
        <v>45839</v>
      </c>
      <c r="I301" s="2">
        <v>0.49331018518518516</v>
      </c>
      <c r="J301">
        <v>11</v>
      </c>
      <c r="K301" t="s">
        <v>635</v>
      </c>
      <c r="R301" t="s">
        <v>384</v>
      </c>
      <c r="S301">
        <v>22</v>
      </c>
      <c r="T301">
        <v>15</v>
      </c>
      <c r="U301" t="s">
        <v>946</v>
      </c>
      <c r="V301" t="s">
        <v>947</v>
      </c>
      <c r="W301">
        <v>1</v>
      </c>
      <c r="X301" t="s">
        <v>282</v>
      </c>
      <c r="AC301" t="s">
        <v>948</v>
      </c>
      <c r="AE301" s="135"/>
    </row>
    <row r="302" spans="1:31" ht="12.5" customHeight="1" x14ac:dyDescent="0.35">
      <c r="A302" t="s">
        <v>396</v>
      </c>
      <c r="C302" t="s">
        <v>949</v>
      </c>
      <c r="D302" t="s">
        <v>385</v>
      </c>
      <c r="E302" s="133">
        <v>45839</v>
      </c>
      <c r="F302" s="2">
        <v>0.99340277777777775</v>
      </c>
      <c r="G302">
        <v>23</v>
      </c>
      <c r="H302" s="133">
        <v>45839</v>
      </c>
      <c r="I302" s="2">
        <v>0.4934027777777778</v>
      </c>
      <c r="J302">
        <v>11</v>
      </c>
      <c r="R302" t="s">
        <v>384</v>
      </c>
      <c r="S302">
        <v>8</v>
      </c>
      <c r="T302">
        <v>8</v>
      </c>
      <c r="U302">
        <v>1</v>
      </c>
      <c r="V302" t="s">
        <v>950</v>
      </c>
      <c r="W302">
        <v>1</v>
      </c>
      <c r="X302" t="s">
        <v>282</v>
      </c>
      <c r="AC302" t="s">
        <v>951</v>
      </c>
      <c r="AE302" s="135"/>
    </row>
    <row r="303" spans="1:31" ht="12.5" customHeight="1" x14ac:dyDescent="0.35">
      <c r="A303" t="s">
        <v>396</v>
      </c>
      <c r="C303" t="s">
        <v>952</v>
      </c>
      <c r="D303" t="s">
        <v>385</v>
      </c>
      <c r="E303" s="133">
        <v>45839</v>
      </c>
      <c r="F303" s="2">
        <v>0.99349537037037028</v>
      </c>
      <c r="G303">
        <v>23</v>
      </c>
      <c r="H303" s="133">
        <v>45839</v>
      </c>
      <c r="I303" s="2">
        <v>0.49349537037037039</v>
      </c>
      <c r="J303">
        <v>11</v>
      </c>
      <c r="R303" t="s">
        <v>384</v>
      </c>
      <c r="S303">
        <v>20</v>
      </c>
      <c r="T303">
        <v>19</v>
      </c>
      <c r="U303" t="s">
        <v>525</v>
      </c>
      <c r="V303" t="s">
        <v>953</v>
      </c>
      <c r="W303">
        <v>1</v>
      </c>
      <c r="X303" t="s">
        <v>282</v>
      </c>
      <c r="AC303" t="s">
        <v>954</v>
      </c>
      <c r="AE303" s="135"/>
    </row>
    <row r="304" spans="1:31" ht="12.5" customHeight="1" x14ac:dyDescent="0.35">
      <c r="A304" t="s">
        <v>396</v>
      </c>
      <c r="C304" t="s">
        <v>955</v>
      </c>
      <c r="D304" t="s">
        <v>385</v>
      </c>
      <c r="E304" s="133">
        <v>45839</v>
      </c>
      <c r="F304" s="2">
        <v>0.99368055555555557</v>
      </c>
      <c r="G304">
        <v>23</v>
      </c>
      <c r="H304" s="133">
        <v>45839</v>
      </c>
      <c r="I304" s="2">
        <v>0.49368055555555551</v>
      </c>
      <c r="J304">
        <v>11</v>
      </c>
      <c r="K304" t="s">
        <v>387</v>
      </c>
      <c r="R304" t="s">
        <v>384</v>
      </c>
      <c r="S304">
        <v>4</v>
      </c>
      <c r="T304">
        <v>4</v>
      </c>
      <c r="U304">
        <v>1</v>
      </c>
      <c r="V304" t="s">
        <v>956</v>
      </c>
      <c r="W304">
        <v>1</v>
      </c>
      <c r="X304" t="s">
        <v>282</v>
      </c>
      <c r="AC304" t="s">
        <v>957</v>
      </c>
      <c r="AE304" s="135"/>
    </row>
    <row r="305" spans="1:31" ht="12.5" customHeight="1" x14ac:dyDescent="0.35">
      <c r="A305" t="s">
        <v>396</v>
      </c>
      <c r="C305" t="s">
        <v>958</v>
      </c>
      <c r="D305" t="s">
        <v>385</v>
      </c>
      <c r="E305" s="133">
        <v>45839</v>
      </c>
      <c r="F305" s="2">
        <v>0.99386574074074074</v>
      </c>
      <c r="G305">
        <v>23</v>
      </c>
      <c r="H305" s="133">
        <v>45839</v>
      </c>
      <c r="I305" s="2">
        <v>0.49386574074074074</v>
      </c>
      <c r="J305">
        <v>11</v>
      </c>
      <c r="K305" t="s">
        <v>388</v>
      </c>
      <c r="R305" t="s">
        <v>384</v>
      </c>
      <c r="S305">
        <v>14</v>
      </c>
      <c r="T305">
        <v>14</v>
      </c>
      <c r="U305">
        <v>1</v>
      </c>
      <c r="V305" t="s">
        <v>959</v>
      </c>
      <c r="W305">
        <v>1</v>
      </c>
      <c r="X305" t="s">
        <v>282</v>
      </c>
      <c r="AC305" t="s">
        <v>960</v>
      </c>
      <c r="AE305" s="135"/>
    </row>
    <row r="306" spans="1:31" ht="12.5" customHeight="1" x14ac:dyDescent="0.35">
      <c r="A306" t="s">
        <v>396</v>
      </c>
      <c r="C306" t="s">
        <v>961</v>
      </c>
      <c r="D306" t="s">
        <v>385</v>
      </c>
      <c r="E306" s="133">
        <v>45839</v>
      </c>
      <c r="F306" s="2">
        <v>0.99405092592592592</v>
      </c>
      <c r="G306">
        <v>23</v>
      </c>
      <c r="H306" s="133">
        <v>45839</v>
      </c>
      <c r="I306" s="2">
        <v>0.49405092592592598</v>
      </c>
      <c r="J306">
        <v>11</v>
      </c>
      <c r="R306" t="s">
        <v>384</v>
      </c>
      <c r="S306">
        <v>6</v>
      </c>
      <c r="T306">
        <v>5</v>
      </c>
      <c r="U306" t="s">
        <v>476</v>
      </c>
      <c r="V306" t="s">
        <v>962</v>
      </c>
      <c r="W306">
        <v>1</v>
      </c>
      <c r="X306" t="s">
        <v>383</v>
      </c>
      <c r="AC306" t="s">
        <v>963</v>
      </c>
      <c r="AE306" s="135"/>
    </row>
    <row r="307" spans="1:31" ht="12.5" customHeight="1" x14ac:dyDescent="0.35">
      <c r="A307" t="s">
        <v>396</v>
      </c>
      <c r="C307" t="s">
        <v>964</v>
      </c>
      <c r="D307" t="s">
        <v>385</v>
      </c>
      <c r="E307" s="133">
        <v>45839</v>
      </c>
      <c r="F307" s="2">
        <v>0.99421296296296291</v>
      </c>
      <c r="G307">
        <v>23</v>
      </c>
      <c r="H307" s="133">
        <v>45839</v>
      </c>
      <c r="I307" s="2">
        <v>0.49421296296296297</v>
      </c>
      <c r="J307">
        <v>11</v>
      </c>
      <c r="K307" t="s">
        <v>635</v>
      </c>
      <c r="R307" t="s">
        <v>384</v>
      </c>
      <c r="S307">
        <v>17</v>
      </c>
      <c r="T307">
        <v>16</v>
      </c>
      <c r="U307" t="s">
        <v>965</v>
      </c>
      <c r="V307" t="s">
        <v>966</v>
      </c>
      <c r="W307">
        <v>1</v>
      </c>
      <c r="X307" t="s">
        <v>282</v>
      </c>
      <c r="AC307" t="s">
        <v>967</v>
      </c>
      <c r="AE307" s="135"/>
    </row>
    <row r="308" spans="1:31" ht="12.5" customHeight="1" x14ac:dyDescent="0.35">
      <c r="A308" t="s">
        <v>396</v>
      </c>
      <c r="C308" t="s">
        <v>968</v>
      </c>
      <c r="D308" t="s">
        <v>385</v>
      </c>
      <c r="E308" s="133">
        <v>45839</v>
      </c>
      <c r="F308" s="2">
        <v>0.99432870370370363</v>
      </c>
      <c r="G308">
        <v>23</v>
      </c>
      <c r="H308" s="133">
        <v>45839</v>
      </c>
      <c r="I308" s="2">
        <v>0.49432870370370369</v>
      </c>
      <c r="J308">
        <v>11</v>
      </c>
      <c r="K308" t="s">
        <v>388</v>
      </c>
      <c r="R308" t="s">
        <v>384</v>
      </c>
      <c r="S308">
        <v>14</v>
      </c>
      <c r="T308">
        <v>13</v>
      </c>
      <c r="U308" t="s">
        <v>969</v>
      </c>
      <c r="V308" t="s">
        <v>970</v>
      </c>
      <c r="W308">
        <v>1</v>
      </c>
      <c r="X308" t="s">
        <v>282</v>
      </c>
      <c r="AC308" t="s">
        <v>971</v>
      </c>
      <c r="AE308" s="135"/>
    </row>
    <row r="309" spans="1:31" ht="12.5" customHeight="1" x14ac:dyDescent="0.35">
      <c r="A309" t="s">
        <v>396</v>
      </c>
      <c r="C309" t="s">
        <v>972</v>
      </c>
      <c r="D309" t="s">
        <v>385</v>
      </c>
      <c r="E309" s="133">
        <v>45839</v>
      </c>
      <c r="F309" s="2">
        <v>0.99458333333333337</v>
      </c>
      <c r="G309">
        <v>23</v>
      </c>
      <c r="H309" s="133">
        <v>45839</v>
      </c>
      <c r="I309" s="2">
        <v>0.49458333333333332</v>
      </c>
      <c r="J309">
        <v>11</v>
      </c>
      <c r="R309" t="s">
        <v>384</v>
      </c>
      <c r="S309">
        <v>18</v>
      </c>
      <c r="T309">
        <v>17</v>
      </c>
      <c r="U309" t="s">
        <v>874</v>
      </c>
      <c r="V309" t="s">
        <v>973</v>
      </c>
      <c r="W309">
        <v>1</v>
      </c>
      <c r="X309" t="s">
        <v>282</v>
      </c>
      <c r="AC309" t="s">
        <v>974</v>
      </c>
      <c r="AE309" s="135"/>
    </row>
    <row r="310" spans="1:31" ht="12.5" customHeight="1" x14ac:dyDescent="0.35">
      <c r="A310" t="s">
        <v>396</v>
      </c>
      <c r="C310" t="s">
        <v>975</v>
      </c>
      <c r="D310" t="s">
        <v>385</v>
      </c>
      <c r="E310" s="133">
        <v>45839</v>
      </c>
      <c r="F310" s="2">
        <v>0.99467592592592602</v>
      </c>
      <c r="G310">
        <v>23</v>
      </c>
      <c r="H310" s="133">
        <v>45839</v>
      </c>
      <c r="I310" s="2">
        <v>0.49467592592592591</v>
      </c>
      <c r="J310">
        <v>11</v>
      </c>
      <c r="K310" t="s">
        <v>388</v>
      </c>
      <c r="R310" t="s">
        <v>384</v>
      </c>
      <c r="S310">
        <v>27</v>
      </c>
      <c r="T310">
        <v>26</v>
      </c>
      <c r="U310" t="s">
        <v>976</v>
      </c>
      <c r="V310" t="s">
        <v>977</v>
      </c>
      <c r="W310">
        <v>1</v>
      </c>
      <c r="X310" t="s">
        <v>282</v>
      </c>
      <c r="AC310" t="s">
        <v>978</v>
      </c>
      <c r="AE310" s="135"/>
    </row>
    <row r="311" spans="1:31" ht="12.5" customHeight="1" x14ac:dyDescent="0.35">
      <c r="A311" t="s">
        <v>396</v>
      </c>
      <c r="C311" t="s">
        <v>979</v>
      </c>
      <c r="D311" t="s">
        <v>385</v>
      </c>
      <c r="E311" s="133">
        <v>45839</v>
      </c>
      <c r="F311" s="2">
        <v>0.99476851851851855</v>
      </c>
      <c r="G311">
        <v>23</v>
      </c>
      <c r="H311" s="133">
        <v>45839</v>
      </c>
      <c r="I311" s="2">
        <v>0.4947685185185185</v>
      </c>
      <c r="J311">
        <v>11</v>
      </c>
      <c r="K311" t="s">
        <v>635</v>
      </c>
      <c r="R311" t="s">
        <v>384</v>
      </c>
      <c r="S311">
        <v>15</v>
      </c>
      <c r="T311">
        <v>15</v>
      </c>
      <c r="U311">
        <v>1</v>
      </c>
      <c r="V311" t="s">
        <v>980</v>
      </c>
      <c r="W311">
        <v>1</v>
      </c>
      <c r="X311" t="s">
        <v>282</v>
      </c>
      <c r="AC311" t="s">
        <v>981</v>
      </c>
      <c r="AE311" s="135"/>
    </row>
    <row r="312" spans="1:31" ht="12.5" customHeight="1" x14ac:dyDescent="0.35">
      <c r="A312" t="s">
        <v>396</v>
      </c>
      <c r="C312" t="s">
        <v>982</v>
      </c>
      <c r="D312" t="s">
        <v>385</v>
      </c>
      <c r="E312" s="133">
        <v>45839</v>
      </c>
      <c r="F312" s="2">
        <v>0.99493055555555554</v>
      </c>
      <c r="G312">
        <v>23</v>
      </c>
      <c r="H312" s="133">
        <v>45839</v>
      </c>
      <c r="I312" s="2">
        <v>0.4949305555555556</v>
      </c>
      <c r="J312">
        <v>11</v>
      </c>
      <c r="R312" t="s">
        <v>384</v>
      </c>
      <c r="S312">
        <v>11</v>
      </c>
      <c r="T312">
        <v>10</v>
      </c>
      <c r="U312" t="s">
        <v>787</v>
      </c>
      <c r="V312" t="s">
        <v>983</v>
      </c>
      <c r="W312">
        <v>1</v>
      </c>
      <c r="X312" t="s">
        <v>282</v>
      </c>
      <c r="AC312" t="s">
        <v>984</v>
      </c>
      <c r="AE312" s="135"/>
    </row>
    <row r="313" spans="1:31" ht="12.5" customHeight="1" x14ac:dyDescent="0.35">
      <c r="A313" t="s">
        <v>396</v>
      </c>
      <c r="C313" t="s">
        <v>985</v>
      </c>
      <c r="D313" t="s">
        <v>385</v>
      </c>
      <c r="E313" s="133">
        <v>45839</v>
      </c>
      <c r="F313" s="2">
        <v>0.99504629629629626</v>
      </c>
      <c r="G313">
        <v>23</v>
      </c>
      <c r="H313" s="133">
        <v>45839</v>
      </c>
      <c r="I313" s="2">
        <v>0.49504629629629626</v>
      </c>
      <c r="J313">
        <v>11</v>
      </c>
      <c r="R313" t="s">
        <v>384</v>
      </c>
      <c r="S313">
        <v>17</v>
      </c>
      <c r="T313">
        <v>17</v>
      </c>
      <c r="U313">
        <v>1</v>
      </c>
      <c r="V313" t="s">
        <v>986</v>
      </c>
      <c r="W313">
        <v>1</v>
      </c>
      <c r="X313" t="s">
        <v>383</v>
      </c>
      <c r="AC313" t="s">
        <v>987</v>
      </c>
      <c r="AE313" s="135"/>
    </row>
    <row r="314" spans="1:31" ht="12.5" customHeight="1" x14ac:dyDescent="0.35">
      <c r="A314" t="s">
        <v>396</v>
      </c>
      <c r="C314" t="s">
        <v>988</v>
      </c>
      <c r="D314" t="s">
        <v>385</v>
      </c>
      <c r="E314" s="133">
        <v>45839</v>
      </c>
      <c r="F314" s="2">
        <v>0.99520833333333336</v>
      </c>
      <c r="G314">
        <v>23</v>
      </c>
      <c r="H314" s="133">
        <v>45839</v>
      </c>
      <c r="I314" s="2">
        <v>0.49520833333333331</v>
      </c>
      <c r="J314">
        <v>11</v>
      </c>
      <c r="R314" t="s">
        <v>384</v>
      </c>
      <c r="S314">
        <v>14</v>
      </c>
      <c r="T314">
        <v>14</v>
      </c>
      <c r="U314">
        <v>1</v>
      </c>
      <c r="V314" t="s">
        <v>989</v>
      </c>
      <c r="W314">
        <v>1</v>
      </c>
      <c r="X314" t="s">
        <v>282</v>
      </c>
      <c r="AC314" t="s">
        <v>990</v>
      </c>
      <c r="AE314" s="135"/>
    </row>
    <row r="315" spans="1:31" ht="12.5" customHeight="1" x14ac:dyDescent="0.35">
      <c r="A315" t="s">
        <v>396</v>
      </c>
      <c r="C315" t="s">
        <v>991</v>
      </c>
      <c r="D315" t="s">
        <v>385</v>
      </c>
      <c r="E315" s="133">
        <v>45839</v>
      </c>
      <c r="F315" s="2">
        <v>0.99534722222222216</v>
      </c>
      <c r="G315">
        <v>23</v>
      </c>
      <c r="H315" s="133">
        <v>45839</v>
      </c>
      <c r="I315" s="2">
        <v>0.49534722222222222</v>
      </c>
      <c r="J315">
        <v>11</v>
      </c>
      <c r="R315" t="s">
        <v>384</v>
      </c>
      <c r="S315">
        <v>8</v>
      </c>
      <c r="T315">
        <v>8</v>
      </c>
      <c r="U315">
        <v>1</v>
      </c>
      <c r="V315" t="s">
        <v>992</v>
      </c>
      <c r="W315">
        <v>1</v>
      </c>
      <c r="X315" t="s">
        <v>282</v>
      </c>
      <c r="AC315" t="s">
        <v>993</v>
      </c>
      <c r="AE315" s="135"/>
    </row>
    <row r="316" spans="1:31" ht="12.5" customHeight="1" x14ac:dyDescent="0.35">
      <c r="A316" t="s">
        <v>396</v>
      </c>
      <c r="C316" t="s">
        <v>994</v>
      </c>
      <c r="D316" t="s">
        <v>385</v>
      </c>
      <c r="E316" s="133">
        <v>45839</v>
      </c>
      <c r="F316" s="2">
        <v>0.99828703703703703</v>
      </c>
      <c r="G316">
        <v>23</v>
      </c>
      <c r="H316" s="133">
        <v>45839</v>
      </c>
      <c r="I316" s="2">
        <v>0.49828703703703708</v>
      </c>
      <c r="J316">
        <v>11</v>
      </c>
      <c r="R316" t="s">
        <v>30</v>
      </c>
      <c r="W316">
        <v>1</v>
      </c>
      <c r="X316" t="s">
        <v>30</v>
      </c>
      <c r="AC316" t="s">
        <v>995</v>
      </c>
      <c r="AE316" s="135"/>
    </row>
    <row r="317" spans="1:31" ht="12.5" customHeight="1" x14ac:dyDescent="0.35">
      <c r="A317" t="s">
        <v>396</v>
      </c>
      <c r="C317" t="s">
        <v>996</v>
      </c>
      <c r="D317" t="s">
        <v>385</v>
      </c>
      <c r="E317" s="133">
        <v>45839</v>
      </c>
      <c r="F317" s="2">
        <v>0.99909722222222219</v>
      </c>
      <c r="G317">
        <v>23</v>
      </c>
      <c r="H317" s="133">
        <v>45839</v>
      </c>
      <c r="I317" s="2">
        <v>0.49909722222222225</v>
      </c>
      <c r="J317">
        <v>11</v>
      </c>
      <c r="K317" t="s">
        <v>388</v>
      </c>
      <c r="R317" t="s">
        <v>384</v>
      </c>
      <c r="S317">
        <v>5</v>
      </c>
      <c r="T317">
        <v>5</v>
      </c>
      <c r="U317">
        <v>1</v>
      </c>
      <c r="V317" t="s">
        <v>997</v>
      </c>
      <c r="W317">
        <v>1</v>
      </c>
      <c r="X317" t="s">
        <v>282</v>
      </c>
      <c r="AC317" t="s">
        <v>998</v>
      </c>
      <c r="AE317" s="135"/>
    </row>
    <row r="318" spans="1:31" ht="12.5" customHeight="1" x14ac:dyDescent="0.35">
      <c r="A318" t="s">
        <v>396</v>
      </c>
      <c r="C318" t="s">
        <v>999</v>
      </c>
      <c r="D318" t="s">
        <v>385</v>
      </c>
      <c r="E318" s="133">
        <v>45839</v>
      </c>
      <c r="F318" s="2">
        <v>0.99956018518518519</v>
      </c>
      <c r="G318">
        <v>23</v>
      </c>
      <c r="H318" s="133">
        <v>45839</v>
      </c>
      <c r="I318" s="2">
        <v>0.49956018518518519</v>
      </c>
      <c r="J318">
        <v>11</v>
      </c>
      <c r="K318" t="s">
        <v>635</v>
      </c>
      <c r="R318" t="s">
        <v>384</v>
      </c>
      <c r="S318">
        <v>28</v>
      </c>
      <c r="T318">
        <v>20</v>
      </c>
      <c r="U318" t="s">
        <v>395</v>
      </c>
      <c r="V318" t="s">
        <v>1000</v>
      </c>
      <c r="W318">
        <v>1</v>
      </c>
      <c r="X318" t="s">
        <v>282</v>
      </c>
      <c r="AC318" t="s">
        <v>1001</v>
      </c>
      <c r="AE318" s="135"/>
    </row>
    <row r="319" spans="1:31" ht="12.5" customHeight="1" x14ac:dyDescent="0.35">
      <c r="A319" t="s">
        <v>396</v>
      </c>
      <c r="C319" t="s">
        <v>1002</v>
      </c>
      <c r="D319" t="s">
        <v>385</v>
      </c>
      <c r="E319" s="133">
        <v>45840</v>
      </c>
      <c r="F319" s="2">
        <v>8.1018518518518516E-4</v>
      </c>
      <c r="G319">
        <v>0</v>
      </c>
      <c r="H319" s="133">
        <v>45839</v>
      </c>
      <c r="I319" s="2">
        <v>0.50081018518518516</v>
      </c>
      <c r="J319">
        <v>12</v>
      </c>
      <c r="R319" t="s">
        <v>30</v>
      </c>
      <c r="W319">
        <v>1</v>
      </c>
      <c r="X319" t="s">
        <v>30</v>
      </c>
      <c r="AC319" t="s">
        <v>1003</v>
      </c>
      <c r="AE319" s="135"/>
    </row>
    <row r="320" spans="1:31" ht="12.5" customHeight="1" x14ac:dyDescent="0.35">
      <c r="A320" t="s">
        <v>396</v>
      </c>
      <c r="C320" t="s">
        <v>1004</v>
      </c>
      <c r="D320" t="s">
        <v>385</v>
      </c>
      <c r="E320" s="133">
        <v>45840</v>
      </c>
      <c r="F320" s="2">
        <v>1.9444444444444442E-3</v>
      </c>
      <c r="G320">
        <v>0</v>
      </c>
      <c r="H320" s="133">
        <v>45839</v>
      </c>
      <c r="I320" s="2">
        <v>0.50194444444444442</v>
      </c>
      <c r="J320">
        <v>12</v>
      </c>
      <c r="R320" t="s">
        <v>30</v>
      </c>
      <c r="W320">
        <v>1</v>
      </c>
      <c r="X320" t="s">
        <v>30</v>
      </c>
      <c r="AC320" t="s">
        <v>1005</v>
      </c>
      <c r="AE320" s="135"/>
    </row>
    <row r="321" spans="1:31" ht="12.5" customHeight="1" x14ac:dyDescent="0.35">
      <c r="A321" t="s">
        <v>396</v>
      </c>
      <c r="C321" t="s">
        <v>1006</v>
      </c>
      <c r="D321" t="s">
        <v>385</v>
      </c>
      <c r="E321" s="133">
        <v>45840</v>
      </c>
      <c r="F321" s="2">
        <v>4.7685185185185183E-3</v>
      </c>
      <c r="G321">
        <v>0</v>
      </c>
      <c r="H321" s="133">
        <v>45839</v>
      </c>
      <c r="I321" s="2">
        <v>0.50476851851851856</v>
      </c>
      <c r="J321">
        <v>12</v>
      </c>
      <c r="R321" t="s">
        <v>30</v>
      </c>
      <c r="W321">
        <v>1</v>
      </c>
      <c r="X321" t="s">
        <v>30</v>
      </c>
      <c r="AC321" t="s">
        <v>1007</v>
      </c>
      <c r="AE321" s="135"/>
    </row>
    <row r="322" spans="1:31" ht="12.5" customHeight="1" x14ac:dyDescent="0.35">
      <c r="A322" t="s">
        <v>396</v>
      </c>
      <c r="C322" t="s">
        <v>1008</v>
      </c>
      <c r="D322" t="s">
        <v>385</v>
      </c>
      <c r="E322" s="133">
        <v>45840</v>
      </c>
      <c r="F322" s="2">
        <v>7.037037037037037E-3</v>
      </c>
      <c r="G322">
        <v>0</v>
      </c>
      <c r="H322" s="133">
        <v>45839</v>
      </c>
      <c r="I322" s="2">
        <v>0.50703703703703706</v>
      </c>
      <c r="J322">
        <v>12</v>
      </c>
      <c r="R322" t="s">
        <v>30</v>
      </c>
      <c r="W322">
        <v>1</v>
      </c>
      <c r="X322" t="s">
        <v>30</v>
      </c>
      <c r="AC322" t="s">
        <v>1009</v>
      </c>
      <c r="AE322" s="135"/>
    </row>
    <row r="323" spans="1:31" ht="12.5" customHeight="1" x14ac:dyDescent="0.35">
      <c r="A323" t="s">
        <v>396</v>
      </c>
      <c r="C323" t="s">
        <v>1010</v>
      </c>
      <c r="D323" t="s">
        <v>385</v>
      </c>
      <c r="E323" s="133">
        <v>45840</v>
      </c>
      <c r="F323" s="2">
        <v>8.9120370370370378E-3</v>
      </c>
      <c r="G323">
        <v>0</v>
      </c>
      <c r="H323" s="133">
        <v>45839</v>
      </c>
      <c r="I323" s="2">
        <v>0.50891203703703702</v>
      </c>
      <c r="J323">
        <v>12</v>
      </c>
      <c r="R323" t="s">
        <v>30</v>
      </c>
      <c r="W323">
        <v>1</v>
      </c>
      <c r="X323" t="s">
        <v>30</v>
      </c>
      <c r="AC323" t="s">
        <v>1011</v>
      </c>
      <c r="AE323" s="135"/>
    </row>
    <row r="324" spans="1:31" ht="12.5" customHeight="1" x14ac:dyDescent="0.35">
      <c r="A324" t="s">
        <v>396</v>
      </c>
      <c r="C324" t="s">
        <v>1012</v>
      </c>
      <c r="D324" t="s">
        <v>385</v>
      </c>
      <c r="E324" s="133">
        <v>45840</v>
      </c>
      <c r="F324" s="2">
        <v>1.7083333333333336E-2</v>
      </c>
      <c r="G324">
        <v>0</v>
      </c>
      <c r="H324" s="133">
        <v>45839</v>
      </c>
      <c r="I324" s="2">
        <v>0.51708333333333334</v>
      </c>
      <c r="J324">
        <v>12</v>
      </c>
      <c r="K324" t="s">
        <v>434</v>
      </c>
      <c r="R324" t="s">
        <v>384</v>
      </c>
      <c r="S324">
        <v>24</v>
      </c>
      <c r="T324">
        <v>23</v>
      </c>
      <c r="U324" t="s">
        <v>1013</v>
      </c>
      <c r="V324" t="s">
        <v>1014</v>
      </c>
      <c r="W324">
        <v>1</v>
      </c>
      <c r="X324" t="s">
        <v>282</v>
      </c>
      <c r="AC324" t="s">
        <v>1015</v>
      </c>
      <c r="AE324" s="135"/>
    </row>
    <row r="325" spans="1:31" ht="12.5" customHeight="1" x14ac:dyDescent="0.35">
      <c r="A325" t="s">
        <v>396</v>
      </c>
      <c r="C325" t="s">
        <v>1016</v>
      </c>
      <c r="D325" t="s">
        <v>385</v>
      </c>
      <c r="E325" s="133">
        <v>45840</v>
      </c>
      <c r="F325" s="2">
        <v>1.7777777777777778E-2</v>
      </c>
      <c r="G325">
        <v>0</v>
      </c>
      <c r="H325" s="133">
        <v>45839</v>
      </c>
      <c r="I325" s="2">
        <v>0.51777777777777778</v>
      </c>
      <c r="J325">
        <v>12</v>
      </c>
      <c r="R325" t="s">
        <v>30</v>
      </c>
      <c r="W325">
        <v>1</v>
      </c>
      <c r="X325" t="s">
        <v>30</v>
      </c>
      <c r="AC325" t="s">
        <v>1017</v>
      </c>
      <c r="AE325" s="135"/>
    </row>
    <row r="326" spans="1:31" ht="12.5" customHeight="1" x14ac:dyDescent="0.35">
      <c r="A326" t="s">
        <v>396</v>
      </c>
      <c r="C326" t="s">
        <v>1018</v>
      </c>
      <c r="D326" t="s">
        <v>385</v>
      </c>
      <c r="E326" s="133">
        <v>45840</v>
      </c>
      <c r="F326" s="2">
        <v>1.7847222222222223E-2</v>
      </c>
      <c r="G326">
        <v>0</v>
      </c>
      <c r="H326" s="133">
        <v>45839</v>
      </c>
      <c r="I326" s="2">
        <v>0.51784722222222224</v>
      </c>
      <c r="J326">
        <v>12</v>
      </c>
      <c r="R326" t="s">
        <v>30</v>
      </c>
      <c r="W326">
        <v>1</v>
      </c>
      <c r="X326" t="s">
        <v>30</v>
      </c>
      <c r="AC326" t="s">
        <v>1019</v>
      </c>
      <c r="AE326" s="135"/>
    </row>
    <row r="327" spans="1:31" ht="12.5" customHeight="1" x14ac:dyDescent="0.35">
      <c r="A327" t="s">
        <v>396</v>
      </c>
      <c r="C327" t="s">
        <v>1020</v>
      </c>
      <c r="D327" t="s">
        <v>385</v>
      </c>
      <c r="E327" s="133">
        <v>45840</v>
      </c>
      <c r="F327" s="2">
        <v>1.8287037037037036E-2</v>
      </c>
      <c r="G327">
        <v>0</v>
      </c>
      <c r="H327" s="133">
        <v>45839</v>
      </c>
      <c r="I327" s="2">
        <v>0.51828703703703705</v>
      </c>
      <c r="J327">
        <v>12</v>
      </c>
      <c r="K327" t="s">
        <v>390</v>
      </c>
      <c r="R327" t="s">
        <v>384</v>
      </c>
      <c r="S327">
        <v>8</v>
      </c>
      <c r="T327">
        <v>8</v>
      </c>
      <c r="U327">
        <v>1</v>
      </c>
      <c r="V327" t="s">
        <v>1021</v>
      </c>
      <c r="W327">
        <v>1</v>
      </c>
      <c r="X327" t="s">
        <v>282</v>
      </c>
      <c r="AC327" t="s">
        <v>1022</v>
      </c>
      <c r="AE327" s="135"/>
    </row>
    <row r="328" spans="1:31" ht="12.5" customHeight="1" x14ac:dyDescent="0.35">
      <c r="A328" t="s">
        <v>396</v>
      </c>
      <c r="C328" t="s">
        <v>1023</v>
      </c>
      <c r="D328" t="s">
        <v>385</v>
      </c>
      <c r="E328" s="133">
        <v>45840</v>
      </c>
      <c r="F328" s="2">
        <v>1.8680555555555554E-2</v>
      </c>
      <c r="G328">
        <v>0</v>
      </c>
      <c r="H328" s="133">
        <v>45839</v>
      </c>
      <c r="I328" s="2">
        <v>0.51868055555555559</v>
      </c>
      <c r="J328">
        <v>12</v>
      </c>
      <c r="K328" t="s">
        <v>434</v>
      </c>
      <c r="R328" t="s">
        <v>384</v>
      </c>
      <c r="S328">
        <v>14</v>
      </c>
      <c r="T328">
        <v>10</v>
      </c>
      <c r="U328" t="s">
        <v>395</v>
      </c>
      <c r="V328" t="s">
        <v>1024</v>
      </c>
      <c r="W328">
        <v>1</v>
      </c>
      <c r="X328" t="s">
        <v>282</v>
      </c>
      <c r="AC328" t="s">
        <v>1025</v>
      </c>
      <c r="AE328" s="135"/>
    </row>
    <row r="329" spans="1:31" ht="12.5" customHeight="1" x14ac:dyDescent="0.35">
      <c r="A329" t="s">
        <v>396</v>
      </c>
      <c r="C329" t="s">
        <v>1026</v>
      </c>
      <c r="D329" t="s">
        <v>385</v>
      </c>
      <c r="E329" s="133">
        <v>45840</v>
      </c>
      <c r="F329" s="2">
        <v>1.8842592592592591E-2</v>
      </c>
      <c r="G329">
        <v>0</v>
      </c>
      <c r="H329" s="133">
        <v>45839</v>
      </c>
      <c r="I329" s="2">
        <v>0.51884259259259258</v>
      </c>
      <c r="J329">
        <v>12</v>
      </c>
      <c r="R329" t="s">
        <v>384</v>
      </c>
      <c r="S329">
        <v>14</v>
      </c>
      <c r="T329">
        <v>14</v>
      </c>
      <c r="U329">
        <v>1</v>
      </c>
      <c r="V329" t="s">
        <v>1027</v>
      </c>
      <c r="W329">
        <v>1</v>
      </c>
      <c r="X329" t="s">
        <v>841</v>
      </c>
      <c r="AC329" t="s">
        <v>1028</v>
      </c>
      <c r="AE329" s="135"/>
    </row>
    <row r="330" spans="1:31" ht="12.5" customHeight="1" x14ac:dyDescent="0.35">
      <c r="A330" t="s">
        <v>396</v>
      </c>
      <c r="C330" t="s">
        <v>1029</v>
      </c>
      <c r="D330" t="s">
        <v>385</v>
      </c>
      <c r="E330" s="133">
        <v>45840</v>
      </c>
      <c r="F330" s="2">
        <v>1.9166666666666669E-2</v>
      </c>
      <c r="G330">
        <v>0</v>
      </c>
      <c r="H330" s="133">
        <v>45839</v>
      </c>
      <c r="I330" s="2">
        <v>0.51916666666666667</v>
      </c>
      <c r="J330">
        <v>12</v>
      </c>
      <c r="R330" t="s">
        <v>384</v>
      </c>
      <c r="S330">
        <v>11</v>
      </c>
      <c r="T330">
        <v>10</v>
      </c>
      <c r="U330" t="s">
        <v>787</v>
      </c>
      <c r="V330" t="s">
        <v>1030</v>
      </c>
      <c r="W330">
        <v>1</v>
      </c>
      <c r="X330" t="s">
        <v>282</v>
      </c>
      <c r="AC330" t="s">
        <v>1031</v>
      </c>
      <c r="AE330" s="135"/>
    </row>
    <row r="331" spans="1:31" ht="12.5" customHeight="1" x14ac:dyDescent="0.35">
      <c r="A331" t="s">
        <v>396</v>
      </c>
      <c r="C331" t="s">
        <v>1032</v>
      </c>
      <c r="D331" t="s">
        <v>385</v>
      </c>
      <c r="E331" s="133">
        <v>45840</v>
      </c>
      <c r="F331" s="2">
        <v>1.9675925925925927E-2</v>
      </c>
      <c r="G331">
        <v>0</v>
      </c>
      <c r="H331" s="133">
        <v>45839</v>
      </c>
      <c r="I331" s="2">
        <v>0.51967592592592593</v>
      </c>
      <c r="J331">
        <v>12</v>
      </c>
      <c r="K331" t="s">
        <v>388</v>
      </c>
      <c r="R331" t="s">
        <v>384</v>
      </c>
      <c r="S331">
        <v>3</v>
      </c>
      <c r="T331">
        <v>2</v>
      </c>
      <c r="U331" t="s">
        <v>393</v>
      </c>
      <c r="V331" t="s">
        <v>1033</v>
      </c>
      <c r="W331">
        <v>1</v>
      </c>
      <c r="X331" t="s">
        <v>282</v>
      </c>
      <c r="AC331" t="s">
        <v>1034</v>
      </c>
      <c r="AE331" s="135"/>
    </row>
    <row r="332" spans="1:31" ht="12.5" customHeight="1" x14ac:dyDescent="0.35">
      <c r="A332" t="s">
        <v>396</v>
      </c>
      <c r="C332" t="s">
        <v>1035</v>
      </c>
      <c r="D332" t="s">
        <v>385</v>
      </c>
      <c r="E332" s="133">
        <v>45840</v>
      </c>
      <c r="F332" s="2">
        <v>2.0092592592592592E-2</v>
      </c>
      <c r="G332">
        <v>0</v>
      </c>
      <c r="H332" s="133">
        <v>45839</v>
      </c>
      <c r="I332" s="2">
        <v>0.52009259259259266</v>
      </c>
      <c r="J332">
        <v>12</v>
      </c>
      <c r="R332" t="s">
        <v>384</v>
      </c>
      <c r="S332">
        <v>14</v>
      </c>
      <c r="T332">
        <v>11</v>
      </c>
      <c r="U332" t="s">
        <v>636</v>
      </c>
      <c r="V332" t="s">
        <v>1036</v>
      </c>
      <c r="W332">
        <v>1</v>
      </c>
      <c r="X332" t="s">
        <v>383</v>
      </c>
      <c r="AC332" t="s">
        <v>1037</v>
      </c>
      <c r="AE332" s="135"/>
    </row>
    <row r="333" spans="1:31" ht="12.5" customHeight="1" x14ac:dyDescent="0.35">
      <c r="A333" t="s">
        <v>396</v>
      </c>
      <c r="C333" t="s">
        <v>1038</v>
      </c>
      <c r="D333" t="s">
        <v>385</v>
      </c>
      <c r="E333" s="133">
        <v>45840</v>
      </c>
      <c r="F333" s="2">
        <v>2.0185185185185184E-2</v>
      </c>
      <c r="G333">
        <v>0</v>
      </c>
      <c r="H333" s="133">
        <v>45839</v>
      </c>
      <c r="I333" s="2">
        <v>0.52018518518518519</v>
      </c>
      <c r="J333">
        <v>12</v>
      </c>
      <c r="R333" t="s">
        <v>384</v>
      </c>
      <c r="S333">
        <v>14</v>
      </c>
      <c r="T333">
        <v>14</v>
      </c>
      <c r="U333">
        <v>1</v>
      </c>
      <c r="V333" t="s">
        <v>1039</v>
      </c>
      <c r="W333">
        <v>1</v>
      </c>
      <c r="X333" t="s">
        <v>282</v>
      </c>
      <c r="AC333" t="s">
        <v>1040</v>
      </c>
      <c r="AE333" s="135"/>
    </row>
    <row r="334" spans="1:31" ht="12.5" customHeight="1" x14ac:dyDescent="0.35">
      <c r="A334" t="s">
        <v>396</v>
      </c>
      <c r="C334" t="s">
        <v>1041</v>
      </c>
      <c r="D334" t="s">
        <v>385</v>
      </c>
      <c r="E334" s="133">
        <v>45840</v>
      </c>
      <c r="F334" s="2">
        <v>2.0347222222222221E-2</v>
      </c>
      <c r="G334">
        <v>0</v>
      </c>
      <c r="H334" s="133">
        <v>45839</v>
      </c>
      <c r="I334" s="2">
        <v>0.52034722222222218</v>
      </c>
      <c r="J334">
        <v>12</v>
      </c>
      <c r="K334" t="s">
        <v>388</v>
      </c>
      <c r="R334" t="s">
        <v>384</v>
      </c>
      <c r="S334">
        <v>18</v>
      </c>
      <c r="T334">
        <v>17</v>
      </c>
      <c r="U334" t="s">
        <v>874</v>
      </c>
      <c r="V334" t="s">
        <v>1042</v>
      </c>
      <c r="W334">
        <v>1</v>
      </c>
      <c r="X334" t="s">
        <v>282</v>
      </c>
      <c r="AC334" t="s">
        <v>1043</v>
      </c>
      <c r="AE334" s="135"/>
    </row>
    <row r="335" spans="1:31" ht="12.5" customHeight="1" x14ac:dyDescent="0.35">
      <c r="A335" t="s">
        <v>396</v>
      </c>
      <c r="C335" t="s">
        <v>1044</v>
      </c>
      <c r="D335" t="s">
        <v>385</v>
      </c>
      <c r="E335" s="133">
        <v>45840</v>
      </c>
      <c r="F335" s="2">
        <v>2.0578703703703703E-2</v>
      </c>
      <c r="G335">
        <v>0</v>
      </c>
      <c r="H335" s="133">
        <v>45839</v>
      </c>
      <c r="I335" s="2">
        <v>0.52057870370370374</v>
      </c>
      <c r="J335">
        <v>12</v>
      </c>
      <c r="R335" t="s">
        <v>384</v>
      </c>
      <c r="S335">
        <v>9</v>
      </c>
      <c r="T335">
        <v>9</v>
      </c>
      <c r="U335">
        <v>1</v>
      </c>
      <c r="V335" t="s">
        <v>1045</v>
      </c>
      <c r="W335">
        <v>1</v>
      </c>
      <c r="X335" t="s">
        <v>282</v>
      </c>
      <c r="AC335" t="s">
        <v>1046</v>
      </c>
      <c r="AE335" s="135"/>
    </row>
    <row r="336" spans="1:31" ht="12.5" customHeight="1" x14ac:dyDescent="0.35">
      <c r="A336" t="s">
        <v>396</v>
      </c>
      <c r="C336" t="s">
        <v>1047</v>
      </c>
      <c r="D336" t="s">
        <v>385</v>
      </c>
      <c r="E336" s="133">
        <v>45840</v>
      </c>
      <c r="F336" s="2">
        <v>2.071759259259259E-2</v>
      </c>
      <c r="G336">
        <v>0</v>
      </c>
      <c r="H336" s="133">
        <v>45839</v>
      </c>
      <c r="I336" s="2">
        <v>0.52071759259259254</v>
      </c>
      <c r="J336">
        <v>12</v>
      </c>
      <c r="R336" t="s">
        <v>384</v>
      </c>
      <c r="S336">
        <v>13</v>
      </c>
      <c r="T336">
        <v>12</v>
      </c>
      <c r="U336" t="s">
        <v>392</v>
      </c>
      <c r="V336" t="s">
        <v>1048</v>
      </c>
      <c r="W336">
        <v>1</v>
      </c>
      <c r="X336" t="s">
        <v>282</v>
      </c>
      <c r="AC336" t="s">
        <v>1049</v>
      </c>
      <c r="AE336" s="135"/>
    </row>
    <row r="337" spans="1:31" ht="12.5" customHeight="1" x14ac:dyDescent="0.35">
      <c r="A337" t="s">
        <v>396</v>
      </c>
      <c r="C337" t="s">
        <v>1050</v>
      </c>
      <c r="D337" t="s">
        <v>385</v>
      </c>
      <c r="E337" s="133">
        <v>45840</v>
      </c>
      <c r="F337" s="2">
        <v>2.0995370370370373E-2</v>
      </c>
      <c r="G337">
        <v>0</v>
      </c>
      <c r="H337" s="133">
        <v>45839</v>
      </c>
      <c r="I337" s="2">
        <v>0.52099537037037036</v>
      </c>
      <c r="J337">
        <v>12</v>
      </c>
      <c r="K337" t="s">
        <v>388</v>
      </c>
      <c r="L337" t="s">
        <v>635</v>
      </c>
      <c r="R337" t="s">
        <v>384</v>
      </c>
      <c r="S337">
        <v>14</v>
      </c>
      <c r="T337">
        <v>11</v>
      </c>
      <c r="U337" t="s">
        <v>636</v>
      </c>
      <c r="V337" t="s">
        <v>1051</v>
      </c>
      <c r="W337">
        <v>1</v>
      </c>
      <c r="X337" t="s">
        <v>383</v>
      </c>
      <c r="AC337" t="s">
        <v>1052</v>
      </c>
      <c r="AE337" s="135"/>
    </row>
    <row r="338" spans="1:31" ht="12.5" customHeight="1" x14ac:dyDescent="0.35">
      <c r="A338" t="s">
        <v>396</v>
      </c>
      <c r="C338" t="s">
        <v>1053</v>
      </c>
      <c r="D338" t="s">
        <v>385</v>
      </c>
      <c r="E338" s="133">
        <v>45840</v>
      </c>
      <c r="F338" s="2">
        <v>2.1226851851851854E-2</v>
      </c>
      <c r="G338">
        <v>0</v>
      </c>
      <c r="H338" s="133">
        <v>45839</v>
      </c>
      <c r="I338" s="2">
        <v>0.5212268518518518</v>
      </c>
      <c r="J338">
        <v>12</v>
      </c>
      <c r="R338" t="s">
        <v>384</v>
      </c>
      <c r="S338">
        <v>15</v>
      </c>
      <c r="T338">
        <v>15</v>
      </c>
      <c r="U338">
        <v>1</v>
      </c>
      <c r="V338" t="s">
        <v>1054</v>
      </c>
      <c r="W338">
        <v>1</v>
      </c>
      <c r="X338" t="s">
        <v>282</v>
      </c>
      <c r="AC338" t="s">
        <v>1055</v>
      </c>
      <c r="AE338" s="135"/>
    </row>
    <row r="339" spans="1:31" ht="12.5" customHeight="1" x14ac:dyDescent="0.35">
      <c r="A339" t="s">
        <v>396</v>
      </c>
      <c r="C339" t="s">
        <v>1056</v>
      </c>
      <c r="D339" t="s">
        <v>385</v>
      </c>
      <c r="E339" s="133">
        <v>45840</v>
      </c>
      <c r="F339" s="2">
        <v>2.5115740740740741E-2</v>
      </c>
      <c r="G339">
        <v>0</v>
      </c>
      <c r="H339" s="133">
        <v>45839</v>
      </c>
      <c r="I339" s="2">
        <v>0.52511574074074074</v>
      </c>
      <c r="J339">
        <v>12</v>
      </c>
      <c r="R339" t="s">
        <v>30</v>
      </c>
      <c r="W339">
        <v>1</v>
      </c>
      <c r="X339" t="s">
        <v>30</v>
      </c>
      <c r="AC339" t="s">
        <v>1057</v>
      </c>
      <c r="AE339" s="135"/>
    </row>
    <row r="340" spans="1:31" ht="12.5" customHeight="1" x14ac:dyDescent="0.35">
      <c r="A340" t="s">
        <v>396</v>
      </c>
      <c r="C340" t="s">
        <v>1058</v>
      </c>
      <c r="D340" t="s">
        <v>385</v>
      </c>
      <c r="E340" s="133">
        <v>45840</v>
      </c>
      <c r="F340" s="2">
        <v>2.7662037037037041E-2</v>
      </c>
      <c r="G340">
        <v>0</v>
      </c>
      <c r="H340" s="133">
        <v>45839</v>
      </c>
      <c r="I340" s="2">
        <v>0.52766203703703707</v>
      </c>
      <c r="J340">
        <v>12</v>
      </c>
      <c r="R340" t="s">
        <v>30</v>
      </c>
      <c r="W340">
        <v>1</v>
      </c>
      <c r="X340" t="s">
        <v>30</v>
      </c>
      <c r="AC340" t="s">
        <v>1059</v>
      </c>
      <c r="AE340" s="135"/>
    </row>
    <row r="341" spans="1:31" ht="12.5" customHeight="1" x14ac:dyDescent="0.35">
      <c r="A341" t="s">
        <v>396</v>
      </c>
      <c r="C341" t="s">
        <v>1060</v>
      </c>
      <c r="D341" t="s">
        <v>385</v>
      </c>
      <c r="E341" s="133">
        <v>45840</v>
      </c>
      <c r="F341" s="2">
        <v>2.9027777777777777E-2</v>
      </c>
      <c r="G341">
        <v>0</v>
      </c>
      <c r="H341" s="133">
        <v>45839</v>
      </c>
      <c r="I341" s="2">
        <v>0.52902777777777776</v>
      </c>
      <c r="J341">
        <v>12</v>
      </c>
      <c r="R341" t="s">
        <v>30</v>
      </c>
      <c r="W341">
        <v>1</v>
      </c>
      <c r="X341" t="s">
        <v>30</v>
      </c>
      <c r="AC341" t="s">
        <v>1061</v>
      </c>
      <c r="AE341" s="135"/>
    </row>
    <row r="342" spans="1:31" ht="12.5" customHeight="1" x14ac:dyDescent="0.35">
      <c r="A342" t="s">
        <v>396</v>
      </c>
      <c r="C342" t="s">
        <v>1062</v>
      </c>
      <c r="D342" t="s">
        <v>385</v>
      </c>
      <c r="E342" s="133">
        <v>45840</v>
      </c>
      <c r="F342" s="2">
        <v>3.2083333333333332E-2</v>
      </c>
      <c r="G342">
        <v>0</v>
      </c>
      <c r="H342" s="133">
        <v>45839</v>
      </c>
      <c r="I342" s="2">
        <v>0.53208333333333335</v>
      </c>
      <c r="J342">
        <v>12</v>
      </c>
      <c r="R342" t="s">
        <v>30</v>
      </c>
      <c r="W342">
        <v>1</v>
      </c>
      <c r="X342" t="s">
        <v>30</v>
      </c>
      <c r="AC342" t="s">
        <v>1063</v>
      </c>
      <c r="AE342" s="135"/>
    </row>
    <row r="343" spans="1:31" ht="12.5" customHeight="1" x14ac:dyDescent="0.35">
      <c r="A343" t="s">
        <v>396</v>
      </c>
      <c r="C343" t="s">
        <v>1064</v>
      </c>
      <c r="D343" t="s">
        <v>385</v>
      </c>
      <c r="E343" s="133">
        <v>45840</v>
      </c>
      <c r="F343" s="2">
        <v>3.2361111111111111E-2</v>
      </c>
      <c r="G343">
        <v>0</v>
      </c>
      <c r="H343" s="133">
        <v>45839</v>
      </c>
      <c r="I343" s="2">
        <v>0.53236111111111117</v>
      </c>
      <c r="J343">
        <v>12</v>
      </c>
      <c r="K343" t="s">
        <v>434</v>
      </c>
      <c r="R343" t="s">
        <v>390</v>
      </c>
      <c r="S343">
        <v>6</v>
      </c>
      <c r="T343">
        <v>5</v>
      </c>
      <c r="U343" t="s">
        <v>476</v>
      </c>
      <c r="V343" t="s">
        <v>1065</v>
      </c>
      <c r="W343">
        <v>1</v>
      </c>
      <c r="X343" t="s">
        <v>282</v>
      </c>
      <c r="AC343" t="s">
        <v>1066</v>
      </c>
      <c r="AE343" s="135"/>
    </row>
    <row r="344" spans="1:31" ht="12.5" customHeight="1" x14ac:dyDescent="0.35">
      <c r="A344" t="s">
        <v>396</v>
      </c>
      <c r="C344" t="s">
        <v>1067</v>
      </c>
      <c r="D344" t="s">
        <v>385</v>
      </c>
      <c r="E344" s="133">
        <v>45840</v>
      </c>
      <c r="F344" s="2">
        <v>3.2615740740740744E-2</v>
      </c>
      <c r="G344">
        <v>0</v>
      </c>
      <c r="H344" s="133">
        <v>45839</v>
      </c>
      <c r="I344" s="2">
        <v>0.5326157407407407</v>
      </c>
      <c r="J344">
        <v>12</v>
      </c>
      <c r="R344" t="s">
        <v>30</v>
      </c>
      <c r="W344">
        <v>1</v>
      </c>
      <c r="X344" t="s">
        <v>30</v>
      </c>
      <c r="AC344" t="s">
        <v>1068</v>
      </c>
      <c r="AE344" s="135"/>
    </row>
    <row r="345" spans="1:31" ht="12.5" customHeight="1" x14ac:dyDescent="0.35">
      <c r="A345" t="s">
        <v>396</v>
      </c>
      <c r="C345" t="s">
        <v>1069</v>
      </c>
      <c r="D345" t="s">
        <v>385</v>
      </c>
      <c r="E345" s="133">
        <v>45840</v>
      </c>
      <c r="F345" s="2">
        <v>3.5208333333333335E-2</v>
      </c>
      <c r="G345">
        <v>0</v>
      </c>
      <c r="H345" s="133">
        <v>45839</v>
      </c>
      <c r="I345" s="2">
        <v>0.5352083333333334</v>
      </c>
      <c r="J345">
        <v>12</v>
      </c>
      <c r="R345" t="s">
        <v>30</v>
      </c>
      <c r="W345">
        <v>1</v>
      </c>
      <c r="X345" t="s">
        <v>30</v>
      </c>
      <c r="AC345" t="s">
        <v>1070</v>
      </c>
      <c r="AE345" s="135"/>
    </row>
    <row r="346" spans="1:31" ht="12.5" customHeight="1" x14ac:dyDescent="0.35">
      <c r="A346" t="s">
        <v>396</v>
      </c>
      <c r="C346" t="s">
        <v>1071</v>
      </c>
      <c r="D346" t="s">
        <v>385</v>
      </c>
      <c r="E346" s="133">
        <v>45840</v>
      </c>
      <c r="F346" s="2">
        <v>3.5532407407407408E-2</v>
      </c>
      <c r="G346">
        <v>0</v>
      </c>
      <c r="H346" s="133">
        <v>45839</v>
      </c>
      <c r="I346" s="2">
        <v>0.53553240740740737</v>
      </c>
      <c r="J346">
        <v>12</v>
      </c>
      <c r="R346" t="s">
        <v>30</v>
      </c>
      <c r="W346">
        <v>1</v>
      </c>
      <c r="X346" t="s">
        <v>30</v>
      </c>
      <c r="AC346" t="s">
        <v>1072</v>
      </c>
      <c r="AE346" s="135"/>
    </row>
    <row r="347" spans="1:31" ht="12.5" customHeight="1" x14ac:dyDescent="0.35">
      <c r="A347" t="s">
        <v>396</v>
      </c>
      <c r="C347" t="s">
        <v>1073</v>
      </c>
      <c r="D347" t="s">
        <v>385</v>
      </c>
      <c r="E347" s="133">
        <v>45840</v>
      </c>
      <c r="F347" s="2">
        <v>3.8333333333333337E-2</v>
      </c>
      <c r="G347">
        <v>0</v>
      </c>
      <c r="H347" s="133">
        <v>45839</v>
      </c>
      <c r="I347" s="2">
        <v>0.53833333333333333</v>
      </c>
      <c r="J347">
        <v>12</v>
      </c>
      <c r="R347" t="s">
        <v>30</v>
      </c>
      <c r="W347">
        <v>1</v>
      </c>
      <c r="X347" t="s">
        <v>30</v>
      </c>
      <c r="AC347" t="s">
        <v>1074</v>
      </c>
      <c r="AE347" s="135"/>
    </row>
    <row r="348" spans="1:31" ht="12.5" customHeight="1" x14ac:dyDescent="0.35">
      <c r="A348" t="s">
        <v>396</v>
      </c>
      <c r="C348" t="s">
        <v>1075</v>
      </c>
      <c r="D348" t="s">
        <v>385</v>
      </c>
      <c r="E348" s="133">
        <v>45840</v>
      </c>
      <c r="F348" s="2">
        <v>3.875E-2</v>
      </c>
      <c r="G348">
        <v>0</v>
      </c>
      <c r="H348" s="133">
        <v>45839</v>
      </c>
      <c r="I348" s="2">
        <v>0.53874999999999995</v>
      </c>
      <c r="J348">
        <v>12</v>
      </c>
      <c r="R348" t="s">
        <v>30</v>
      </c>
      <c r="W348">
        <v>1</v>
      </c>
      <c r="X348" t="s">
        <v>30</v>
      </c>
      <c r="AC348" t="s">
        <v>1076</v>
      </c>
      <c r="AE348" s="135"/>
    </row>
    <row r="349" spans="1:31" ht="12.5" customHeight="1" x14ac:dyDescent="0.35">
      <c r="A349" t="s">
        <v>396</v>
      </c>
      <c r="C349" t="s">
        <v>1077</v>
      </c>
      <c r="D349" t="s">
        <v>385</v>
      </c>
      <c r="E349" s="133">
        <v>45840</v>
      </c>
      <c r="F349" s="2">
        <v>4.0879629629629634E-2</v>
      </c>
      <c r="G349">
        <v>0</v>
      </c>
      <c r="H349" s="133">
        <v>45839</v>
      </c>
      <c r="I349" s="2">
        <v>0.54087962962962965</v>
      </c>
      <c r="J349">
        <v>12</v>
      </c>
      <c r="R349" t="s">
        <v>30</v>
      </c>
      <c r="W349">
        <v>1</v>
      </c>
      <c r="X349" t="s">
        <v>30</v>
      </c>
      <c r="AC349" t="s">
        <v>1078</v>
      </c>
      <c r="AE349" s="135"/>
    </row>
    <row r="350" spans="1:31" ht="12.5" customHeight="1" x14ac:dyDescent="0.35">
      <c r="A350" t="s">
        <v>396</v>
      </c>
      <c r="C350" t="s">
        <v>1079</v>
      </c>
      <c r="D350" t="s">
        <v>385</v>
      </c>
      <c r="E350" s="133">
        <v>45840</v>
      </c>
      <c r="F350" s="2">
        <v>4.7152777777777773E-2</v>
      </c>
      <c r="G350">
        <v>1</v>
      </c>
      <c r="H350" s="133">
        <v>45839</v>
      </c>
      <c r="I350" s="2">
        <v>0.54715277777777771</v>
      </c>
      <c r="J350">
        <v>13</v>
      </c>
      <c r="R350" t="s">
        <v>30</v>
      </c>
      <c r="W350">
        <v>1</v>
      </c>
      <c r="X350" t="s">
        <v>30</v>
      </c>
      <c r="AC350" t="s">
        <v>1080</v>
      </c>
      <c r="AE350" s="135"/>
    </row>
    <row r="351" spans="1:31" ht="12.5" customHeight="1" x14ac:dyDescent="0.35">
      <c r="A351" t="s">
        <v>396</v>
      </c>
      <c r="C351" t="s">
        <v>1081</v>
      </c>
      <c r="D351" t="s">
        <v>385</v>
      </c>
      <c r="E351" s="133">
        <v>45840</v>
      </c>
      <c r="F351" s="2">
        <v>4.9606481481481481E-2</v>
      </c>
      <c r="G351">
        <v>1</v>
      </c>
      <c r="H351" s="133">
        <v>45839</v>
      </c>
      <c r="I351" s="2">
        <v>0.5496064814814815</v>
      </c>
      <c r="J351">
        <v>13</v>
      </c>
      <c r="R351" t="s">
        <v>30</v>
      </c>
      <c r="W351">
        <v>1</v>
      </c>
      <c r="X351" t="s">
        <v>30</v>
      </c>
      <c r="AC351" t="s">
        <v>1082</v>
      </c>
      <c r="AE351" s="135"/>
    </row>
    <row r="352" spans="1:31" ht="12.5" customHeight="1" x14ac:dyDescent="0.35">
      <c r="A352" t="s">
        <v>396</v>
      </c>
      <c r="C352" t="s">
        <v>1083</v>
      </c>
      <c r="D352" t="s">
        <v>385</v>
      </c>
      <c r="E352" s="133">
        <v>45840</v>
      </c>
      <c r="F352" s="2">
        <v>5.0347222222222217E-2</v>
      </c>
      <c r="G352">
        <v>1</v>
      </c>
      <c r="H352" s="133">
        <v>45839</v>
      </c>
      <c r="I352" s="2">
        <v>0.55034722222222221</v>
      </c>
      <c r="J352">
        <v>13</v>
      </c>
      <c r="R352" t="s">
        <v>30</v>
      </c>
      <c r="W352">
        <v>1</v>
      </c>
      <c r="X352" t="s">
        <v>30</v>
      </c>
      <c r="AC352" t="s">
        <v>1084</v>
      </c>
      <c r="AE352" s="135"/>
    </row>
    <row r="353" spans="1:31" ht="12.5" customHeight="1" x14ac:dyDescent="0.35">
      <c r="A353" t="s">
        <v>396</v>
      </c>
      <c r="C353" t="s">
        <v>1085</v>
      </c>
      <c r="D353" t="s">
        <v>385</v>
      </c>
      <c r="E353" s="133">
        <v>45840</v>
      </c>
      <c r="F353" s="2">
        <v>5.0879629629629629E-2</v>
      </c>
      <c r="G353">
        <v>1</v>
      </c>
      <c r="H353" s="133">
        <v>45839</v>
      </c>
      <c r="I353" s="2">
        <v>0.55087962962962966</v>
      </c>
      <c r="J353">
        <v>13</v>
      </c>
      <c r="R353" t="s">
        <v>30</v>
      </c>
      <c r="W353">
        <v>1</v>
      </c>
      <c r="X353" t="s">
        <v>30</v>
      </c>
      <c r="AC353" t="s">
        <v>1086</v>
      </c>
      <c r="AE353" s="135"/>
    </row>
    <row r="354" spans="1:31" ht="12.5" customHeight="1" x14ac:dyDescent="0.35">
      <c r="A354" t="s">
        <v>396</v>
      </c>
      <c r="C354" t="s">
        <v>1087</v>
      </c>
      <c r="D354" t="s">
        <v>385</v>
      </c>
      <c r="E354" s="133">
        <v>45840</v>
      </c>
      <c r="F354" s="2">
        <v>5.212962962962963E-2</v>
      </c>
      <c r="G354">
        <v>1</v>
      </c>
      <c r="H354" s="133">
        <v>45839</v>
      </c>
      <c r="I354" s="2">
        <v>0.55212962962962964</v>
      </c>
      <c r="J354">
        <v>13</v>
      </c>
      <c r="R354" t="s">
        <v>30</v>
      </c>
      <c r="W354">
        <v>1</v>
      </c>
      <c r="X354" t="s">
        <v>30</v>
      </c>
      <c r="AC354" t="s">
        <v>1088</v>
      </c>
      <c r="AE354" s="135"/>
    </row>
    <row r="355" spans="1:31" ht="12.5" customHeight="1" x14ac:dyDescent="0.35">
      <c r="A355" t="s">
        <v>396</v>
      </c>
      <c r="C355" t="s">
        <v>1089</v>
      </c>
      <c r="D355" t="s">
        <v>385</v>
      </c>
      <c r="E355" s="133">
        <v>45840</v>
      </c>
      <c r="F355" s="2">
        <v>5.4953703703703706E-2</v>
      </c>
      <c r="G355">
        <v>1</v>
      </c>
      <c r="H355" s="133">
        <v>45839</v>
      </c>
      <c r="I355" s="2">
        <v>0.55495370370370367</v>
      </c>
      <c r="J355">
        <v>13</v>
      </c>
      <c r="R355" t="s">
        <v>384</v>
      </c>
      <c r="S355">
        <v>17</v>
      </c>
      <c r="T355">
        <v>13</v>
      </c>
      <c r="U355" t="s">
        <v>1090</v>
      </c>
      <c r="V355" t="s">
        <v>1091</v>
      </c>
      <c r="W355">
        <v>1</v>
      </c>
      <c r="X355" t="s">
        <v>282</v>
      </c>
      <c r="AC355" t="s">
        <v>1092</v>
      </c>
      <c r="AE355" s="135"/>
    </row>
    <row r="356" spans="1:31" ht="12.5" customHeight="1" x14ac:dyDescent="0.35">
      <c r="A356" t="s">
        <v>396</v>
      </c>
      <c r="C356" t="s">
        <v>1093</v>
      </c>
      <c r="D356" t="s">
        <v>385</v>
      </c>
      <c r="E356" s="133">
        <v>45840</v>
      </c>
      <c r="F356" s="2">
        <v>5.5625000000000001E-2</v>
      </c>
      <c r="G356">
        <v>1</v>
      </c>
      <c r="H356" s="133">
        <v>45839</v>
      </c>
      <c r="I356" s="2">
        <v>0.55562500000000004</v>
      </c>
      <c r="J356">
        <v>13</v>
      </c>
      <c r="R356" t="s">
        <v>432</v>
      </c>
      <c r="S356">
        <v>9</v>
      </c>
      <c r="T356">
        <v>0</v>
      </c>
      <c r="U356">
        <v>0</v>
      </c>
      <c r="V356">
        <v>0</v>
      </c>
      <c r="W356">
        <v>1</v>
      </c>
      <c r="X356" t="s">
        <v>282</v>
      </c>
      <c r="AC356" t="s">
        <v>1094</v>
      </c>
      <c r="AE356" s="135"/>
    </row>
    <row r="357" spans="1:31" ht="12.5" customHeight="1" x14ac:dyDescent="0.35">
      <c r="A357" t="s">
        <v>396</v>
      </c>
      <c r="C357" t="s">
        <v>1095</v>
      </c>
      <c r="D357" t="s">
        <v>385</v>
      </c>
      <c r="E357" s="133">
        <v>45840</v>
      </c>
      <c r="F357" s="2">
        <v>5.590277777777778E-2</v>
      </c>
      <c r="G357">
        <v>1</v>
      </c>
      <c r="H357" s="133">
        <v>45839</v>
      </c>
      <c r="I357" s="2">
        <v>0.55590277777777775</v>
      </c>
      <c r="J357">
        <v>13</v>
      </c>
      <c r="K357" t="s">
        <v>390</v>
      </c>
      <c r="L357" t="s">
        <v>434</v>
      </c>
      <c r="R357" t="s">
        <v>384</v>
      </c>
      <c r="S357">
        <v>4</v>
      </c>
      <c r="T357">
        <v>2</v>
      </c>
      <c r="U357" t="s">
        <v>449</v>
      </c>
      <c r="V357" t="s">
        <v>1096</v>
      </c>
      <c r="W357">
        <v>1</v>
      </c>
      <c r="X357" t="s">
        <v>282</v>
      </c>
      <c r="AC357" t="s">
        <v>1097</v>
      </c>
      <c r="AE357" s="135"/>
    </row>
    <row r="358" spans="1:31" ht="12.5" customHeight="1" x14ac:dyDescent="0.35">
      <c r="A358" t="s">
        <v>396</v>
      </c>
      <c r="C358" t="s">
        <v>1098</v>
      </c>
      <c r="D358" t="s">
        <v>385</v>
      </c>
      <c r="E358" s="133">
        <v>45840</v>
      </c>
      <c r="F358" s="2">
        <v>5.6087962962962958E-2</v>
      </c>
      <c r="G358">
        <v>1</v>
      </c>
      <c r="H358" s="133">
        <v>45839</v>
      </c>
      <c r="I358" s="2">
        <v>0.55608796296296303</v>
      </c>
      <c r="J358">
        <v>13</v>
      </c>
      <c r="K358" t="s">
        <v>434</v>
      </c>
      <c r="R358" t="s">
        <v>384</v>
      </c>
      <c r="S358">
        <v>11</v>
      </c>
      <c r="T358">
        <v>9</v>
      </c>
      <c r="U358" t="s">
        <v>820</v>
      </c>
      <c r="V358" t="s">
        <v>1099</v>
      </c>
      <c r="W358">
        <v>1</v>
      </c>
      <c r="X358" t="s">
        <v>383</v>
      </c>
      <c r="AC358" t="s">
        <v>1100</v>
      </c>
      <c r="AE358" s="135"/>
    </row>
    <row r="359" spans="1:31" ht="12.5" customHeight="1" x14ac:dyDescent="0.35">
      <c r="A359" t="s">
        <v>396</v>
      </c>
      <c r="C359" t="s">
        <v>1101</v>
      </c>
      <c r="D359" t="s">
        <v>385</v>
      </c>
      <c r="E359" s="133">
        <v>45840</v>
      </c>
      <c r="F359" s="2">
        <v>5.6666666666666671E-2</v>
      </c>
      <c r="G359">
        <v>1</v>
      </c>
      <c r="H359" s="133">
        <v>45839</v>
      </c>
      <c r="I359" s="2">
        <v>0.55666666666666664</v>
      </c>
      <c r="J359">
        <v>13</v>
      </c>
      <c r="K359" t="s">
        <v>388</v>
      </c>
      <c r="L359" t="s">
        <v>387</v>
      </c>
      <c r="R359" t="s">
        <v>384</v>
      </c>
      <c r="S359">
        <v>36</v>
      </c>
      <c r="T359">
        <v>28</v>
      </c>
      <c r="U359" t="s">
        <v>394</v>
      </c>
      <c r="V359" t="s">
        <v>1102</v>
      </c>
      <c r="W359">
        <v>1</v>
      </c>
      <c r="X359" t="s">
        <v>841</v>
      </c>
      <c r="AC359" t="s">
        <v>1103</v>
      </c>
      <c r="AE359" s="135"/>
    </row>
    <row r="360" spans="1:31" ht="12.5" customHeight="1" x14ac:dyDescent="0.35">
      <c r="A360" t="s">
        <v>396</v>
      </c>
      <c r="C360" t="s">
        <v>1104</v>
      </c>
      <c r="D360" t="s">
        <v>385</v>
      </c>
      <c r="E360" s="133">
        <v>45840</v>
      </c>
      <c r="F360" s="2">
        <v>5.6736111111111105E-2</v>
      </c>
      <c r="G360">
        <v>1</v>
      </c>
      <c r="H360" s="133">
        <v>45839</v>
      </c>
      <c r="I360" s="2">
        <v>0.5567361111111111</v>
      </c>
      <c r="J360">
        <v>13</v>
      </c>
      <c r="R360" t="s">
        <v>432</v>
      </c>
      <c r="S360">
        <v>12</v>
      </c>
      <c r="T360">
        <v>0</v>
      </c>
      <c r="U360">
        <v>0</v>
      </c>
      <c r="V360">
        <v>0</v>
      </c>
      <c r="W360">
        <v>1</v>
      </c>
      <c r="X360" t="s">
        <v>1105</v>
      </c>
      <c r="AC360" t="s">
        <v>1106</v>
      </c>
      <c r="AE360" s="135"/>
    </row>
    <row r="361" spans="1:31" ht="12.5" customHeight="1" x14ac:dyDescent="0.35">
      <c r="A361" t="s">
        <v>396</v>
      </c>
      <c r="C361" t="s">
        <v>1107</v>
      </c>
      <c r="D361" t="s">
        <v>385</v>
      </c>
      <c r="E361" s="133">
        <v>45840</v>
      </c>
      <c r="F361" s="2">
        <v>5.6851851851851855E-2</v>
      </c>
      <c r="G361">
        <v>1</v>
      </c>
      <c r="H361" s="133">
        <v>45839</v>
      </c>
      <c r="I361" s="2">
        <v>0.55685185185185182</v>
      </c>
      <c r="J361">
        <v>13</v>
      </c>
      <c r="K361" t="s">
        <v>384</v>
      </c>
      <c r="L361" t="s">
        <v>1108</v>
      </c>
      <c r="R361" t="s">
        <v>388</v>
      </c>
      <c r="S361">
        <v>50</v>
      </c>
      <c r="T361">
        <v>19</v>
      </c>
      <c r="U361" t="s">
        <v>1109</v>
      </c>
      <c r="V361" t="s">
        <v>1110</v>
      </c>
      <c r="W361">
        <v>1</v>
      </c>
      <c r="X361" t="s">
        <v>383</v>
      </c>
      <c r="AC361" t="s">
        <v>1111</v>
      </c>
      <c r="AE361" s="135"/>
    </row>
    <row r="362" spans="1:31" ht="12.5" customHeight="1" x14ac:dyDescent="0.35">
      <c r="A362" t="s">
        <v>396</v>
      </c>
      <c r="C362" t="s">
        <v>1112</v>
      </c>
      <c r="D362" t="s">
        <v>385</v>
      </c>
      <c r="E362" s="133">
        <v>45840</v>
      </c>
      <c r="F362" s="2">
        <v>5.6944444444444443E-2</v>
      </c>
      <c r="G362">
        <v>1</v>
      </c>
      <c r="H362" s="133">
        <v>45839</v>
      </c>
      <c r="I362" s="2">
        <v>0.55694444444444446</v>
      </c>
      <c r="J362">
        <v>13</v>
      </c>
      <c r="R362" t="s">
        <v>384</v>
      </c>
      <c r="S362">
        <v>12</v>
      </c>
      <c r="T362">
        <v>12</v>
      </c>
      <c r="U362">
        <v>1</v>
      </c>
      <c r="V362" t="s">
        <v>1113</v>
      </c>
      <c r="W362">
        <v>1</v>
      </c>
      <c r="X362" t="s">
        <v>282</v>
      </c>
      <c r="AC362" t="s">
        <v>1114</v>
      </c>
      <c r="AE362" s="135"/>
    </row>
    <row r="363" spans="1:31" ht="12.5" customHeight="1" x14ac:dyDescent="0.35">
      <c r="A363" t="s">
        <v>396</v>
      </c>
      <c r="C363" t="s">
        <v>1115</v>
      </c>
      <c r="D363" t="s">
        <v>385</v>
      </c>
      <c r="E363" s="133">
        <v>45840</v>
      </c>
      <c r="F363" s="2">
        <v>5.7013888888888892E-2</v>
      </c>
      <c r="G363">
        <v>1</v>
      </c>
      <c r="H363" s="133">
        <v>45839</v>
      </c>
      <c r="I363" s="2">
        <v>0.55701388888888892</v>
      </c>
      <c r="J363">
        <v>13</v>
      </c>
      <c r="K363" t="s">
        <v>388</v>
      </c>
      <c r="R363" t="s">
        <v>384</v>
      </c>
      <c r="S363">
        <v>21</v>
      </c>
      <c r="T363">
        <v>18</v>
      </c>
      <c r="U363" t="s">
        <v>922</v>
      </c>
      <c r="V363" t="s">
        <v>1116</v>
      </c>
      <c r="W363">
        <v>1</v>
      </c>
      <c r="X363" t="s">
        <v>383</v>
      </c>
      <c r="AC363" t="s">
        <v>1117</v>
      </c>
      <c r="AE363" s="135"/>
    </row>
    <row r="364" spans="1:31" ht="12.5" customHeight="1" x14ac:dyDescent="0.35">
      <c r="A364" t="s">
        <v>396</v>
      </c>
      <c r="C364" t="s">
        <v>1118</v>
      </c>
      <c r="D364" t="s">
        <v>385</v>
      </c>
      <c r="E364" s="133">
        <v>45840</v>
      </c>
      <c r="F364" s="2">
        <v>5.7199074074074076E-2</v>
      </c>
      <c r="G364">
        <v>1</v>
      </c>
      <c r="H364" s="133">
        <v>45839</v>
      </c>
      <c r="I364" s="2">
        <v>0.5571990740740741</v>
      </c>
      <c r="J364">
        <v>13</v>
      </c>
      <c r="K364" t="s">
        <v>388</v>
      </c>
      <c r="R364" t="s">
        <v>384</v>
      </c>
      <c r="S364">
        <v>36</v>
      </c>
      <c r="T364">
        <v>16</v>
      </c>
      <c r="U364" t="s">
        <v>641</v>
      </c>
      <c r="V364" t="s">
        <v>1119</v>
      </c>
      <c r="W364">
        <v>1</v>
      </c>
      <c r="X364" t="s">
        <v>383</v>
      </c>
      <c r="AC364" t="s">
        <v>1120</v>
      </c>
      <c r="AE364" s="135"/>
    </row>
    <row r="365" spans="1:31" ht="12.5" customHeight="1" x14ac:dyDescent="0.35">
      <c r="A365" t="s">
        <v>396</v>
      </c>
      <c r="C365" t="s">
        <v>1121</v>
      </c>
      <c r="D365" t="s">
        <v>385</v>
      </c>
      <c r="E365" s="133">
        <v>45840</v>
      </c>
      <c r="F365" s="2">
        <v>5.7268518518518517E-2</v>
      </c>
      <c r="G365">
        <v>1</v>
      </c>
      <c r="H365" s="133">
        <v>45839</v>
      </c>
      <c r="I365" s="2">
        <v>0.55726851851851855</v>
      </c>
      <c r="J365">
        <v>13</v>
      </c>
      <c r="K365" t="s">
        <v>434</v>
      </c>
      <c r="R365" t="s">
        <v>384</v>
      </c>
      <c r="S365">
        <v>22</v>
      </c>
      <c r="T365">
        <v>17</v>
      </c>
      <c r="U365" t="s">
        <v>1122</v>
      </c>
      <c r="V365" t="s">
        <v>1123</v>
      </c>
      <c r="W365">
        <v>1</v>
      </c>
      <c r="X365" t="s">
        <v>282</v>
      </c>
      <c r="AC365" t="s">
        <v>1124</v>
      </c>
      <c r="AE365" s="135"/>
    </row>
    <row r="366" spans="1:31" ht="12.5" customHeight="1" x14ac:dyDescent="0.35">
      <c r="A366" t="s">
        <v>396</v>
      </c>
      <c r="C366" t="s">
        <v>1125</v>
      </c>
      <c r="D366" t="s">
        <v>385</v>
      </c>
      <c r="E366" s="133">
        <v>45840</v>
      </c>
      <c r="F366" s="2">
        <v>5.7337962962962959E-2</v>
      </c>
      <c r="G366">
        <v>1</v>
      </c>
      <c r="H366" s="133">
        <v>45839</v>
      </c>
      <c r="I366" s="2">
        <v>0.55733796296296301</v>
      </c>
      <c r="J366">
        <v>13</v>
      </c>
      <c r="R366" t="s">
        <v>384</v>
      </c>
      <c r="S366">
        <v>14</v>
      </c>
      <c r="T366">
        <v>10</v>
      </c>
      <c r="U366" t="s">
        <v>395</v>
      </c>
      <c r="V366" t="s">
        <v>1126</v>
      </c>
      <c r="W366">
        <v>1</v>
      </c>
      <c r="X366" t="s">
        <v>282</v>
      </c>
      <c r="AC366" t="s">
        <v>1127</v>
      </c>
      <c r="AE366" s="135"/>
    </row>
    <row r="367" spans="1:31" ht="12.5" customHeight="1" x14ac:dyDescent="0.35">
      <c r="A367" t="s">
        <v>396</v>
      </c>
      <c r="C367" t="s">
        <v>1128</v>
      </c>
      <c r="D367" t="s">
        <v>385</v>
      </c>
      <c r="E367" s="133">
        <v>45840</v>
      </c>
      <c r="F367" s="2">
        <v>5.7476851851851855E-2</v>
      </c>
      <c r="G367">
        <v>1</v>
      </c>
      <c r="H367" s="133">
        <v>45839</v>
      </c>
      <c r="I367" s="2">
        <v>0.55747685185185192</v>
      </c>
      <c r="J367">
        <v>13</v>
      </c>
      <c r="K367" t="s">
        <v>388</v>
      </c>
      <c r="R367" t="s">
        <v>384</v>
      </c>
      <c r="S367">
        <v>29</v>
      </c>
      <c r="T367">
        <v>27</v>
      </c>
      <c r="U367" t="s">
        <v>1129</v>
      </c>
      <c r="V367" t="s">
        <v>1130</v>
      </c>
      <c r="W367">
        <v>1</v>
      </c>
      <c r="X367" t="s">
        <v>282</v>
      </c>
      <c r="AC367" t="s">
        <v>1131</v>
      </c>
      <c r="AE367" s="135"/>
    </row>
    <row r="368" spans="1:31" ht="12.5" customHeight="1" x14ac:dyDescent="0.35">
      <c r="A368" t="s">
        <v>396</v>
      </c>
      <c r="C368" t="s">
        <v>1132</v>
      </c>
      <c r="D368" t="s">
        <v>385</v>
      </c>
      <c r="E368" s="133">
        <v>45840</v>
      </c>
      <c r="F368" s="2">
        <v>5.7638888888888885E-2</v>
      </c>
      <c r="G368">
        <v>1</v>
      </c>
      <c r="H368" s="133">
        <v>45839</v>
      </c>
      <c r="I368" s="2">
        <v>0.55763888888888891</v>
      </c>
      <c r="J368">
        <v>13</v>
      </c>
      <c r="K368" t="s">
        <v>388</v>
      </c>
      <c r="R368" t="s">
        <v>384</v>
      </c>
      <c r="S368">
        <v>10</v>
      </c>
      <c r="T368">
        <v>9</v>
      </c>
      <c r="U368" t="s">
        <v>386</v>
      </c>
      <c r="V368" t="s">
        <v>1133</v>
      </c>
      <c r="W368">
        <v>1</v>
      </c>
      <c r="X368" t="s">
        <v>383</v>
      </c>
      <c r="AC368" t="s">
        <v>1134</v>
      </c>
      <c r="AE368" s="135"/>
    </row>
    <row r="369" spans="1:31" ht="12.5" customHeight="1" x14ac:dyDescent="0.35">
      <c r="A369" t="s">
        <v>396</v>
      </c>
      <c r="C369" t="s">
        <v>1135</v>
      </c>
      <c r="D369" t="s">
        <v>385</v>
      </c>
      <c r="E369" s="133">
        <v>45840</v>
      </c>
      <c r="F369" s="2">
        <v>5.7777777777777782E-2</v>
      </c>
      <c r="G369">
        <v>1</v>
      </c>
      <c r="H369" s="133">
        <v>45839</v>
      </c>
      <c r="I369" s="2">
        <v>0.55777777777777782</v>
      </c>
      <c r="J369">
        <v>13</v>
      </c>
      <c r="K369" t="s">
        <v>434</v>
      </c>
      <c r="R369" t="s">
        <v>384</v>
      </c>
      <c r="S369">
        <v>18</v>
      </c>
      <c r="T369">
        <v>15</v>
      </c>
      <c r="U369" t="s">
        <v>476</v>
      </c>
      <c r="V369" t="s">
        <v>1136</v>
      </c>
      <c r="W369">
        <v>1</v>
      </c>
      <c r="X369" t="s">
        <v>282</v>
      </c>
      <c r="AC369" t="s">
        <v>1137</v>
      </c>
      <c r="AE369" s="135"/>
    </row>
    <row r="370" spans="1:31" ht="12.5" customHeight="1" x14ac:dyDescent="0.35">
      <c r="A370" t="s">
        <v>396</v>
      </c>
      <c r="C370" t="s">
        <v>1138</v>
      </c>
      <c r="D370" t="s">
        <v>385</v>
      </c>
      <c r="E370" s="133">
        <v>45840</v>
      </c>
      <c r="F370" s="2">
        <v>5.7916666666666665E-2</v>
      </c>
      <c r="G370">
        <v>1</v>
      </c>
      <c r="H370" s="133">
        <v>45839</v>
      </c>
      <c r="I370" s="2">
        <v>0.55791666666666673</v>
      </c>
      <c r="J370">
        <v>13</v>
      </c>
      <c r="R370" t="s">
        <v>384</v>
      </c>
      <c r="S370">
        <v>28</v>
      </c>
      <c r="T370">
        <v>28</v>
      </c>
      <c r="U370">
        <v>1</v>
      </c>
      <c r="V370" t="s">
        <v>1139</v>
      </c>
      <c r="W370">
        <v>1</v>
      </c>
      <c r="X370" t="s">
        <v>282</v>
      </c>
      <c r="AC370" t="s">
        <v>1140</v>
      </c>
      <c r="AE370" s="135"/>
    </row>
    <row r="371" spans="1:31" ht="12.5" customHeight="1" x14ac:dyDescent="0.35">
      <c r="A371" t="s">
        <v>396</v>
      </c>
      <c r="C371" t="s">
        <v>1141</v>
      </c>
      <c r="D371" t="s">
        <v>385</v>
      </c>
      <c r="E371" s="133">
        <v>45840</v>
      </c>
      <c r="F371" s="2">
        <v>5.8055555555555555E-2</v>
      </c>
      <c r="G371">
        <v>1</v>
      </c>
      <c r="H371" s="133">
        <v>45839</v>
      </c>
      <c r="I371" s="2">
        <v>0.55805555555555553</v>
      </c>
      <c r="J371">
        <v>13</v>
      </c>
      <c r="R371" t="s">
        <v>384</v>
      </c>
      <c r="S371">
        <v>26</v>
      </c>
      <c r="T371">
        <v>25</v>
      </c>
      <c r="U371" t="s">
        <v>1142</v>
      </c>
      <c r="V371" t="s">
        <v>1143</v>
      </c>
      <c r="W371">
        <v>1</v>
      </c>
      <c r="X371" t="s">
        <v>282</v>
      </c>
      <c r="AC371" t="s">
        <v>1144</v>
      </c>
      <c r="AE371" s="135"/>
    </row>
    <row r="372" spans="1:31" ht="12.5" customHeight="1" x14ac:dyDescent="0.35">
      <c r="A372" t="s">
        <v>396</v>
      </c>
      <c r="C372" t="s">
        <v>1145</v>
      </c>
      <c r="D372" t="s">
        <v>385</v>
      </c>
      <c r="E372" s="133">
        <v>45840</v>
      </c>
      <c r="F372" s="2">
        <v>5.8194444444444444E-2</v>
      </c>
      <c r="G372">
        <v>1</v>
      </c>
      <c r="H372" s="133">
        <v>45839</v>
      </c>
      <c r="I372" s="2">
        <v>0.55819444444444444</v>
      </c>
      <c r="J372">
        <v>13</v>
      </c>
      <c r="R372" t="s">
        <v>384</v>
      </c>
      <c r="S372">
        <v>22</v>
      </c>
      <c r="T372">
        <v>20</v>
      </c>
      <c r="U372" t="s">
        <v>787</v>
      </c>
      <c r="V372" t="s">
        <v>1146</v>
      </c>
      <c r="W372">
        <v>1</v>
      </c>
      <c r="X372" t="s">
        <v>282</v>
      </c>
      <c r="AC372" t="s">
        <v>1147</v>
      </c>
      <c r="AE372" s="135"/>
    </row>
    <row r="373" spans="1:31" ht="12.5" customHeight="1" x14ac:dyDescent="0.35">
      <c r="A373" t="s">
        <v>396</v>
      </c>
      <c r="C373" t="s">
        <v>1148</v>
      </c>
      <c r="D373" t="s">
        <v>385</v>
      </c>
      <c r="E373" s="133">
        <v>45840</v>
      </c>
      <c r="F373" s="2">
        <v>5.8472222222222224E-2</v>
      </c>
      <c r="G373">
        <v>1</v>
      </c>
      <c r="H373" s="133">
        <v>45839</v>
      </c>
      <c r="I373" s="2">
        <v>0.55847222222222215</v>
      </c>
      <c r="J373">
        <v>13</v>
      </c>
      <c r="K373" t="s">
        <v>434</v>
      </c>
      <c r="R373" t="s">
        <v>384</v>
      </c>
      <c r="S373">
        <v>15</v>
      </c>
      <c r="T373">
        <v>6</v>
      </c>
      <c r="U373" t="s">
        <v>698</v>
      </c>
      <c r="V373" t="s">
        <v>1149</v>
      </c>
      <c r="W373">
        <v>1</v>
      </c>
      <c r="X373" t="s">
        <v>282</v>
      </c>
      <c r="AC373" t="s">
        <v>1150</v>
      </c>
      <c r="AE373" s="135"/>
    </row>
    <row r="374" spans="1:31" ht="12.5" customHeight="1" x14ac:dyDescent="0.35">
      <c r="A374" t="s">
        <v>396</v>
      </c>
      <c r="C374" t="s">
        <v>1151</v>
      </c>
      <c r="D374" t="s">
        <v>385</v>
      </c>
      <c r="E374" s="133">
        <v>45840</v>
      </c>
      <c r="F374" s="2">
        <v>5.8657407407407408E-2</v>
      </c>
      <c r="G374">
        <v>1</v>
      </c>
      <c r="H374" s="133">
        <v>45839</v>
      </c>
      <c r="I374" s="2">
        <v>0.55865740740740744</v>
      </c>
      <c r="J374">
        <v>13</v>
      </c>
      <c r="K374" t="s">
        <v>434</v>
      </c>
      <c r="R374" t="s">
        <v>384</v>
      </c>
      <c r="S374">
        <v>14</v>
      </c>
      <c r="T374">
        <v>12</v>
      </c>
      <c r="U374" t="s">
        <v>922</v>
      </c>
      <c r="V374" t="s">
        <v>1152</v>
      </c>
      <c r="W374">
        <v>1</v>
      </c>
      <c r="X374" t="s">
        <v>282</v>
      </c>
      <c r="AC374" t="s">
        <v>1153</v>
      </c>
      <c r="AE374" s="135"/>
    </row>
    <row r="375" spans="1:31" ht="12.5" customHeight="1" x14ac:dyDescent="0.35">
      <c r="A375" t="s">
        <v>396</v>
      </c>
      <c r="C375" t="s">
        <v>1154</v>
      </c>
      <c r="D375" t="s">
        <v>385</v>
      </c>
      <c r="E375" s="133">
        <v>45840</v>
      </c>
      <c r="F375" s="2">
        <v>5.8842592592592592E-2</v>
      </c>
      <c r="G375">
        <v>1</v>
      </c>
      <c r="H375" s="133">
        <v>45839</v>
      </c>
      <c r="I375" s="2">
        <v>0.55884259259259261</v>
      </c>
      <c r="J375">
        <v>13</v>
      </c>
      <c r="R375" t="s">
        <v>384</v>
      </c>
      <c r="S375">
        <v>12</v>
      </c>
      <c r="T375">
        <v>10</v>
      </c>
      <c r="U375" t="s">
        <v>476</v>
      </c>
      <c r="V375" t="s">
        <v>1155</v>
      </c>
      <c r="W375">
        <v>1</v>
      </c>
      <c r="X375" t="s">
        <v>282</v>
      </c>
      <c r="AC375" t="s">
        <v>1156</v>
      </c>
      <c r="AE375" s="135"/>
    </row>
    <row r="376" spans="1:31" ht="12.5" customHeight="1" x14ac:dyDescent="0.35">
      <c r="A376" t="s">
        <v>396</v>
      </c>
      <c r="C376" t="s">
        <v>1157</v>
      </c>
      <c r="D376" t="s">
        <v>385</v>
      </c>
      <c r="E376" s="133">
        <v>45840</v>
      </c>
      <c r="F376" s="2">
        <v>5.9097222222222225E-2</v>
      </c>
      <c r="G376">
        <v>1</v>
      </c>
      <c r="H376" s="133">
        <v>45839</v>
      </c>
      <c r="I376" s="2">
        <v>0.55909722222222225</v>
      </c>
      <c r="J376">
        <v>13</v>
      </c>
      <c r="R376" t="s">
        <v>384</v>
      </c>
      <c r="S376">
        <v>28</v>
      </c>
      <c r="T376">
        <v>26</v>
      </c>
      <c r="U376" t="s">
        <v>969</v>
      </c>
      <c r="V376" t="s">
        <v>1158</v>
      </c>
      <c r="W376">
        <v>1</v>
      </c>
      <c r="X376" t="s">
        <v>282</v>
      </c>
      <c r="AC376" t="s">
        <v>1159</v>
      </c>
      <c r="AE376" s="135"/>
    </row>
    <row r="377" spans="1:31" ht="12.5" customHeight="1" x14ac:dyDescent="0.35">
      <c r="A377" t="s">
        <v>396</v>
      </c>
      <c r="C377" t="s">
        <v>1160</v>
      </c>
      <c r="D377" t="s">
        <v>385</v>
      </c>
      <c r="E377" s="133">
        <v>45840</v>
      </c>
      <c r="F377" s="2">
        <v>5.9259259259259262E-2</v>
      </c>
      <c r="G377">
        <v>1</v>
      </c>
      <c r="H377" s="133">
        <v>45839</v>
      </c>
      <c r="I377" s="2">
        <v>0.55925925925925923</v>
      </c>
      <c r="J377">
        <v>13</v>
      </c>
      <c r="R377" t="s">
        <v>384</v>
      </c>
      <c r="S377">
        <v>12</v>
      </c>
      <c r="T377">
        <v>9</v>
      </c>
      <c r="U377" t="s">
        <v>453</v>
      </c>
      <c r="V377" t="s">
        <v>1161</v>
      </c>
      <c r="W377">
        <v>1</v>
      </c>
      <c r="X377" t="s">
        <v>282</v>
      </c>
      <c r="AC377" t="s">
        <v>1162</v>
      </c>
      <c r="AE377" s="135"/>
    </row>
    <row r="378" spans="1:31" ht="12.5" customHeight="1" x14ac:dyDescent="0.35">
      <c r="A378" t="s">
        <v>396</v>
      </c>
      <c r="C378" t="s">
        <v>1163</v>
      </c>
      <c r="D378" t="s">
        <v>385</v>
      </c>
      <c r="E378" s="133">
        <v>45840</v>
      </c>
      <c r="F378" s="2">
        <v>5.9675925925925931E-2</v>
      </c>
      <c r="G378">
        <v>1</v>
      </c>
      <c r="H378" s="133">
        <v>45839</v>
      </c>
      <c r="I378" s="2">
        <v>0.55967592592592597</v>
      </c>
      <c r="J378">
        <v>13</v>
      </c>
      <c r="R378" t="s">
        <v>30</v>
      </c>
      <c r="W378">
        <v>1</v>
      </c>
      <c r="X378" t="s">
        <v>30</v>
      </c>
      <c r="AC378" t="s">
        <v>1164</v>
      </c>
      <c r="AE378" s="135"/>
    </row>
    <row r="379" spans="1:31" ht="12.5" customHeight="1" x14ac:dyDescent="0.35">
      <c r="A379" t="s">
        <v>396</v>
      </c>
      <c r="C379" t="s">
        <v>1165</v>
      </c>
      <c r="D379" t="s">
        <v>385</v>
      </c>
      <c r="E379" s="133">
        <v>45840</v>
      </c>
      <c r="F379" s="2">
        <v>6.069444444444444E-2</v>
      </c>
      <c r="G379">
        <v>1</v>
      </c>
      <c r="H379" s="133">
        <v>45839</v>
      </c>
      <c r="I379" s="2">
        <v>0.5606944444444445</v>
      </c>
      <c r="J379">
        <v>13</v>
      </c>
      <c r="R379" t="s">
        <v>384</v>
      </c>
      <c r="S379">
        <v>16</v>
      </c>
      <c r="T379">
        <v>14</v>
      </c>
      <c r="U379" t="s">
        <v>778</v>
      </c>
      <c r="V379" t="s">
        <v>1166</v>
      </c>
      <c r="W379">
        <v>1</v>
      </c>
      <c r="X379" t="s">
        <v>383</v>
      </c>
      <c r="AC379" t="s">
        <v>1167</v>
      </c>
      <c r="AE379" s="135"/>
    </row>
    <row r="380" spans="1:31" ht="12.5" customHeight="1" x14ac:dyDescent="0.35">
      <c r="A380" t="s">
        <v>396</v>
      </c>
      <c r="C380" t="s">
        <v>1168</v>
      </c>
      <c r="D380" t="s">
        <v>385</v>
      </c>
      <c r="E380" s="133">
        <v>45840</v>
      </c>
      <c r="F380" s="2">
        <v>6.0902777777777778E-2</v>
      </c>
      <c r="G380">
        <v>1</v>
      </c>
      <c r="H380" s="133">
        <v>45839</v>
      </c>
      <c r="I380" s="2">
        <v>0.56090277777777775</v>
      </c>
      <c r="J380">
        <v>13</v>
      </c>
      <c r="K380" t="s">
        <v>1108</v>
      </c>
      <c r="R380" t="s">
        <v>384</v>
      </c>
      <c r="S380">
        <v>16</v>
      </c>
      <c r="T380">
        <v>16</v>
      </c>
      <c r="U380">
        <v>1</v>
      </c>
      <c r="V380" t="s">
        <v>1169</v>
      </c>
      <c r="W380">
        <v>1</v>
      </c>
      <c r="X380" t="s">
        <v>383</v>
      </c>
      <c r="AC380" t="s">
        <v>1170</v>
      </c>
      <c r="AE380" s="135"/>
    </row>
    <row r="381" spans="1:31" ht="12.5" customHeight="1" x14ac:dyDescent="0.35">
      <c r="A381" t="s">
        <v>396</v>
      </c>
      <c r="C381" t="s">
        <v>1171</v>
      </c>
      <c r="D381" t="s">
        <v>385</v>
      </c>
      <c r="E381" s="133">
        <v>45840</v>
      </c>
      <c r="F381" s="2">
        <v>6.1018518518518521E-2</v>
      </c>
      <c r="G381">
        <v>1</v>
      </c>
      <c r="H381" s="133">
        <v>45839</v>
      </c>
      <c r="I381" s="2">
        <v>0.56101851851851847</v>
      </c>
      <c r="J381">
        <v>13</v>
      </c>
      <c r="K381" t="s">
        <v>387</v>
      </c>
      <c r="R381" t="s">
        <v>384</v>
      </c>
      <c r="S381">
        <v>19</v>
      </c>
      <c r="T381">
        <v>13</v>
      </c>
      <c r="U381" t="s">
        <v>1172</v>
      </c>
      <c r="V381" t="s">
        <v>1173</v>
      </c>
      <c r="W381">
        <v>1</v>
      </c>
      <c r="X381" t="s">
        <v>841</v>
      </c>
      <c r="AC381" t="s">
        <v>1174</v>
      </c>
      <c r="AE381" s="135"/>
    </row>
    <row r="382" spans="1:31" ht="12.5" customHeight="1" x14ac:dyDescent="0.35">
      <c r="A382" t="s">
        <v>396</v>
      </c>
      <c r="C382" t="s">
        <v>1175</v>
      </c>
      <c r="D382" t="s">
        <v>385</v>
      </c>
      <c r="E382" s="133">
        <v>45840</v>
      </c>
      <c r="F382" s="2">
        <v>6.115740740740741E-2</v>
      </c>
      <c r="G382">
        <v>1</v>
      </c>
      <c r="H382" s="133">
        <v>45839</v>
      </c>
      <c r="I382" s="2">
        <v>0.56115740740740738</v>
      </c>
      <c r="J382">
        <v>13</v>
      </c>
      <c r="K382" t="s">
        <v>434</v>
      </c>
      <c r="R382" t="s">
        <v>384</v>
      </c>
      <c r="S382">
        <v>16</v>
      </c>
      <c r="T382">
        <v>14</v>
      </c>
      <c r="U382" t="s">
        <v>778</v>
      </c>
      <c r="V382" t="s">
        <v>1176</v>
      </c>
      <c r="W382">
        <v>1</v>
      </c>
      <c r="X382" t="s">
        <v>383</v>
      </c>
      <c r="AC382" t="s">
        <v>1177</v>
      </c>
      <c r="AE382" s="135"/>
    </row>
    <row r="383" spans="1:31" ht="12.5" customHeight="1" x14ac:dyDescent="0.35">
      <c r="A383" t="s">
        <v>396</v>
      </c>
      <c r="C383" t="s">
        <v>1178</v>
      </c>
      <c r="D383" t="s">
        <v>385</v>
      </c>
      <c r="E383" s="133">
        <v>45840</v>
      </c>
      <c r="F383" s="2">
        <v>6.1296296296296293E-2</v>
      </c>
      <c r="G383">
        <v>1</v>
      </c>
      <c r="H383" s="133">
        <v>45839</v>
      </c>
      <c r="I383" s="2">
        <v>0.56129629629629629</v>
      </c>
      <c r="J383">
        <v>13</v>
      </c>
      <c r="K383" t="s">
        <v>388</v>
      </c>
      <c r="R383" t="s">
        <v>384</v>
      </c>
      <c r="S383">
        <v>17</v>
      </c>
      <c r="T383">
        <v>15</v>
      </c>
      <c r="U383" t="s">
        <v>1179</v>
      </c>
      <c r="V383" t="s">
        <v>1180</v>
      </c>
      <c r="W383">
        <v>1</v>
      </c>
      <c r="X383" t="s">
        <v>282</v>
      </c>
      <c r="AC383" t="s">
        <v>1181</v>
      </c>
      <c r="AE383" s="135"/>
    </row>
    <row r="384" spans="1:31" ht="12.5" customHeight="1" x14ac:dyDescent="0.35">
      <c r="A384" t="s">
        <v>396</v>
      </c>
      <c r="C384" t="s">
        <v>1182</v>
      </c>
      <c r="D384" t="s">
        <v>385</v>
      </c>
      <c r="E384" s="133">
        <v>45840</v>
      </c>
      <c r="F384" s="2">
        <v>6.1435185185185183E-2</v>
      </c>
      <c r="G384">
        <v>1</v>
      </c>
      <c r="H384" s="133">
        <v>45839</v>
      </c>
      <c r="I384" s="2">
        <v>0.5614351851851852</v>
      </c>
      <c r="J384">
        <v>13</v>
      </c>
      <c r="K384" t="s">
        <v>434</v>
      </c>
      <c r="R384" t="s">
        <v>384</v>
      </c>
      <c r="S384">
        <v>15</v>
      </c>
      <c r="T384">
        <v>13</v>
      </c>
      <c r="U384" t="s">
        <v>763</v>
      </c>
      <c r="V384" t="s">
        <v>1183</v>
      </c>
      <c r="W384">
        <v>1</v>
      </c>
      <c r="X384" t="s">
        <v>282</v>
      </c>
      <c r="AC384" t="s">
        <v>1184</v>
      </c>
      <c r="AE384" s="135"/>
    </row>
    <row r="385" spans="1:31" ht="12.5" customHeight="1" x14ac:dyDescent="0.35">
      <c r="A385" t="s">
        <v>396</v>
      </c>
      <c r="C385" t="s">
        <v>1185</v>
      </c>
      <c r="D385" t="s">
        <v>385</v>
      </c>
      <c r="E385" s="133">
        <v>45840</v>
      </c>
      <c r="F385" s="2">
        <v>6.157407407407408E-2</v>
      </c>
      <c r="G385">
        <v>1</v>
      </c>
      <c r="H385" s="133">
        <v>45839</v>
      </c>
      <c r="I385" s="2">
        <v>0.56157407407407411</v>
      </c>
      <c r="J385">
        <v>13</v>
      </c>
      <c r="K385" t="s">
        <v>434</v>
      </c>
      <c r="R385" t="s">
        <v>384</v>
      </c>
      <c r="S385">
        <v>11</v>
      </c>
      <c r="T385">
        <v>8</v>
      </c>
      <c r="U385" t="s">
        <v>1186</v>
      </c>
      <c r="V385" t="s">
        <v>1187</v>
      </c>
      <c r="W385">
        <v>1</v>
      </c>
      <c r="X385" t="s">
        <v>383</v>
      </c>
      <c r="AC385" t="s">
        <v>1188</v>
      </c>
      <c r="AE385" s="135"/>
    </row>
    <row r="386" spans="1:31" ht="12.5" customHeight="1" x14ac:dyDescent="0.35">
      <c r="A386" t="s">
        <v>396</v>
      </c>
      <c r="C386" t="s">
        <v>1189</v>
      </c>
      <c r="D386" t="s">
        <v>385</v>
      </c>
      <c r="E386" s="133">
        <v>45840</v>
      </c>
      <c r="F386" s="2">
        <v>6.1851851851851852E-2</v>
      </c>
      <c r="G386">
        <v>1</v>
      </c>
      <c r="H386" s="133">
        <v>45839</v>
      </c>
      <c r="I386" s="2">
        <v>0.56185185185185182</v>
      </c>
      <c r="J386">
        <v>13</v>
      </c>
      <c r="K386" t="s">
        <v>434</v>
      </c>
      <c r="R386" t="s">
        <v>384</v>
      </c>
      <c r="S386">
        <v>19</v>
      </c>
      <c r="T386">
        <v>17</v>
      </c>
      <c r="U386" t="s">
        <v>1190</v>
      </c>
      <c r="V386" t="s">
        <v>1191</v>
      </c>
      <c r="W386">
        <v>1</v>
      </c>
      <c r="X386" t="s">
        <v>282</v>
      </c>
      <c r="AC386" t="s">
        <v>1192</v>
      </c>
      <c r="AE386" s="135"/>
    </row>
    <row r="387" spans="1:31" ht="12.5" customHeight="1" x14ac:dyDescent="0.35">
      <c r="A387" t="s">
        <v>396</v>
      </c>
      <c r="C387" t="s">
        <v>1193</v>
      </c>
      <c r="D387" t="s">
        <v>385</v>
      </c>
      <c r="E387" s="133">
        <v>45840</v>
      </c>
      <c r="F387" s="2">
        <v>6.2314814814814816E-2</v>
      </c>
      <c r="G387">
        <v>1</v>
      </c>
      <c r="H387" s="133">
        <v>45839</v>
      </c>
      <c r="I387" s="2">
        <v>0.56231481481481482</v>
      </c>
      <c r="J387">
        <v>13</v>
      </c>
      <c r="K387" t="s">
        <v>434</v>
      </c>
      <c r="R387" t="s">
        <v>384</v>
      </c>
      <c r="S387">
        <v>11</v>
      </c>
      <c r="T387">
        <v>8</v>
      </c>
      <c r="U387" t="s">
        <v>1186</v>
      </c>
      <c r="V387" t="s">
        <v>1194</v>
      </c>
      <c r="W387">
        <v>1</v>
      </c>
      <c r="X387" t="s">
        <v>282</v>
      </c>
      <c r="AC387" t="s">
        <v>1195</v>
      </c>
      <c r="AE387" s="135"/>
    </row>
    <row r="388" spans="1:31" ht="12.5" customHeight="1" x14ac:dyDescent="0.35">
      <c r="A388" t="s">
        <v>396</v>
      </c>
      <c r="C388" t="s">
        <v>1196</v>
      </c>
      <c r="D388" t="s">
        <v>385</v>
      </c>
      <c r="E388" s="133">
        <v>45840</v>
      </c>
      <c r="F388" s="2">
        <v>6.2430555555555552E-2</v>
      </c>
      <c r="G388">
        <v>1</v>
      </c>
      <c r="H388" s="133">
        <v>45839</v>
      </c>
      <c r="I388" s="2">
        <v>0.56243055555555554</v>
      </c>
      <c r="J388">
        <v>13</v>
      </c>
      <c r="K388" t="s">
        <v>434</v>
      </c>
      <c r="R388" t="s">
        <v>384</v>
      </c>
      <c r="S388">
        <v>2</v>
      </c>
      <c r="T388">
        <v>1</v>
      </c>
      <c r="U388" t="s">
        <v>449</v>
      </c>
      <c r="V388" t="s">
        <v>1197</v>
      </c>
      <c r="W388">
        <v>1</v>
      </c>
      <c r="X388" t="s">
        <v>282</v>
      </c>
      <c r="AC388" t="s">
        <v>1198</v>
      </c>
      <c r="AE388" s="135"/>
    </row>
    <row r="389" spans="1:31" ht="12.5" customHeight="1" x14ac:dyDescent="0.35">
      <c r="A389" t="s">
        <v>396</v>
      </c>
      <c r="C389" t="s">
        <v>1199</v>
      </c>
      <c r="D389" t="s">
        <v>385</v>
      </c>
      <c r="E389" s="133">
        <v>45840</v>
      </c>
      <c r="F389" s="2">
        <v>6.3263888888888883E-2</v>
      </c>
      <c r="G389">
        <v>1</v>
      </c>
      <c r="H389" s="133">
        <v>45839</v>
      </c>
      <c r="I389" s="2">
        <v>0.5632638888888889</v>
      </c>
      <c r="J389">
        <v>13</v>
      </c>
      <c r="K389" t="s">
        <v>387</v>
      </c>
      <c r="R389" t="s">
        <v>384</v>
      </c>
      <c r="S389">
        <v>19</v>
      </c>
      <c r="T389">
        <v>11</v>
      </c>
      <c r="U389" t="s">
        <v>1200</v>
      </c>
      <c r="V389" t="s">
        <v>1201</v>
      </c>
      <c r="W389">
        <v>1</v>
      </c>
      <c r="X389" s="132" t="s">
        <v>1202</v>
      </c>
      <c r="AC389" t="s">
        <v>1203</v>
      </c>
      <c r="AE389" s="135"/>
    </row>
    <row r="390" spans="1:31" ht="12.5" customHeight="1" x14ac:dyDescent="0.35">
      <c r="A390" t="s">
        <v>396</v>
      </c>
      <c r="C390" t="s">
        <v>1204</v>
      </c>
      <c r="D390" t="s">
        <v>385</v>
      </c>
      <c r="E390" s="133">
        <v>45840</v>
      </c>
      <c r="F390" s="2">
        <v>6.3425925925925927E-2</v>
      </c>
      <c r="G390">
        <v>1</v>
      </c>
      <c r="H390" s="133">
        <v>45839</v>
      </c>
      <c r="I390" s="2">
        <v>0.56342592592592589</v>
      </c>
      <c r="J390">
        <v>13</v>
      </c>
      <c r="R390" t="s">
        <v>384</v>
      </c>
      <c r="S390">
        <v>18</v>
      </c>
      <c r="T390">
        <v>17</v>
      </c>
      <c r="U390" t="s">
        <v>874</v>
      </c>
      <c r="V390" t="s">
        <v>1205</v>
      </c>
      <c r="W390">
        <v>1</v>
      </c>
      <c r="X390" t="s">
        <v>383</v>
      </c>
      <c r="AC390" t="s">
        <v>1206</v>
      </c>
      <c r="AE390" s="135"/>
    </row>
    <row r="391" spans="1:31" ht="12.5" customHeight="1" x14ac:dyDescent="0.35">
      <c r="A391" t="s">
        <v>396</v>
      </c>
      <c r="C391" t="s">
        <v>1207</v>
      </c>
      <c r="D391" t="s">
        <v>385</v>
      </c>
      <c r="E391" s="133">
        <v>45840</v>
      </c>
      <c r="F391" s="2">
        <v>6.3587962962962971E-2</v>
      </c>
      <c r="G391">
        <v>1</v>
      </c>
      <c r="H391" s="133">
        <v>45839</v>
      </c>
      <c r="I391" s="2">
        <v>0.56358796296296299</v>
      </c>
      <c r="J391">
        <v>13</v>
      </c>
      <c r="K391" t="s">
        <v>434</v>
      </c>
      <c r="R391" t="s">
        <v>384</v>
      </c>
      <c r="S391">
        <v>9</v>
      </c>
      <c r="T391">
        <v>7</v>
      </c>
      <c r="U391" t="s">
        <v>394</v>
      </c>
      <c r="V391" t="s">
        <v>1208</v>
      </c>
      <c r="W391">
        <v>1</v>
      </c>
      <c r="X391" t="s">
        <v>282</v>
      </c>
      <c r="AC391" t="s">
        <v>1209</v>
      </c>
      <c r="AE391" s="135"/>
    </row>
    <row r="392" spans="1:31" ht="12.5" customHeight="1" x14ac:dyDescent="0.35">
      <c r="A392" t="s">
        <v>396</v>
      </c>
      <c r="C392" t="s">
        <v>1210</v>
      </c>
      <c r="D392" t="s">
        <v>385</v>
      </c>
      <c r="E392" s="133">
        <v>45840</v>
      </c>
      <c r="F392" s="2">
        <v>6.4212962962962958E-2</v>
      </c>
      <c r="G392">
        <v>1</v>
      </c>
      <c r="H392" s="133">
        <v>45839</v>
      </c>
      <c r="I392" s="2">
        <v>0.56421296296296297</v>
      </c>
      <c r="J392">
        <v>13</v>
      </c>
      <c r="K392" t="s">
        <v>434</v>
      </c>
      <c r="R392" t="s">
        <v>384</v>
      </c>
      <c r="S392">
        <v>6</v>
      </c>
      <c r="T392">
        <v>4</v>
      </c>
      <c r="U392" t="s">
        <v>393</v>
      </c>
      <c r="V392" t="s">
        <v>1211</v>
      </c>
      <c r="W392">
        <v>1</v>
      </c>
      <c r="X392" t="s">
        <v>282</v>
      </c>
      <c r="AC392" t="s">
        <v>1212</v>
      </c>
      <c r="AE392" s="135"/>
    </row>
    <row r="393" spans="1:31" ht="12.5" customHeight="1" x14ac:dyDescent="0.35">
      <c r="A393" t="s">
        <v>396</v>
      </c>
      <c r="C393" t="s">
        <v>1213</v>
      </c>
      <c r="D393" t="s">
        <v>385</v>
      </c>
      <c r="E393" s="133">
        <v>45840</v>
      </c>
      <c r="F393" s="2">
        <v>6.4351851851851841E-2</v>
      </c>
      <c r="G393">
        <v>1</v>
      </c>
      <c r="H393" s="133">
        <v>45839</v>
      </c>
      <c r="I393" s="2">
        <v>0.56435185185185188</v>
      </c>
      <c r="J393">
        <v>13</v>
      </c>
      <c r="K393" t="s">
        <v>434</v>
      </c>
      <c r="R393" t="s">
        <v>384</v>
      </c>
      <c r="S393">
        <v>6</v>
      </c>
      <c r="T393">
        <v>4</v>
      </c>
      <c r="U393" t="s">
        <v>393</v>
      </c>
      <c r="V393" t="s">
        <v>1214</v>
      </c>
      <c r="W393">
        <v>1</v>
      </c>
      <c r="X393" t="s">
        <v>282</v>
      </c>
      <c r="AC393" t="s">
        <v>1215</v>
      </c>
      <c r="AE393" s="135"/>
    </row>
    <row r="394" spans="1:31" ht="12.5" customHeight="1" x14ac:dyDescent="0.35">
      <c r="A394" t="s">
        <v>396</v>
      </c>
      <c r="C394" t="s">
        <v>1216</v>
      </c>
      <c r="D394" t="s">
        <v>385</v>
      </c>
      <c r="E394" s="133">
        <v>45840</v>
      </c>
      <c r="F394" s="2">
        <v>6.4976851851851855E-2</v>
      </c>
      <c r="G394">
        <v>1</v>
      </c>
      <c r="H394" s="133">
        <v>45839</v>
      </c>
      <c r="I394" s="2">
        <v>0.56497685185185187</v>
      </c>
      <c r="J394">
        <v>13</v>
      </c>
      <c r="R394" t="s">
        <v>384</v>
      </c>
      <c r="S394">
        <v>9</v>
      </c>
      <c r="T394">
        <v>9</v>
      </c>
      <c r="U394">
        <v>1</v>
      </c>
      <c r="V394" t="s">
        <v>1217</v>
      </c>
      <c r="W394">
        <v>1</v>
      </c>
      <c r="X394" t="s">
        <v>282</v>
      </c>
      <c r="AC394" t="s">
        <v>1218</v>
      </c>
      <c r="AE394" s="135"/>
    </row>
    <row r="395" spans="1:31" ht="12.5" customHeight="1" x14ac:dyDescent="0.35">
      <c r="A395" t="s">
        <v>396</v>
      </c>
      <c r="C395" t="s">
        <v>1219</v>
      </c>
      <c r="D395" t="s">
        <v>385</v>
      </c>
      <c r="E395" s="133">
        <v>45840</v>
      </c>
      <c r="F395" s="2">
        <v>6.5925925925925929E-2</v>
      </c>
      <c r="G395">
        <v>1</v>
      </c>
      <c r="H395" s="133">
        <v>45839</v>
      </c>
      <c r="I395" s="2">
        <v>0.56592592592592594</v>
      </c>
      <c r="J395">
        <v>13</v>
      </c>
      <c r="K395" t="s">
        <v>434</v>
      </c>
      <c r="R395" t="s">
        <v>384</v>
      </c>
      <c r="S395">
        <v>20</v>
      </c>
      <c r="T395">
        <v>15</v>
      </c>
      <c r="U395" t="s">
        <v>453</v>
      </c>
      <c r="V395" t="s">
        <v>1220</v>
      </c>
      <c r="W395">
        <v>1</v>
      </c>
      <c r="X395" t="s">
        <v>383</v>
      </c>
      <c r="AC395" t="s">
        <v>1221</v>
      </c>
      <c r="AE395" s="135"/>
    </row>
    <row r="396" spans="1:31" ht="12.5" customHeight="1" x14ac:dyDescent="0.35">
      <c r="A396" t="s">
        <v>396</v>
      </c>
      <c r="C396" t="s">
        <v>1222</v>
      </c>
      <c r="D396" t="s">
        <v>385</v>
      </c>
      <c r="E396" s="133">
        <v>45840</v>
      </c>
      <c r="F396" s="2">
        <v>6.6041666666666665E-2</v>
      </c>
      <c r="G396">
        <v>1</v>
      </c>
      <c r="H396" s="133">
        <v>45839</v>
      </c>
      <c r="I396" s="2">
        <v>0.56604166666666667</v>
      </c>
      <c r="J396">
        <v>13</v>
      </c>
      <c r="R396" t="s">
        <v>384</v>
      </c>
      <c r="S396">
        <v>11</v>
      </c>
      <c r="T396">
        <v>9</v>
      </c>
      <c r="U396" t="s">
        <v>820</v>
      </c>
      <c r="V396" t="s">
        <v>1223</v>
      </c>
      <c r="W396">
        <v>1</v>
      </c>
      <c r="X396" t="s">
        <v>282</v>
      </c>
      <c r="AC396" t="s">
        <v>1224</v>
      </c>
      <c r="AE396" s="135"/>
    </row>
    <row r="397" spans="1:31" ht="12.5" customHeight="1" x14ac:dyDescent="0.35">
      <c r="A397" t="s">
        <v>396</v>
      </c>
      <c r="C397" t="s">
        <v>1225</v>
      </c>
      <c r="D397" t="s">
        <v>385</v>
      </c>
      <c r="E397" s="133">
        <v>45840</v>
      </c>
      <c r="F397" s="2">
        <v>6.6342592592592592E-2</v>
      </c>
      <c r="G397">
        <v>1</v>
      </c>
      <c r="H397" s="133">
        <v>45839</v>
      </c>
      <c r="I397" s="2">
        <v>0.56634259259259256</v>
      </c>
      <c r="J397">
        <v>13</v>
      </c>
      <c r="K397" t="s">
        <v>434</v>
      </c>
      <c r="R397" t="s">
        <v>384</v>
      </c>
      <c r="S397">
        <v>11</v>
      </c>
      <c r="T397">
        <v>10</v>
      </c>
      <c r="U397" t="s">
        <v>787</v>
      </c>
      <c r="V397" t="s">
        <v>1226</v>
      </c>
      <c r="W397">
        <v>1</v>
      </c>
      <c r="X397" t="s">
        <v>282</v>
      </c>
      <c r="AC397" t="s">
        <v>1227</v>
      </c>
      <c r="AE397" s="135"/>
    </row>
    <row r="398" spans="1:31" ht="12.5" customHeight="1" x14ac:dyDescent="0.35">
      <c r="A398" t="s">
        <v>396</v>
      </c>
      <c r="C398" t="s">
        <v>1228</v>
      </c>
      <c r="D398" t="s">
        <v>385</v>
      </c>
      <c r="E398" s="133">
        <v>45840</v>
      </c>
      <c r="F398" s="2">
        <v>6.6851851851851843E-2</v>
      </c>
      <c r="G398">
        <v>1</v>
      </c>
      <c r="H398" s="133">
        <v>45839</v>
      </c>
      <c r="I398" s="2">
        <v>0.56685185185185183</v>
      </c>
      <c r="J398">
        <v>13</v>
      </c>
      <c r="K398" t="s">
        <v>390</v>
      </c>
      <c r="L398" t="s">
        <v>434</v>
      </c>
      <c r="R398" t="s">
        <v>384</v>
      </c>
      <c r="S398">
        <v>4</v>
      </c>
      <c r="T398">
        <v>3</v>
      </c>
      <c r="U398" t="s">
        <v>453</v>
      </c>
      <c r="V398" t="s">
        <v>1229</v>
      </c>
      <c r="W398">
        <v>1</v>
      </c>
      <c r="X398" t="s">
        <v>282</v>
      </c>
      <c r="AC398" t="s">
        <v>1230</v>
      </c>
      <c r="AE398" s="135"/>
    </row>
    <row r="399" spans="1:31" ht="12.5" customHeight="1" x14ac:dyDescent="0.35">
      <c r="A399" t="s">
        <v>396</v>
      </c>
      <c r="C399" t="s">
        <v>1231</v>
      </c>
      <c r="D399" t="s">
        <v>385</v>
      </c>
      <c r="E399" s="133">
        <v>45840</v>
      </c>
      <c r="F399" s="2">
        <v>6.7013888888888887E-2</v>
      </c>
      <c r="G399">
        <v>1</v>
      </c>
      <c r="H399" s="133">
        <v>45839</v>
      </c>
      <c r="I399" s="2">
        <v>0.56701388888888882</v>
      </c>
      <c r="J399">
        <v>13</v>
      </c>
      <c r="K399" t="s">
        <v>388</v>
      </c>
      <c r="R399" t="s">
        <v>384</v>
      </c>
      <c r="S399">
        <v>20</v>
      </c>
      <c r="T399">
        <v>16</v>
      </c>
      <c r="U399" t="s">
        <v>496</v>
      </c>
      <c r="V399" t="s">
        <v>1232</v>
      </c>
      <c r="W399">
        <v>1</v>
      </c>
      <c r="X399" t="s">
        <v>383</v>
      </c>
      <c r="AC399" t="s">
        <v>1233</v>
      </c>
      <c r="AE399" s="135"/>
    </row>
    <row r="400" spans="1:31" ht="12.5" customHeight="1" x14ac:dyDescent="0.35">
      <c r="A400" t="s">
        <v>396</v>
      </c>
      <c r="C400" t="s">
        <v>1234</v>
      </c>
      <c r="D400" t="s">
        <v>385</v>
      </c>
      <c r="E400" s="133">
        <v>45840</v>
      </c>
      <c r="F400" s="2">
        <v>6.7199074074074064E-2</v>
      </c>
      <c r="G400">
        <v>1</v>
      </c>
      <c r="H400" s="133">
        <v>45839</v>
      </c>
      <c r="I400" s="2">
        <v>0.56719907407407411</v>
      </c>
      <c r="J400">
        <v>13</v>
      </c>
      <c r="R400" t="s">
        <v>432</v>
      </c>
      <c r="S400">
        <v>4</v>
      </c>
      <c r="T400">
        <v>0</v>
      </c>
      <c r="U400">
        <v>0</v>
      </c>
      <c r="V400">
        <v>0</v>
      </c>
      <c r="W400">
        <v>1</v>
      </c>
      <c r="X400" t="s">
        <v>282</v>
      </c>
      <c r="AC400" t="s">
        <v>1235</v>
      </c>
      <c r="AE400" s="135"/>
    </row>
    <row r="401" spans="1:31" ht="12.5" customHeight="1" x14ac:dyDescent="0.35">
      <c r="A401" t="s">
        <v>396</v>
      </c>
      <c r="C401" t="s">
        <v>1236</v>
      </c>
      <c r="D401" t="s">
        <v>385</v>
      </c>
      <c r="E401" s="133">
        <v>45840</v>
      </c>
      <c r="F401" s="2">
        <v>6.7638888888888887E-2</v>
      </c>
      <c r="G401">
        <v>1</v>
      </c>
      <c r="H401" s="133">
        <v>45839</v>
      </c>
      <c r="I401" s="2">
        <v>0.56763888888888892</v>
      </c>
      <c r="J401">
        <v>13</v>
      </c>
      <c r="R401" t="s">
        <v>384</v>
      </c>
      <c r="S401">
        <v>19</v>
      </c>
      <c r="T401">
        <v>19</v>
      </c>
      <c r="U401">
        <v>1</v>
      </c>
      <c r="V401" t="s">
        <v>1237</v>
      </c>
      <c r="W401">
        <v>1</v>
      </c>
      <c r="X401" t="s">
        <v>282</v>
      </c>
      <c r="AC401" t="s">
        <v>1238</v>
      </c>
      <c r="AE401" s="135"/>
    </row>
    <row r="402" spans="1:31" ht="12.5" customHeight="1" x14ac:dyDescent="0.35">
      <c r="A402" t="s">
        <v>396</v>
      </c>
      <c r="C402" t="s">
        <v>1239</v>
      </c>
      <c r="D402" t="s">
        <v>385</v>
      </c>
      <c r="E402" s="133">
        <v>45840</v>
      </c>
      <c r="F402" s="2">
        <v>6.7824074074074078E-2</v>
      </c>
      <c r="G402">
        <v>1</v>
      </c>
      <c r="H402" s="133">
        <v>45839</v>
      </c>
      <c r="I402" s="2">
        <v>0.56782407407407409</v>
      </c>
      <c r="J402">
        <v>13</v>
      </c>
      <c r="K402" t="s">
        <v>434</v>
      </c>
      <c r="R402" t="s">
        <v>384</v>
      </c>
      <c r="S402">
        <v>13</v>
      </c>
      <c r="T402">
        <v>12</v>
      </c>
      <c r="U402" t="s">
        <v>392</v>
      </c>
      <c r="V402" t="s">
        <v>1240</v>
      </c>
      <c r="W402">
        <v>1</v>
      </c>
      <c r="X402" t="s">
        <v>282</v>
      </c>
      <c r="AC402" t="s">
        <v>1241</v>
      </c>
      <c r="AE402" s="135"/>
    </row>
    <row r="403" spans="1:31" ht="12.5" customHeight="1" x14ac:dyDescent="0.35">
      <c r="A403" t="s">
        <v>396</v>
      </c>
      <c r="C403" t="s">
        <v>1242</v>
      </c>
      <c r="D403" t="s">
        <v>385</v>
      </c>
      <c r="E403" s="133">
        <v>45840</v>
      </c>
      <c r="F403" s="2">
        <v>6.7939814814814814E-2</v>
      </c>
      <c r="G403">
        <v>1</v>
      </c>
      <c r="H403" s="133">
        <v>45839</v>
      </c>
      <c r="I403" s="2">
        <v>0.56793981481481481</v>
      </c>
      <c r="J403">
        <v>13</v>
      </c>
      <c r="K403" t="s">
        <v>434</v>
      </c>
      <c r="R403" t="s">
        <v>384</v>
      </c>
      <c r="S403">
        <v>7</v>
      </c>
      <c r="T403">
        <v>3</v>
      </c>
      <c r="U403" t="s">
        <v>1243</v>
      </c>
      <c r="V403" t="s">
        <v>1244</v>
      </c>
      <c r="W403">
        <v>1</v>
      </c>
      <c r="X403" t="s">
        <v>355</v>
      </c>
      <c r="AC403" t="s">
        <v>1245</v>
      </c>
      <c r="AE403" s="135"/>
    </row>
    <row r="404" spans="1:31" ht="12.5" customHeight="1" x14ac:dyDescent="0.35">
      <c r="A404" t="s">
        <v>396</v>
      </c>
      <c r="C404" t="s">
        <v>1246</v>
      </c>
      <c r="D404" t="s">
        <v>385</v>
      </c>
      <c r="E404" s="133">
        <v>45840</v>
      </c>
      <c r="F404" s="2">
        <v>6.8287037037037035E-2</v>
      </c>
      <c r="G404">
        <v>1</v>
      </c>
      <c r="H404" s="133">
        <v>45839</v>
      </c>
      <c r="I404" s="2">
        <v>0.56828703703703709</v>
      </c>
      <c r="J404">
        <v>13</v>
      </c>
      <c r="K404" t="s">
        <v>390</v>
      </c>
      <c r="L404" t="s">
        <v>434</v>
      </c>
      <c r="R404" t="s">
        <v>384</v>
      </c>
      <c r="S404">
        <v>6</v>
      </c>
      <c r="T404">
        <v>3</v>
      </c>
      <c r="U404" t="s">
        <v>449</v>
      </c>
      <c r="V404" t="s">
        <v>1247</v>
      </c>
      <c r="W404">
        <v>1</v>
      </c>
      <c r="X404" t="s">
        <v>282</v>
      </c>
      <c r="AC404" t="s">
        <v>1248</v>
      </c>
      <c r="AE404" s="135"/>
    </row>
    <row r="405" spans="1:31" ht="12.5" customHeight="1" x14ac:dyDescent="0.35">
      <c r="A405" t="s">
        <v>396</v>
      </c>
      <c r="C405" t="s">
        <v>1249</v>
      </c>
      <c r="D405" t="s">
        <v>385</v>
      </c>
      <c r="E405" s="133">
        <v>45840</v>
      </c>
      <c r="F405" s="2">
        <v>6.851851851851852E-2</v>
      </c>
      <c r="G405">
        <v>1</v>
      </c>
      <c r="H405" s="133">
        <v>45839</v>
      </c>
      <c r="I405" s="2">
        <v>0.56851851851851853</v>
      </c>
      <c r="J405">
        <v>13</v>
      </c>
      <c r="R405" t="s">
        <v>432</v>
      </c>
      <c r="S405">
        <v>3</v>
      </c>
      <c r="T405">
        <v>0</v>
      </c>
      <c r="U405">
        <v>0</v>
      </c>
      <c r="V405">
        <v>0</v>
      </c>
      <c r="W405">
        <v>1</v>
      </c>
      <c r="X405" t="s">
        <v>282</v>
      </c>
      <c r="AC405" t="s">
        <v>1250</v>
      </c>
      <c r="AE405" s="135"/>
    </row>
    <row r="406" spans="1:31" ht="12.5" customHeight="1" x14ac:dyDescent="0.35">
      <c r="A406" t="s">
        <v>396</v>
      </c>
      <c r="C406" t="s">
        <v>1251</v>
      </c>
      <c r="D406" t="s">
        <v>385</v>
      </c>
      <c r="E406" s="133">
        <v>45840</v>
      </c>
      <c r="F406" s="2">
        <v>6.8703703703703697E-2</v>
      </c>
      <c r="G406">
        <v>1</v>
      </c>
      <c r="H406" s="133">
        <v>45839</v>
      </c>
      <c r="I406" s="2">
        <v>0.56870370370370371</v>
      </c>
      <c r="J406">
        <v>13</v>
      </c>
      <c r="K406" t="s">
        <v>390</v>
      </c>
      <c r="R406" t="s">
        <v>384</v>
      </c>
      <c r="S406">
        <v>13</v>
      </c>
      <c r="T406">
        <v>10</v>
      </c>
      <c r="U406" t="s">
        <v>1252</v>
      </c>
      <c r="V406" t="s">
        <v>1253</v>
      </c>
      <c r="W406">
        <v>1</v>
      </c>
      <c r="X406" t="s">
        <v>282</v>
      </c>
      <c r="AC406" t="s">
        <v>1254</v>
      </c>
      <c r="AE406" s="135"/>
    </row>
    <row r="407" spans="1:31" ht="12.5" customHeight="1" x14ac:dyDescent="0.35">
      <c r="A407" t="s">
        <v>396</v>
      </c>
      <c r="C407" t="s">
        <v>1255</v>
      </c>
      <c r="D407" t="s">
        <v>385</v>
      </c>
      <c r="E407" s="133">
        <v>45840</v>
      </c>
      <c r="F407" s="2">
        <v>6.8819444444444447E-2</v>
      </c>
      <c r="G407">
        <v>1</v>
      </c>
      <c r="H407" s="133">
        <v>45839</v>
      </c>
      <c r="I407" s="2">
        <v>0.56881944444444443</v>
      </c>
      <c r="J407">
        <v>13</v>
      </c>
      <c r="K407" t="s">
        <v>390</v>
      </c>
      <c r="L407" t="s">
        <v>434</v>
      </c>
      <c r="R407" t="s">
        <v>384</v>
      </c>
      <c r="S407">
        <v>9</v>
      </c>
      <c r="T407">
        <v>6</v>
      </c>
      <c r="U407" t="s">
        <v>393</v>
      </c>
      <c r="V407" t="s">
        <v>1256</v>
      </c>
      <c r="W407">
        <v>1</v>
      </c>
      <c r="X407" t="s">
        <v>282</v>
      </c>
      <c r="AC407" t="s">
        <v>1257</v>
      </c>
      <c r="AE407" s="135"/>
    </row>
    <row r="408" spans="1:31" ht="12.5" customHeight="1" x14ac:dyDescent="0.35">
      <c r="A408" t="s">
        <v>396</v>
      </c>
      <c r="C408" t="s">
        <v>1258</v>
      </c>
      <c r="D408" t="s">
        <v>385</v>
      </c>
      <c r="E408" s="133">
        <v>45840</v>
      </c>
      <c r="F408" s="2">
        <v>6.9328703703703712E-2</v>
      </c>
      <c r="G408">
        <v>1</v>
      </c>
      <c r="H408" s="133">
        <v>45839</v>
      </c>
      <c r="I408" s="2">
        <v>0.5693287037037037</v>
      </c>
      <c r="J408">
        <v>13</v>
      </c>
      <c r="K408" t="s">
        <v>390</v>
      </c>
      <c r="L408" t="s">
        <v>434</v>
      </c>
      <c r="R408" t="s">
        <v>384</v>
      </c>
      <c r="S408">
        <v>9</v>
      </c>
      <c r="T408">
        <v>6</v>
      </c>
      <c r="U408" t="s">
        <v>393</v>
      </c>
      <c r="V408" t="s">
        <v>1259</v>
      </c>
      <c r="W408">
        <v>1</v>
      </c>
      <c r="X408" t="s">
        <v>282</v>
      </c>
      <c r="AC408" t="s">
        <v>1260</v>
      </c>
      <c r="AE408" s="135"/>
    </row>
    <row r="409" spans="1:31" ht="12.5" customHeight="1" x14ac:dyDescent="0.35">
      <c r="A409" t="s">
        <v>396</v>
      </c>
      <c r="C409" t="s">
        <v>1261</v>
      </c>
      <c r="D409" t="s">
        <v>385</v>
      </c>
      <c r="E409" s="133">
        <v>45840</v>
      </c>
      <c r="F409" s="2">
        <v>6.9444444444444434E-2</v>
      </c>
      <c r="G409">
        <v>1</v>
      </c>
      <c r="H409" s="133">
        <v>45839</v>
      </c>
      <c r="I409" s="2">
        <v>0.56944444444444442</v>
      </c>
      <c r="J409">
        <v>13</v>
      </c>
      <c r="K409" t="s">
        <v>434</v>
      </c>
      <c r="R409" t="s">
        <v>384</v>
      </c>
      <c r="S409">
        <v>8</v>
      </c>
      <c r="T409">
        <v>4</v>
      </c>
      <c r="U409" t="s">
        <v>449</v>
      </c>
      <c r="V409" t="s">
        <v>1262</v>
      </c>
      <c r="W409">
        <v>1</v>
      </c>
      <c r="X409" t="s">
        <v>282</v>
      </c>
      <c r="AC409" t="s">
        <v>1263</v>
      </c>
      <c r="AE409" s="135"/>
    </row>
    <row r="410" spans="1:31" ht="12.5" customHeight="1" x14ac:dyDescent="0.35">
      <c r="A410" t="s">
        <v>396</v>
      </c>
      <c r="C410" t="s">
        <v>1264</v>
      </c>
      <c r="D410" t="s">
        <v>385</v>
      </c>
      <c r="E410" s="133">
        <v>45840</v>
      </c>
      <c r="F410" s="2">
        <v>6.958333333333333E-2</v>
      </c>
      <c r="G410">
        <v>1</v>
      </c>
      <c r="H410" s="133">
        <v>45839</v>
      </c>
      <c r="I410" s="2">
        <v>0.56958333333333333</v>
      </c>
      <c r="J410">
        <v>13</v>
      </c>
      <c r="R410" t="s">
        <v>432</v>
      </c>
      <c r="S410">
        <v>4</v>
      </c>
      <c r="T410">
        <v>0</v>
      </c>
      <c r="U410">
        <v>0</v>
      </c>
      <c r="V410">
        <v>0</v>
      </c>
      <c r="W410">
        <v>1</v>
      </c>
      <c r="X410" t="s">
        <v>355</v>
      </c>
      <c r="AC410" t="s">
        <v>1265</v>
      </c>
      <c r="AE410" s="135"/>
    </row>
    <row r="411" spans="1:31" ht="12.5" customHeight="1" x14ac:dyDescent="0.35">
      <c r="A411" t="s">
        <v>396</v>
      </c>
      <c r="C411" t="s">
        <v>1266</v>
      </c>
      <c r="D411" t="s">
        <v>385</v>
      </c>
      <c r="E411" s="133">
        <v>45840</v>
      </c>
      <c r="F411" s="2">
        <v>6.9722222222222227E-2</v>
      </c>
      <c r="G411">
        <v>1</v>
      </c>
      <c r="H411" s="133">
        <v>45839</v>
      </c>
      <c r="I411" s="2">
        <v>0.56972222222222224</v>
      </c>
      <c r="J411">
        <v>13</v>
      </c>
      <c r="K411" t="s">
        <v>434</v>
      </c>
      <c r="R411" t="s">
        <v>384</v>
      </c>
      <c r="S411">
        <v>16</v>
      </c>
      <c r="T411">
        <v>9</v>
      </c>
      <c r="U411" t="s">
        <v>644</v>
      </c>
      <c r="V411" t="s">
        <v>1267</v>
      </c>
      <c r="W411">
        <v>1</v>
      </c>
      <c r="X411" t="s">
        <v>282</v>
      </c>
      <c r="AC411" t="s">
        <v>1268</v>
      </c>
      <c r="AE411" s="135"/>
    </row>
    <row r="412" spans="1:31" ht="12.5" customHeight="1" x14ac:dyDescent="0.35">
      <c r="A412" t="s">
        <v>396</v>
      </c>
      <c r="C412" t="s">
        <v>1269</v>
      </c>
      <c r="D412" t="s">
        <v>385</v>
      </c>
      <c r="E412" s="133">
        <v>45840</v>
      </c>
      <c r="F412" s="2">
        <v>6.986111111111111E-2</v>
      </c>
      <c r="G412">
        <v>1</v>
      </c>
      <c r="H412" s="133">
        <v>45839</v>
      </c>
      <c r="I412" s="2">
        <v>0.56986111111111104</v>
      </c>
      <c r="J412">
        <v>13</v>
      </c>
      <c r="R412" t="s">
        <v>384</v>
      </c>
      <c r="S412">
        <v>17</v>
      </c>
      <c r="T412">
        <v>17</v>
      </c>
      <c r="U412">
        <v>1</v>
      </c>
      <c r="V412" t="s">
        <v>1270</v>
      </c>
      <c r="W412">
        <v>1</v>
      </c>
      <c r="X412" t="s">
        <v>282</v>
      </c>
      <c r="AC412" t="s">
        <v>1271</v>
      </c>
      <c r="AE412" s="135"/>
    </row>
    <row r="413" spans="1:31" ht="12.5" customHeight="1" x14ac:dyDescent="0.35">
      <c r="A413" t="s">
        <v>396</v>
      </c>
      <c r="C413" t="s">
        <v>1272</v>
      </c>
      <c r="D413" t="s">
        <v>385</v>
      </c>
      <c r="E413" s="133">
        <v>45840</v>
      </c>
      <c r="F413" s="2">
        <v>6.9953703703703699E-2</v>
      </c>
      <c r="G413">
        <v>1</v>
      </c>
      <c r="H413" s="133">
        <v>45839</v>
      </c>
      <c r="I413" s="2">
        <v>0.56995370370370368</v>
      </c>
      <c r="J413">
        <v>13</v>
      </c>
      <c r="R413" t="s">
        <v>384</v>
      </c>
      <c r="S413">
        <v>7</v>
      </c>
      <c r="T413">
        <v>6</v>
      </c>
      <c r="U413" t="s">
        <v>922</v>
      </c>
      <c r="V413" t="s">
        <v>1273</v>
      </c>
      <c r="W413">
        <v>1</v>
      </c>
      <c r="X413" t="s">
        <v>282</v>
      </c>
      <c r="AC413" t="s">
        <v>1274</v>
      </c>
      <c r="AE413" s="135"/>
    </row>
    <row r="414" spans="1:31" ht="12.5" customHeight="1" x14ac:dyDescent="0.35">
      <c r="A414" t="s">
        <v>396</v>
      </c>
      <c r="C414" t="s">
        <v>1275</v>
      </c>
      <c r="D414" t="s">
        <v>385</v>
      </c>
      <c r="E414" s="133">
        <v>45840</v>
      </c>
      <c r="F414" s="2">
        <v>7.0069444444444448E-2</v>
      </c>
      <c r="G414">
        <v>1</v>
      </c>
      <c r="H414" s="133">
        <v>45839</v>
      </c>
      <c r="I414" s="2">
        <v>0.57006944444444441</v>
      </c>
      <c r="J414">
        <v>13</v>
      </c>
      <c r="R414" t="s">
        <v>384</v>
      </c>
      <c r="S414">
        <v>23</v>
      </c>
      <c r="T414">
        <v>22</v>
      </c>
      <c r="U414" t="s">
        <v>1276</v>
      </c>
      <c r="V414" t="s">
        <v>1277</v>
      </c>
      <c r="W414">
        <v>1</v>
      </c>
      <c r="X414" t="s">
        <v>282</v>
      </c>
      <c r="AC414" t="s">
        <v>1278</v>
      </c>
      <c r="AE414" s="135"/>
    </row>
    <row r="415" spans="1:31" ht="12.5" customHeight="1" x14ac:dyDescent="0.35">
      <c r="A415" t="s">
        <v>396</v>
      </c>
      <c r="C415" t="s">
        <v>1279</v>
      </c>
      <c r="D415" t="s">
        <v>385</v>
      </c>
      <c r="E415" s="133">
        <v>45840</v>
      </c>
      <c r="F415" s="2">
        <v>7.0208333333333331E-2</v>
      </c>
      <c r="G415">
        <v>1</v>
      </c>
      <c r="H415" s="133">
        <v>45839</v>
      </c>
      <c r="I415" s="2">
        <v>0.57020833333333332</v>
      </c>
      <c r="J415">
        <v>13</v>
      </c>
      <c r="R415" t="s">
        <v>384</v>
      </c>
      <c r="S415">
        <v>6</v>
      </c>
      <c r="T415">
        <v>6</v>
      </c>
      <c r="U415">
        <v>1</v>
      </c>
      <c r="V415" t="s">
        <v>1280</v>
      </c>
      <c r="W415">
        <v>1</v>
      </c>
      <c r="X415" t="s">
        <v>282</v>
      </c>
      <c r="AC415" t="s">
        <v>1281</v>
      </c>
      <c r="AE415" s="135"/>
    </row>
    <row r="416" spans="1:31" ht="12.5" customHeight="1" x14ac:dyDescent="0.35">
      <c r="A416" t="s">
        <v>396</v>
      </c>
      <c r="C416" t="s">
        <v>1282</v>
      </c>
      <c r="D416" t="s">
        <v>385</v>
      </c>
      <c r="E416" s="133">
        <v>45840</v>
      </c>
      <c r="F416" s="2">
        <v>7.0300925925925919E-2</v>
      </c>
      <c r="G416">
        <v>1</v>
      </c>
      <c r="H416" s="133">
        <v>45839</v>
      </c>
      <c r="I416" s="2">
        <v>0.57030092592592596</v>
      </c>
      <c r="J416">
        <v>13</v>
      </c>
      <c r="R416" t="s">
        <v>30</v>
      </c>
      <c r="W416">
        <v>1</v>
      </c>
      <c r="X416" t="s">
        <v>30</v>
      </c>
      <c r="AC416" t="s">
        <v>1283</v>
      </c>
      <c r="AE416" s="135"/>
    </row>
    <row r="417" spans="1:31" ht="12.5" customHeight="1" x14ac:dyDescent="0.35">
      <c r="A417" t="s">
        <v>396</v>
      </c>
      <c r="C417" t="s">
        <v>1284</v>
      </c>
      <c r="D417" t="s">
        <v>385</v>
      </c>
      <c r="E417" s="133">
        <v>45840</v>
      </c>
      <c r="F417" s="2">
        <v>7.0393518518518508E-2</v>
      </c>
      <c r="G417">
        <v>1</v>
      </c>
      <c r="H417" s="133">
        <v>45839</v>
      </c>
      <c r="I417" s="2">
        <v>0.57039351851851849</v>
      </c>
      <c r="J417">
        <v>13</v>
      </c>
      <c r="R417" t="s">
        <v>384</v>
      </c>
      <c r="S417">
        <v>12</v>
      </c>
      <c r="T417">
        <v>12</v>
      </c>
      <c r="U417">
        <v>1</v>
      </c>
      <c r="V417" t="s">
        <v>1285</v>
      </c>
      <c r="W417">
        <v>1</v>
      </c>
      <c r="X417" t="s">
        <v>282</v>
      </c>
      <c r="AC417" t="s">
        <v>1286</v>
      </c>
      <c r="AE417" s="135"/>
    </row>
    <row r="418" spans="1:31" ht="12.5" customHeight="1" x14ac:dyDescent="0.35">
      <c r="A418" t="s">
        <v>396</v>
      </c>
      <c r="C418" t="s">
        <v>1287</v>
      </c>
      <c r="D418" t="s">
        <v>385</v>
      </c>
      <c r="E418" s="133">
        <v>45840</v>
      </c>
      <c r="F418" s="2">
        <v>7.0555555555555552E-2</v>
      </c>
      <c r="G418">
        <v>1</v>
      </c>
      <c r="H418" s="133">
        <v>45839</v>
      </c>
      <c r="I418" s="2">
        <v>0.57055555555555559</v>
      </c>
      <c r="J418">
        <v>13</v>
      </c>
      <c r="K418" t="s">
        <v>388</v>
      </c>
      <c r="R418" t="s">
        <v>384</v>
      </c>
      <c r="S418">
        <v>16</v>
      </c>
      <c r="T418">
        <v>13</v>
      </c>
      <c r="U418" t="s">
        <v>1288</v>
      </c>
      <c r="V418" t="s">
        <v>1289</v>
      </c>
      <c r="W418">
        <v>1</v>
      </c>
      <c r="X418" t="s">
        <v>383</v>
      </c>
      <c r="AC418" t="s">
        <v>1290</v>
      </c>
      <c r="AE418" s="135"/>
    </row>
    <row r="419" spans="1:31" ht="12.5" customHeight="1" x14ac:dyDescent="0.35">
      <c r="A419" t="s">
        <v>396</v>
      </c>
      <c r="C419" t="s">
        <v>1291</v>
      </c>
      <c r="D419" t="s">
        <v>385</v>
      </c>
      <c r="E419" s="133">
        <v>45840</v>
      </c>
      <c r="F419" s="2">
        <v>7.076388888888889E-2</v>
      </c>
      <c r="G419">
        <v>1</v>
      </c>
      <c r="H419" s="133">
        <v>45839</v>
      </c>
      <c r="I419" s="2">
        <v>0.57076388888888896</v>
      </c>
      <c r="J419">
        <v>13</v>
      </c>
      <c r="R419" t="s">
        <v>384</v>
      </c>
      <c r="S419">
        <v>20</v>
      </c>
      <c r="T419">
        <v>18</v>
      </c>
      <c r="U419" t="s">
        <v>386</v>
      </c>
      <c r="V419" t="s">
        <v>1292</v>
      </c>
      <c r="W419">
        <v>1</v>
      </c>
      <c r="X419" t="s">
        <v>282</v>
      </c>
      <c r="AC419" t="s">
        <v>1293</v>
      </c>
      <c r="AE419" s="135"/>
    </row>
    <row r="420" spans="1:31" ht="12.5" customHeight="1" x14ac:dyDescent="0.35">
      <c r="A420" t="s">
        <v>396</v>
      </c>
      <c r="C420" t="s">
        <v>1294</v>
      </c>
      <c r="D420" t="s">
        <v>385</v>
      </c>
      <c r="E420" s="133">
        <v>45840</v>
      </c>
      <c r="F420" s="2">
        <v>7.0879629629629626E-2</v>
      </c>
      <c r="G420">
        <v>1</v>
      </c>
      <c r="H420" s="133">
        <v>45839</v>
      </c>
      <c r="I420" s="2">
        <v>0.57087962962962957</v>
      </c>
      <c r="J420">
        <v>13</v>
      </c>
      <c r="R420" t="s">
        <v>384</v>
      </c>
      <c r="S420">
        <v>3</v>
      </c>
      <c r="T420">
        <v>2</v>
      </c>
      <c r="U420" t="s">
        <v>393</v>
      </c>
      <c r="V420" t="s">
        <v>1295</v>
      </c>
      <c r="W420">
        <v>1</v>
      </c>
      <c r="X420" t="s">
        <v>841</v>
      </c>
      <c r="AC420" t="s">
        <v>1296</v>
      </c>
      <c r="AE420" s="135"/>
    </row>
    <row r="421" spans="1:31" ht="12.5" customHeight="1" x14ac:dyDescent="0.35">
      <c r="A421" t="s">
        <v>396</v>
      </c>
      <c r="C421" t="s">
        <v>1297</v>
      </c>
      <c r="D421" t="s">
        <v>385</v>
      </c>
      <c r="E421" s="133">
        <v>45840</v>
      </c>
      <c r="F421" s="2">
        <v>7.1504629629629626E-2</v>
      </c>
      <c r="G421">
        <v>1</v>
      </c>
      <c r="H421" s="133">
        <v>45839</v>
      </c>
      <c r="I421" s="2">
        <v>0.57150462962962967</v>
      </c>
      <c r="J421">
        <v>13</v>
      </c>
      <c r="R421" t="s">
        <v>432</v>
      </c>
      <c r="S421">
        <v>8</v>
      </c>
      <c r="T421">
        <v>0</v>
      </c>
      <c r="U421">
        <v>0</v>
      </c>
      <c r="V421">
        <v>0</v>
      </c>
      <c r="W421">
        <v>1</v>
      </c>
      <c r="X421" t="s">
        <v>282</v>
      </c>
      <c r="AC421" t="s">
        <v>1298</v>
      </c>
      <c r="AE421" s="135"/>
    </row>
    <row r="422" spans="1:31" ht="12.5" customHeight="1" x14ac:dyDescent="0.35">
      <c r="A422" t="s">
        <v>396</v>
      </c>
      <c r="C422" t="s">
        <v>1299</v>
      </c>
      <c r="D422" t="s">
        <v>385</v>
      </c>
      <c r="E422" s="133">
        <v>45840</v>
      </c>
      <c r="F422" s="2">
        <v>7.1689814814814817E-2</v>
      </c>
      <c r="G422">
        <v>1</v>
      </c>
      <c r="H422" s="133">
        <v>45839</v>
      </c>
      <c r="I422" s="2">
        <v>0.57168981481481485</v>
      </c>
      <c r="J422">
        <v>13</v>
      </c>
      <c r="R422" t="s">
        <v>432</v>
      </c>
      <c r="S422">
        <v>8</v>
      </c>
      <c r="T422">
        <v>0</v>
      </c>
      <c r="U422">
        <v>0</v>
      </c>
      <c r="V422">
        <v>0</v>
      </c>
      <c r="W422">
        <v>1</v>
      </c>
      <c r="X422" t="s">
        <v>282</v>
      </c>
      <c r="AC422" t="s">
        <v>1300</v>
      </c>
      <c r="AE422" s="135"/>
    </row>
    <row r="423" spans="1:31" ht="12.5" customHeight="1" x14ac:dyDescent="0.35">
      <c r="A423" t="s">
        <v>396</v>
      </c>
      <c r="C423" t="s">
        <v>1301</v>
      </c>
      <c r="D423" t="s">
        <v>385</v>
      </c>
      <c r="E423" s="133">
        <v>45840</v>
      </c>
      <c r="F423" s="2">
        <v>7.1944444444444436E-2</v>
      </c>
      <c r="G423">
        <v>1</v>
      </c>
      <c r="H423" s="133">
        <v>45839</v>
      </c>
      <c r="I423" s="2">
        <v>0.57194444444444448</v>
      </c>
      <c r="J423">
        <v>13</v>
      </c>
      <c r="K423" t="s">
        <v>387</v>
      </c>
      <c r="L423" t="s">
        <v>388</v>
      </c>
      <c r="R423" t="s">
        <v>384</v>
      </c>
      <c r="S423">
        <v>24</v>
      </c>
      <c r="T423">
        <v>19</v>
      </c>
      <c r="U423" t="s">
        <v>1302</v>
      </c>
      <c r="V423" t="s">
        <v>1303</v>
      </c>
      <c r="W423">
        <v>1</v>
      </c>
      <c r="X423" t="s">
        <v>383</v>
      </c>
      <c r="AC423" t="s">
        <v>1304</v>
      </c>
      <c r="AE423" s="135"/>
    </row>
    <row r="424" spans="1:31" ht="12.5" customHeight="1" x14ac:dyDescent="0.35">
      <c r="A424" t="s">
        <v>396</v>
      </c>
      <c r="C424" t="s">
        <v>1305</v>
      </c>
      <c r="D424" t="s">
        <v>385</v>
      </c>
      <c r="E424" s="133">
        <v>45840</v>
      </c>
      <c r="F424" s="2">
        <v>7.2129629629629641E-2</v>
      </c>
      <c r="G424">
        <v>1</v>
      </c>
      <c r="H424" s="133">
        <v>45839</v>
      </c>
      <c r="I424" s="2">
        <v>0.57212962962962965</v>
      </c>
      <c r="J424">
        <v>13</v>
      </c>
      <c r="K424" t="s">
        <v>390</v>
      </c>
      <c r="R424" t="s">
        <v>384</v>
      </c>
      <c r="S424">
        <v>6</v>
      </c>
      <c r="T424">
        <v>4</v>
      </c>
      <c r="U424" t="s">
        <v>393</v>
      </c>
      <c r="V424" t="s">
        <v>1306</v>
      </c>
      <c r="W424">
        <v>1</v>
      </c>
      <c r="X424" t="s">
        <v>282</v>
      </c>
      <c r="AC424" t="s">
        <v>1307</v>
      </c>
      <c r="AE424" s="135"/>
    </row>
    <row r="425" spans="1:31" ht="12.5" customHeight="1" x14ac:dyDescent="0.35">
      <c r="A425" t="s">
        <v>396</v>
      </c>
      <c r="C425" t="s">
        <v>1308</v>
      </c>
      <c r="D425" t="s">
        <v>385</v>
      </c>
      <c r="E425" s="133">
        <v>45840</v>
      </c>
      <c r="F425" s="2">
        <v>7.2268518518518524E-2</v>
      </c>
      <c r="G425">
        <v>1</v>
      </c>
      <c r="H425" s="133">
        <v>45839</v>
      </c>
      <c r="I425" s="2">
        <v>0.57226851851851845</v>
      </c>
      <c r="J425">
        <v>13</v>
      </c>
      <c r="K425" t="s">
        <v>434</v>
      </c>
      <c r="R425" t="s">
        <v>384</v>
      </c>
      <c r="S425">
        <v>5</v>
      </c>
      <c r="T425">
        <v>3</v>
      </c>
      <c r="U425" t="s">
        <v>653</v>
      </c>
      <c r="V425" t="s">
        <v>1309</v>
      </c>
      <c r="W425">
        <v>1</v>
      </c>
      <c r="X425" t="s">
        <v>282</v>
      </c>
      <c r="AC425" t="s">
        <v>1310</v>
      </c>
      <c r="AE425" s="135"/>
    </row>
    <row r="426" spans="1:31" ht="12.5" customHeight="1" x14ac:dyDescent="0.35">
      <c r="A426" t="s">
        <v>396</v>
      </c>
      <c r="C426" t="s">
        <v>1311</v>
      </c>
      <c r="D426" t="s">
        <v>385</v>
      </c>
      <c r="E426" s="133">
        <v>45840</v>
      </c>
      <c r="F426" s="2">
        <v>7.2662037037037039E-2</v>
      </c>
      <c r="G426">
        <v>1</v>
      </c>
      <c r="H426" s="133">
        <v>45839</v>
      </c>
      <c r="I426" s="2">
        <v>0.57266203703703711</v>
      </c>
      <c r="J426">
        <v>13</v>
      </c>
      <c r="K426" t="s">
        <v>390</v>
      </c>
      <c r="L426" t="s">
        <v>434</v>
      </c>
      <c r="R426" t="s">
        <v>384</v>
      </c>
      <c r="S426">
        <v>10</v>
      </c>
      <c r="T426">
        <v>8</v>
      </c>
      <c r="U426" t="s">
        <v>496</v>
      </c>
      <c r="V426" t="s">
        <v>1312</v>
      </c>
      <c r="W426">
        <v>1</v>
      </c>
      <c r="X426" t="s">
        <v>282</v>
      </c>
      <c r="AC426" t="s">
        <v>1313</v>
      </c>
      <c r="AE426" s="135"/>
    </row>
    <row r="427" spans="1:31" ht="12.5" customHeight="1" x14ac:dyDescent="0.35">
      <c r="A427" t="s">
        <v>396</v>
      </c>
      <c r="C427" t="s">
        <v>1314</v>
      </c>
      <c r="D427" t="s">
        <v>385</v>
      </c>
      <c r="E427" s="133">
        <v>45840</v>
      </c>
      <c r="F427" s="2">
        <v>7.2986111111111113E-2</v>
      </c>
      <c r="G427">
        <v>1</v>
      </c>
      <c r="H427" s="133">
        <v>45839</v>
      </c>
      <c r="I427" s="2">
        <v>0.57298611111111108</v>
      </c>
      <c r="J427">
        <v>13</v>
      </c>
      <c r="K427" t="s">
        <v>434</v>
      </c>
      <c r="R427" t="s">
        <v>390</v>
      </c>
      <c r="S427">
        <v>7</v>
      </c>
      <c r="T427">
        <v>4</v>
      </c>
      <c r="U427" t="s">
        <v>1315</v>
      </c>
      <c r="V427" t="s">
        <v>1316</v>
      </c>
      <c r="W427">
        <v>1</v>
      </c>
      <c r="X427" t="s">
        <v>355</v>
      </c>
      <c r="AC427" t="s">
        <v>1317</v>
      </c>
      <c r="AE427" s="135"/>
    </row>
    <row r="428" spans="1:31" ht="12.5" customHeight="1" x14ac:dyDescent="0.35">
      <c r="A428" t="s">
        <v>396</v>
      </c>
      <c r="C428" t="s">
        <v>1318</v>
      </c>
      <c r="D428" t="s">
        <v>385</v>
      </c>
      <c r="E428" s="133">
        <v>45840</v>
      </c>
      <c r="F428" s="2">
        <v>7.3240740740740731E-2</v>
      </c>
      <c r="G428">
        <v>1</v>
      </c>
      <c r="H428" s="133">
        <v>45839</v>
      </c>
      <c r="I428" s="2">
        <v>0.57324074074074072</v>
      </c>
      <c r="J428">
        <v>13</v>
      </c>
      <c r="K428" t="s">
        <v>434</v>
      </c>
      <c r="R428" t="s">
        <v>390</v>
      </c>
      <c r="S428">
        <v>9</v>
      </c>
      <c r="T428">
        <v>6</v>
      </c>
      <c r="U428" t="s">
        <v>393</v>
      </c>
      <c r="V428" t="s">
        <v>1319</v>
      </c>
      <c r="W428">
        <v>1</v>
      </c>
      <c r="X428" t="s">
        <v>355</v>
      </c>
      <c r="AC428" t="s">
        <v>1320</v>
      </c>
      <c r="AE428" s="135"/>
    </row>
    <row r="429" spans="1:31" ht="12.5" customHeight="1" x14ac:dyDescent="0.35">
      <c r="A429" t="s">
        <v>396</v>
      </c>
      <c r="C429" t="s">
        <v>1321</v>
      </c>
      <c r="D429" t="s">
        <v>385</v>
      </c>
      <c r="E429" s="133">
        <v>45840</v>
      </c>
      <c r="F429" s="2">
        <v>7.3425925925925936E-2</v>
      </c>
      <c r="G429">
        <v>1</v>
      </c>
      <c r="H429" s="133">
        <v>45839</v>
      </c>
      <c r="I429" s="2">
        <v>0.57342592592592589</v>
      </c>
      <c r="J429">
        <v>13</v>
      </c>
      <c r="R429" t="s">
        <v>384</v>
      </c>
      <c r="S429">
        <v>14</v>
      </c>
      <c r="T429">
        <v>8</v>
      </c>
      <c r="U429" t="s">
        <v>1315</v>
      </c>
      <c r="V429" t="s">
        <v>1322</v>
      </c>
      <c r="W429">
        <v>1</v>
      </c>
      <c r="X429" t="s">
        <v>282</v>
      </c>
      <c r="AC429" t="s">
        <v>1323</v>
      </c>
      <c r="AE429" s="135"/>
    </row>
    <row r="430" spans="1:31" ht="12.5" customHeight="1" x14ac:dyDescent="0.35">
      <c r="A430" t="s">
        <v>396</v>
      </c>
      <c r="C430" t="s">
        <v>1324</v>
      </c>
      <c r="D430" t="s">
        <v>385</v>
      </c>
      <c r="E430" s="133">
        <v>45840</v>
      </c>
      <c r="F430" s="2">
        <v>7.3842592592592585E-2</v>
      </c>
      <c r="G430">
        <v>1</v>
      </c>
      <c r="H430" s="133">
        <v>45839</v>
      </c>
      <c r="I430" s="2">
        <v>0.57384259259259263</v>
      </c>
      <c r="J430">
        <v>13</v>
      </c>
      <c r="R430" t="s">
        <v>384</v>
      </c>
      <c r="S430">
        <v>6</v>
      </c>
      <c r="T430">
        <v>3</v>
      </c>
      <c r="U430" t="s">
        <v>449</v>
      </c>
      <c r="V430" t="s">
        <v>1325</v>
      </c>
      <c r="W430">
        <v>1</v>
      </c>
      <c r="X430" t="s">
        <v>282</v>
      </c>
      <c r="AC430" t="s">
        <v>1326</v>
      </c>
      <c r="AE430" s="135"/>
    </row>
    <row r="431" spans="1:31" ht="12.5" customHeight="1" x14ac:dyDescent="0.35">
      <c r="A431" t="s">
        <v>396</v>
      </c>
      <c r="C431" t="s">
        <v>1327</v>
      </c>
      <c r="D431" t="s">
        <v>385</v>
      </c>
      <c r="E431" s="133">
        <v>45840</v>
      </c>
      <c r="F431" s="2">
        <v>7.4004629629629629E-2</v>
      </c>
      <c r="G431">
        <v>1</v>
      </c>
      <c r="H431" s="133">
        <v>45839</v>
      </c>
      <c r="I431" s="2">
        <v>0.57400462962962961</v>
      </c>
      <c r="J431">
        <v>13</v>
      </c>
      <c r="R431" t="s">
        <v>30</v>
      </c>
      <c r="W431">
        <v>1</v>
      </c>
      <c r="X431" t="s">
        <v>355</v>
      </c>
      <c r="AC431" t="s">
        <v>1328</v>
      </c>
      <c r="AE431" s="135"/>
    </row>
    <row r="432" spans="1:31" ht="12.5" customHeight="1" x14ac:dyDescent="0.35">
      <c r="A432" t="s">
        <v>396</v>
      </c>
      <c r="C432" t="s">
        <v>1329</v>
      </c>
      <c r="D432" t="s">
        <v>385</v>
      </c>
      <c r="E432" s="133">
        <v>45840</v>
      </c>
      <c r="F432" s="2">
        <v>7.4097222222222217E-2</v>
      </c>
      <c r="G432">
        <v>1</v>
      </c>
      <c r="H432" s="133">
        <v>45839</v>
      </c>
      <c r="I432" s="2">
        <v>0.57409722222222226</v>
      </c>
      <c r="J432">
        <v>13</v>
      </c>
      <c r="K432" t="s">
        <v>390</v>
      </c>
      <c r="L432" t="s">
        <v>434</v>
      </c>
      <c r="R432" t="s">
        <v>384</v>
      </c>
      <c r="S432">
        <v>7</v>
      </c>
      <c r="T432">
        <v>3</v>
      </c>
      <c r="U432" t="s">
        <v>1243</v>
      </c>
      <c r="V432" t="s">
        <v>1330</v>
      </c>
      <c r="W432">
        <v>1</v>
      </c>
      <c r="X432" t="s">
        <v>383</v>
      </c>
      <c r="AC432" t="s">
        <v>1331</v>
      </c>
      <c r="AE432" s="135"/>
    </row>
    <row r="433" spans="1:31" ht="12.5" customHeight="1" x14ac:dyDescent="0.35">
      <c r="A433" t="s">
        <v>396</v>
      </c>
      <c r="C433" t="s">
        <v>1332</v>
      </c>
      <c r="D433" t="s">
        <v>385</v>
      </c>
      <c r="E433" s="133">
        <v>45840</v>
      </c>
      <c r="F433" s="2">
        <v>7.4652777777777776E-2</v>
      </c>
      <c r="G433">
        <v>1</v>
      </c>
      <c r="H433" s="133">
        <v>45839</v>
      </c>
      <c r="I433" s="2">
        <v>0.57465277777777779</v>
      </c>
      <c r="J433">
        <v>13</v>
      </c>
      <c r="K433" t="s">
        <v>1108</v>
      </c>
      <c r="R433" t="s">
        <v>384</v>
      </c>
      <c r="S433">
        <v>7</v>
      </c>
      <c r="T433">
        <v>6</v>
      </c>
      <c r="U433" t="s">
        <v>922</v>
      </c>
      <c r="V433" t="s">
        <v>1333</v>
      </c>
      <c r="W433">
        <v>1</v>
      </c>
      <c r="X433" t="s">
        <v>282</v>
      </c>
      <c r="AC433" t="s">
        <v>1334</v>
      </c>
      <c r="AE433" s="135"/>
    </row>
    <row r="434" spans="1:31" ht="12.5" customHeight="1" x14ac:dyDescent="0.35">
      <c r="A434" t="s">
        <v>396</v>
      </c>
      <c r="C434" t="s">
        <v>1335</v>
      </c>
      <c r="D434" t="s">
        <v>385</v>
      </c>
      <c r="E434" s="133">
        <v>45840</v>
      </c>
      <c r="F434" s="2">
        <v>7.5046296296296292E-2</v>
      </c>
      <c r="G434">
        <v>1</v>
      </c>
      <c r="H434" s="133">
        <v>45839</v>
      </c>
      <c r="I434" s="2">
        <v>0.57504629629629633</v>
      </c>
      <c r="J434">
        <v>13</v>
      </c>
      <c r="R434" t="s">
        <v>384</v>
      </c>
      <c r="S434">
        <v>12</v>
      </c>
      <c r="T434">
        <v>9</v>
      </c>
      <c r="U434" t="s">
        <v>453</v>
      </c>
      <c r="V434" t="s">
        <v>1336</v>
      </c>
      <c r="W434">
        <v>1</v>
      </c>
      <c r="X434" t="s">
        <v>383</v>
      </c>
      <c r="AC434" t="s">
        <v>1337</v>
      </c>
      <c r="AE434" s="135"/>
    </row>
    <row r="435" spans="1:31" ht="12.5" customHeight="1" x14ac:dyDescent="0.35">
      <c r="A435" t="s">
        <v>396</v>
      </c>
      <c r="C435" t="s">
        <v>1338</v>
      </c>
      <c r="D435" t="s">
        <v>385</v>
      </c>
      <c r="E435" s="133">
        <v>45840</v>
      </c>
      <c r="F435" s="2">
        <v>7.5347222222222218E-2</v>
      </c>
      <c r="G435">
        <v>1</v>
      </c>
      <c r="H435" s="133">
        <v>45839</v>
      </c>
      <c r="I435" s="2">
        <v>0.57534722222222223</v>
      </c>
      <c r="J435">
        <v>13</v>
      </c>
      <c r="K435" t="s">
        <v>434</v>
      </c>
      <c r="R435" t="s">
        <v>390</v>
      </c>
      <c r="S435">
        <v>9</v>
      </c>
      <c r="T435">
        <v>5</v>
      </c>
      <c r="U435" t="s">
        <v>1339</v>
      </c>
      <c r="V435" t="s">
        <v>1340</v>
      </c>
      <c r="W435">
        <v>1</v>
      </c>
      <c r="X435" t="s">
        <v>355</v>
      </c>
      <c r="AC435" t="s">
        <v>1341</v>
      </c>
      <c r="AE435" s="135"/>
    </row>
    <row r="436" spans="1:31" ht="12.5" customHeight="1" x14ac:dyDescent="0.35">
      <c r="A436" t="s">
        <v>396</v>
      </c>
      <c r="C436" t="s">
        <v>1342</v>
      </c>
      <c r="D436" t="s">
        <v>385</v>
      </c>
      <c r="E436" s="133">
        <v>45840</v>
      </c>
      <c r="F436" s="2">
        <v>7.5740740740740733E-2</v>
      </c>
      <c r="G436">
        <v>1</v>
      </c>
      <c r="H436" s="133">
        <v>45839</v>
      </c>
      <c r="I436" s="2">
        <v>0.57574074074074078</v>
      </c>
      <c r="J436">
        <v>13</v>
      </c>
      <c r="K436" t="s">
        <v>390</v>
      </c>
      <c r="R436" t="s">
        <v>384</v>
      </c>
      <c r="S436">
        <v>3</v>
      </c>
      <c r="T436">
        <v>2</v>
      </c>
      <c r="U436" t="s">
        <v>393</v>
      </c>
      <c r="V436" t="s">
        <v>1343</v>
      </c>
      <c r="W436">
        <v>1</v>
      </c>
      <c r="X436" t="s">
        <v>841</v>
      </c>
      <c r="AC436" t="s">
        <v>1344</v>
      </c>
      <c r="AE436" s="135"/>
    </row>
    <row r="437" spans="1:31" ht="12.5" customHeight="1" x14ac:dyDescent="0.35">
      <c r="A437" t="s">
        <v>396</v>
      </c>
      <c r="C437" t="s">
        <v>1345</v>
      </c>
      <c r="D437" t="s">
        <v>385</v>
      </c>
      <c r="E437" s="133">
        <v>45840</v>
      </c>
      <c r="F437" s="2">
        <v>7.5856481481481483E-2</v>
      </c>
      <c r="G437">
        <v>1</v>
      </c>
      <c r="H437" s="133">
        <v>45839</v>
      </c>
      <c r="I437" s="2">
        <v>0.5758564814814815</v>
      </c>
      <c r="J437">
        <v>13</v>
      </c>
      <c r="R437" t="s">
        <v>384</v>
      </c>
      <c r="S437">
        <v>6</v>
      </c>
      <c r="T437">
        <v>6</v>
      </c>
      <c r="U437">
        <v>1</v>
      </c>
      <c r="V437" t="s">
        <v>1346</v>
      </c>
      <c r="W437">
        <v>1</v>
      </c>
      <c r="X437" t="s">
        <v>282</v>
      </c>
      <c r="AC437" t="s">
        <v>1347</v>
      </c>
      <c r="AE437" s="135"/>
    </row>
    <row r="438" spans="1:31" ht="12.5" customHeight="1" x14ac:dyDescent="0.35">
      <c r="A438" t="s">
        <v>396</v>
      </c>
      <c r="C438" t="s">
        <v>1348</v>
      </c>
      <c r="D438" t="s">
        <v>385</v>
      </c>
      <c r="E438" s="133">
        <v>45840</v>
      </c>
      <c r="F438" s="2">
        <v>7.6458333333333336E-2</v>
      </c>
      <c r="G438">
        <v>1</v>
      </c>
      <c r="H438" s="133">
        <v>45839</v>
      </c>
      <c r="I438" s="2">
        <v>0.57645833333333341</v>
      </c>
      <c r="J438">
        <v>13</v>
      </c>
      <c r="K438" t="s">
        <v>434</v>
      </c>
      <c r="R438" t="s">
        <v>384</v>
      </c>
      <c r="S438">
        <v>16</v>
      </c>
      <c r="T438">
        <v>13</v>
      </c>
      <c r="U438" t="s">
        <v>1288</v>
      </c>
      <c r="V438" t="s">
        <v>1349</v>
      </c>
      <c r="W438">
        <v>1</v>
      </c>
      <c r="X438" t="s">
        <v>282</v>
      </c>
      <c r="AC438" t="s">
        <v>1350</v>
      </c>
      <c r="AE438" s="135"/>
    </row>
    <row r="439" spans="1:31" ht="12.5" customHeight="1" x14ac:dyDescent="0.35">
      <c r="A439" t="s">
        <v>396</v>
      </c>
      <c r="C439" t="s">
        <v>1351</v>
      </c>
      <c r="D439" t="s">
        <v>385</v>
      </c>
      <c r="E439" s="133">
        <v>45840</v>
      </c>
      <c r="F439" s="2">
        <v>7.6805555555555557E-2</v>
      </c>
      <c r="G439">
        <v>1</v>
      </c>
      <c r="H439" s="133">
        <v>45839</v>
      </c>
      <c r="I439" s="2">
        <v>0.57680555555555557</v>
      </c>
      <c r="J439">
        <v>13</v>
      </c>
      <c r="K439" t="s">
        <v>388</v>
      </c>
      <c r="L439" t="s">
        <v>387</v>
      </c>
      <c r="R439" t="s">
        <v>384</v>
      </c>
      <c r="S439">
        <v>36</v>
      </c>
      <c r="T439">
        <v>22</v>
      </c>
      <c r="U439" t="s">
        <v>1352</v>
      </c>
      <c r="V439" t="s">
        <v>1353</v>
      </c>
      <c r="W439">
        <v>1</v>
      </c>
      <c r="X439" t="s">
        <v>1354</v>
      </c>
      <c r="AC439" t="s">
        <v>1355</v>
      </c>
      <c r="AE439" s="135"/>
    </row>
    <row r="440" spans="1:31" ht="12.5" customHeight="1" x14ac:dyDescent="0.35">
      <c r="A440" t="s">
        <v>396</v>
      </c>
      <c r="C440" t="s">
        <v>1356</v>
      </c>
      <c r="D440" t="s">
        <v>385</v>
      </c>
      <c r="E440" s="133">
        <v>45840</v>
      </c>
      <c r="F440" s="2">
        <v>7.7662037037037043E-2</v>
      </c>
      <c r="G440">
        <v>1</v>
      </c>
      <c r="H440" s="133">
        <v>45839</v>
      </c>
      <c r="I440" s="2">
        <v>0.577662037037037</v>
      </c>
      <c r="J440">
        <v>13</v>
      </c>
      <c r="R440" t="s">
        <v>384</v>
      </c>
      <c r="S440">
        <v>2</v>
      </c>
      <c r="T440">
        <v>2</v>
      </c>
      <c r="U440">
        <v>1</v>
      </c>
      <c r="V440" t="s">
        <v>1357</v>
      </c>
      <c r="W440">
        <v>1</v>
      </c>
      <c r="X440" t="s">
        <v>282</v>
      </c>
      <c r="AC440" t="s">
        <v>1358</v>
      </c>
      <c r="AE440" s="135"/>
    </row>
    <row r="441" spans="1:31" ht="12.5" customHeight="1" x14ac:dyDescent="0.35">
      <c r="A441" t="s">
        <v>396</v>
      </c>
      <c r="C441" t="s">
        <v>1359</v>
      </c>
      <c r="D441" t="s">
        <v>385</v>
      </c>
      <c r="E441" s="133">
        <v>45840</v>
      </c>
      <c r="F441" s="2">
        <v>7.7777777777777779E-2</v>
      </c>
      <c r="G441">
        <v>1</v>
      </c>
      <c r="H441" s="133">
        <v>45839</v>
      </c>
      <c r="I441" s="2">
        <v>0.57777777777777783</v>
      </c>
      <c r="J441">
        <v>13</v>
      </c>
      <c r="K441" t="s">
        <v>390</v>
      </c>
      <c r="L441" t="s">
        <v>434</v>
      </c>
      <c r="R441" t="s">
        <v>384</v>
      </c>
      <c r="S441">
        <v>6</v>
      </c>
      <c r="T441">
        <v>3</v>
      </c>
      <c r="U441" t="s">
        <v>449</v>
      </c>
      <c r="V441" t="s">
        <v>1360</v>
      </c>
      <c r="W441">
        <v>1</v>
      </c>
      <c r="X441" t="s">
        <v>282</v>
      </c>
      <c r="AC441" t="s">
        <v>1361</v>
      </c>
      <c r="AE441" s="135"/>
    </row>
    <row r="442" spans="1:31" ht="12.5" customHeight="1" x14ac:dyDescent="0.35">
      <c r="A442" t="s">
        <v>396</v>
      </c>
      <c r="C442" t="s">
        <v>1362</v>
      </c>
      <c r="D442" t="s">
        <v>385</v>
      </c>
      <c r="E442" s="133">
        <v>45840</v>
      </c>
      <c r="F442" s="2">
        <v>7.8009259259259264E-2</v>
      </c>
      <c r="G442">
        <v>1</v>
      </c>
      <c r="H442" s="133">
        <v>45839</v>
      </c>
      <c r="I442" s="2">
        <v>0.57800925925925928</v>
      </c>
      <c r="J442">
        <v>13</v>
      </c>
      <c r="R442" t="s">
        <v>432</v>
      </c>
      <c r="S442">
        <v>2</v>
      </c>
      <c r="T442">
        <v>0</v>
      </c>
      <c r="U442">
        <v>0</v>
      </c>
      <c r="V442">
        <v>0</v>
      </c>
      <c r="W442">
        <v>1</v>
      </c>
      <c r="X442" t="s">
        <v>355</v>
      </c>
      <c r="AC442" t="s">
        <v>1363</v>
      </c>
      <c r="AE442" s="135"/>
    </row>
    <row r="443" spans="1:31" ht="12.5" customHeight="1" x14ac:dyDescent="0.35">
      <c r="A443" t="s">
        <v>396</v>
      </c>
      <c r="C443" t="s">
        <v>1364</v>
      </c>
      <c r="D443" t="s">
        <v>385</v>
      </c>
      <c r="E443" s="133">
        <v>45840</v>
      </c>
      <c r="F443" s="2">
        <v>7.8148148148148147E-2</v>
      </c>
      <c r="G443">
        <v>1</v>
      </c>
      <c r="H443" s="133">
        <v>45839</v>
      </c>
      <c r="I443" s="2">
        <v>0.57814814814814819</v>
      </c>
      <c r="J443">
        <v>13</v>
      </c>
      <c r="R443" t="s">
        <v>30</v>
      </c>
      <c r="W443">
        <v>1</v>
      </c>
      <c r="X443" t="s">
        <v>30</v>
      </c>
      <c r="AC443" t="s">
        <v>1365</v>
      </c>
      <c r="AE443" s="135"/>
    </row>
    <row r="444" spans="1:31" ht="12.5" customHeight="1" x14ac:dyDescent="0.35">
      <c r="A444" t="s">
        <v>396</v>
      </c>
      <c r="C444" t="s">
        <v>1366</v>
      </c>
      <c r="D444" t="s">
        <v>385</v>
      </c>
      <c r="E444" s="133">
        <v>45840</v>
      </c>
      <c r="F444" s="2">
        <v>7.8287037037037044E-2</v>
      </c>
      <c r="G444">
        <v>1</v>
      </c>
      <c r="H444" s="133">
        <v>45839</v>
      </c>
      <c r="I444" s="2">
        <v>0.5782870370370371</v>
      </c>
      <c r="J444">
        <v>13</v>
      </c>
      <c r="K444" t="s">
        <v>434</v>
      </c>
      <c r="R444" t="s">
        <v>384</v>
      </c>
      <c r="S444">
        <v>9</v>
      </c>
      <c r="T444">
        <v>7</v>
      </c>
      <c r="U444" t="s">
        <v>394</v>
      </c>
      <c r="V444" t="s">
        <v>1367</v>
      </c>
      <c r="W444">
        <v>1</v>
      </c>
      <c r="X444" t="s">
        <v>282</v>
      </c>
      <c r="AC444" t="s">
        <v>1368</v>
      </c>
      <c r="AE444" s="135"/>
    </row>
    <row r="445" spans="1:31" ht="12.5" customHeight="1" x14ac:dyDescent="0.35">
      <c r="A445" t="s">
        <v>396</v>
      </c>
      <c r="C445" t="s">
        <v>1369</v>
      </c>
      <c r="D445" t="s">
        <v>385</v>
      </c>
      <c r="E445" s="133">
        <v>45840</v>
      </c>
      <c r="F445" s="2">
        <v>7.8425925925925913E-2</v>
      </c>
      <c r="G445">
        <v>1</v>
      </c>
      <c r="H445" s="133">
        <v>45839</v>
      </c>
      <c r="I445" s="2">
        <v>0.5784259259259259</v>
      </c>
      <c r="J445">
        <v>13</v>
      </c>
      <c r="R445" t="s">
        <v>384</v>
      </c>
      <c r="S445">
        <v>19</v>
      </c>
      <c r="T445">
        <v>15</v>
      </c>
      <c r="U445" t="s">
        <v>1370</v>
      </c>
      <c r="V445" t="s">
        <v>1371</v>
      </c>
      <c r="W445">
        <v>1</v>
      </c>
      <c r="X445" t="s">
        <v>383</v>
      </c>
      <c r="AC445" t="s">
        <v>1372</v>
      </c>
      <c r="AE445" s="135"/>
    </row>
    <row r="446" spans="1:31" ht="12.5" customHeight="1" x14ac:dyDescent="0.35">
      <c r="A446" t="s">
        <v>396</v>
      </c>
      <c r="C446" t="s">
        <v>1373</v>
      </c>
      <c r="D446" t="s">
        <v>385</v>
      </c>
      <c r="E446" s="133">
        <v>45840</v>
      </c>
      <c r="F446" s="2">
        <v>7.8541666666666662E-2</v>
      </c>
      <c r="G446">
        <v>1</v>
      </c>
      <c r="H446" s="133">
        <v>45839</v>
      </c>
      <c r="I446" s="2">
        <v>0.57854166666666662</v>
      </c>
      <c r="J446">
        <v>13</v>
      </c>
      <c r="K446" t="s">
        <v>388</v>
      </c>
      <c r="R446" t="s">
        <v>384</v>
      </c>
      <c r="S446">
        <v>18</v>
      </c>
      <c r="T446">
        <v>13</v>
      </c>
      <c r="U446" t="s">
        <v>1374</v>
      </c>
      <c r="V446" t="s">
        <v>1375</v>
      </c>
      <c r="W446">
        <v>1</v>
      </c>
      <c r="X446" t="s">
        <v>841</v>
      </c>
      <c r="AC446" t="s">
        <v>1376</v>
      </c>
      <c r="AE446" s="135"/>
    </row>
    <row r="447" spans="1:31" ht="12.5" customHeight="1" x14ac:dyDescent="0.35">
      <c r="A447" t="s">
        <v>396</v>
      </c>
      <c r="C447" t="s">
        <v>1377</v>
      </c>
      <c r="D447" t="s">
        <v>385</v>
      </c>
      <c r="E447" s="133">
        <v>45840</v>
      </c>
      <c r="F447" s="2">
        <v>7.9421296296296295E-2</v>
      </c>
      <c r="G447">
        <v>1</v>
      </c>
      <c r="H447" s="133">
        <v>45839</v>
      </c>
      <c r="I447" s="2">
        <v>0.57942129629629624</v>
      </c>
      <c r="J447">
        <v>13</v>
      </c>
      <c r="R447" t="s">
        <v>432</v>
      </c>
      <c r="S447">
        <v>3</v>
      </c>
      <c r="T447">
        <v>0</v>
      </c>
      <c r="U447">
        <v>0</v>
      </c>
      <c r="V447">
        <v>0</v>
      </c>
      <c r="W447">
        <v>1</v>
      </c>
      <c r="X447" t="s">
        <v>282</v>
      </c>
      <c r="AC447" t="s">
        <v>1378</v>
      </c>
      <c r="AE447" s="135"/>
    </row>
    <row r="448" spans="1:31" ht="12.5" customHeight="1" x14ac:dyDescent="0.35">
      <c r="A448" t="s">
        <v>396</v>
      </c>
      <c r="C448" t="s">
        <v>1379</v>
      </c>
      <c r="D448" t="s">
        <v>385</v>
      </c>
      <c r="E448" s="133">
        <v>45840</v>
      </c>
      <c r="F448" s="2">
        <v>7.9953703703703707E-2</v>
      </c>
      <c r="G448">
        <v>1</v>
      </c>
      <c r="H448" s="133">
        <v>45839</v>
      </c>
      <c r="I448" s="2">
        <v>0.57995370370370369</v>
      </c>
      <c r="J448">
        <v>13</v>
      </c>
      <c r="K448" t="s">
        <v>388</v>
      </c>
      <c r="R448" t="s">
        <v>384</v>
      </c>
      <c r="S448">
        <v>18</v>
      </c>
      <c r="T448">
        <v>16</v>
      </c>
      <c r="U448" t="s">
        <v>389</v>
      </c>
      <c r="V448" t="s">
        <v>1380</v>
      </c>
      <c r="W448">
        <v>1</v>
      </c>
      <c r="X448" t="s">
        <v>841</v>
      </c>
      <c r="AC448" t="s">
        <v>1381</v>
      </c>
      <c r="AE448" s="135"/>
    </row>
    <row r="449" spans="1:31" ht="12.5" customHeight="1" x14ac:dyDescent="0.35">
      <c r="A449" t="s">
        <v>396</v>
      </c>
      <c r="C449" t="s">
        <v>1382</v>
      </c>
      <c r="D449" t="s">
        <v>385</v>
      </c>
      <c r="E449" s="133">
        <v>45840</v>
      </c>
      <c r="F449" s="2">
        <v>8.0416666666666664E-2</v>
      </c>
      <c r="G449">
        <v>1</v>
      </c>
      <c r="H449" s="133">
        <v>45839</v>
      </c>
      <c r="I449" s="2">
        <v>0.58041666666666669</v>
      </c>
      <c r="J449">
        <v>13</v>
      </c>
      <c r="K449" t="s">
        <v>434</v>
      </c>
      <c r="R449" t="s">
        <v>384</v>
      </c>
      <c r="S449">
        <v>17</v>
      </c>
      <c r="T449">
        <v>12</v>
      </c>
      <c r="U449" t="s">
        <v>1383</v>
      </c>
      <c r="V449" t="s">
        <v>1384</v>
      </c>
      <c r="W449">
        <v>1</v>
      </c>
      <c r="X449" t="s">
        <v>282</v>
      </c>
      <c r="AC449" t="s">
        <v>1385</v>
      </c>
      <c r="AE449" s="135"/>
    </row>
    <row r="450" spans="1:31" ht="12.5" customHeight="1" x14ac:dyDescent="0.35">
      <c r="A450" t="s">
        <v>396</v>
      </c>
      <c r="C450" t="s">
        <v>1386</v>
      </c>
      <c r="D450" t="s">
        <v>385</v>
      </c>
      <c r="E450" s="133">
        <v>45840</v>
      </c>
      <c r="F450" s="2">
        <v>8.0578703703703694E-2</v>
      </c>
      <c r="G450">
        <v>1</v>
      </c>
      <c r="H450" s="133">
        <v>45839</v>
      </c>
      <c r="I450" s="2">
        <v>0.58057870370370368</v>
      </c>
      <c r="J450">
        <v>13</v>
      </c>
      <c r="R450" t="s">
        <v>432</v>
      </c>
      <c r="S450">
        <v>3</v>
      </c>
      <c r="T450">
        <v>0</v>
      </c>
      <c r="U450">
        <v>0</v>
      </c>
      <c r="V450">
        <v>0</v>
      </c>
      <c r="W450">
        <v>1</v>
      </c>
      <c r="X450" t="s">
        <v>282</v>
      </c>
      <c r="AC450" t="s">
        <v>1387</v>
      </c>
      <c r="AE450" s="135"/>
    </row>
    <row r="451" spans="1:31" ht="12.5" customHeight="1" x14ac:dyDescent="0.35">
      <c r="A451" t="s">
        <v>396</v>
      </c>
      <c r="C451" t="s">
        <v>1388</v>
      </c>
      <c r="D451" t="s">
        <v>385</v>
      </c>
      <c r="E451" s="133">
        <v>45840</v>
      </c>
      <c r="F451" s="2">
        <v>8.0972222222222223E-2</v>
      </c>
      <c r="G451">
        <v>1</v>
      </c>
      <c r="H451" s="133">
        <v>45839</v>
      </c>
      <c r="I451" s="2">
        <v>0.58097222222222222</v>
      </c>
      <c r="J451">
        <v>13</v>
      </c>
      <c r="K451" t="s">
        <v>388</v>
      </c>
      <c r="R451" t="s">
        <v>384</v>
      </c>
      <c r="S451">
        <v>25</v>
      </c>
      <c r="T451">
        <v>17</v>
      </c>
      <c r="U451" t="s">
        <v>1389</v>
      </c>
      <c r="V451" t="s">
        <v>1390</v>
      </c>
      <c r="W451">
        <v>1</v>
      </c>
      <c r="X451" t="s">
        <v>282</v>
      </c>
      <c r="AC451" t="s">
        <v>1391</v>
      </c>
      <c r="AE451" s="135"/>
    </row>
    <row r="452" spans="1:31" ht="12.5" customHeight="1" x14ac:dyDescent="0.35">
      <c r="A452" t="s">
        <v>396</v>
      </c>
      <c r="C452" t="s">
        <v>1392</v>
      </c>
      <c r="D452" t="s">
        <v>385</v>
      </c>
      <c r="E452" s="133">
        <v>45840</v>
      </c>
      <c r="F452" s="2">
        <v>8.1041666666666665E-2</v>
      </c>
      <c r="G452">
        <v>1</v>
      </c>
      <c r="H452" s="133">
        <v>45839</v>
      </c>
      <c r="I452" s="2">
        <v>0.58104166666666668</v>
      </c>
      <c r="J452">
        <v>13</v>
      </c>
      <c r="K452" t="s">
        <v>434</v>
      </c>
      <c r="R452" t="s">
        <v>384</v>
      </c>
      <c r="S452">
        <v>14</v>
      </c>
      <c r="T452">
        <v>11</v>
      </c>
      <c r="U452" t="s">
        <v>636</v>
      </c>
      <c r="V452" t="s">
        <v>1393</v>
      </c>
      <c r="W452">
        <v>1</v>
      </c>
      <c r="X452" t="s">
        <v>282</v>
      </c>
      <c r="AC452" t="s">
        <v>1394</v>
      </c>
      <c r="AE452" s="135"/>
    </row>
    <row r="453" spans="1:31" ht="12.5" customHeight="1" x14ac:dyDescent="0.35">
      <c r="A453" t="s">
        <v>396</v>
      </c>
      <c r="C453" t="s">
        <v>1395</v>
      </c>
      <c r="D453" t="s">
        <v>385</v>
      </c>
      <c r="E453" s="133">
        <v>45840</v>
      </c>
      <c r="F453" s="2">
        <v>8.1203703703703708E-2</v>
      </c>
      <c r="G453">
        <v>1</v>
      </c>
      <c r="H453" s="133">
        <v>45839</v>
      </c>
      <c r="I453" s="2">
        <v>0.58120370370370367</v>
      </c>
      <c r="J453">
        <v>13</v>
      </c>
      <c r="K453" t="s">
        <v>434</v>
      </c>
      <c r="R453" t="s">
        <v>390</v>
      </c>
      <c r="S453">
        <v>4</v>
      </c>
      <c r="T453">
        <v>3</v>
      </c>
      <c r="U453" t="s">
        <v>453</v>
      </c>
      <c r="V453" t="s">
        <v>1396</v>
      </c>
      <c r="W453">
        <v>1</v>
      </c>
      <c r="X453" t="s">
        <v>282</v>
      </c>
      <c r="AC453" t="s">
        <v>1397</v>
      </c>
      <c r="AE453" s="135"/>
    </row>
    <row r="454" spans="1:31" ht="12.5" customHeight="1" x14ac:dyDescent="0.35">
      <c r="A454" t="s">
        <v>396</v>
      </c>
      <c r="C454" t="s">
        <v>1398</v>
      </c>
      <c r="D454" t="s">
        <v>385</v>
      </c>
      <c r="E454" s="133">
        <v>45840</v>
      </c>
      <c r="F454" s="2">
        <v>8.1481481481481488E-2</v>
      </c>
      <c r="G454">
        <v>1</v>
      </c>
      <c r="H454" s="133">
        <v>45839</v>
      </c>
      <c r="I454" s="2">
        <v>0.58148148148148149</v>
      </c>
      <c r="J454">
        <v>13</v>
      </c>
      <c r="R454" t="s">
        <v>432</v>
      </c>
      <c r="S454">
        <v>3</v>
      </c>
      <c r="T454">
        <v>0</v>
      </c>
      <c r="U454">
        <v>0</v>
      </c>
      <c r="V454">
        <v>0</v>
      </c>
      <c r="W454">
        <v>1</v>
      </c>
      <c r="X454" t="s">
        <v>282</v>
      </c>
      <c r="AC454" t="s">
        <v>1399</v>
      </c>
      <c r="AE454" s="135"/>
    </row>
    <row r="455" spans="1:31" ht="12.5" customHeight="1" x14ac:dyDescent="0.35">
      <c r="A455" t="s">
        <v>396</v>
      </c>
      <c r="C455" t="s">
        <v>1400</v>
      </c>
      <c r="D455" t="s">
        <v>385</v>
      </c>
      <c r="E455" s="133">
        <v>45840</v>
      </c>
      <c r="F455" s="2">
        <v>8.1597222222222224E-2</v>
      </c>
      <c r="G455">
        <v>1</v>
      </c>
      <c r="H455" s="133">
        <v>45839</v>
      </c>
      <c r="I455" s="2">
        <v>0.58159722222222221</v>
      </c>
      <c r="J455">
        <v>13</v>
      </c>
      <c r="K455" t="s">
        <v>434</v>
      </c>
      <c r="R455" t="s">
        <v>390</v>
      </c>
      <c r="S455">
        <v>7</v>
      </c>
      <c r="T455">
        <v>5</v>
      </c>
      <c r="U455" t="s">
        <v>395</v>
      </c>
      <c r="V455" t="s">
        <v>1401</v>
      </c>
      <c r="W455">
        <v>1</v>
      </c>
      <c r="X455" t="s">
        <v>282</v>
      </c>
      <c r="AC455" t="s">
        <v>1402</v>
      </c>
      <c r="AE455" s="135"/>
    </row>
    <row r="456" spans="1:31" ht="12.5" customHeight="1" x14ac:dyDescent="0.35">
      <c r="A456" t="s">
        <v>396</v>
      </c>
      <c r="C456" t="s">
        <v>1403</v>
      </c>
      <c r="D456" t="s">
        <v>385</v>
      </c>
      <c r="E456" s="133">
        <v>45840</v>
      </c>
      <c r="F456" s="2">
        <v>8.1851851851851856E-2</v>
      </c>
      <c r="G456">
        <v>1</v>
      </c>
      <c r="H456" s="133">
        <v>45839</v>
      </c>
      <c r="I456" s="2">
        <v>0.58185185185185184</v>
      </c>
      <c r="J456">
        <v>13</v>
      </c>
      <c r="K456" t="s">
        <v>434</v>
      </c>
      <c r="R456" t="s">
        <v>384</v>
      </c>
      <c r="S456">
        <v>7</v>
      </c>
      <c r="T456">
        <v>4</v>
      </c>
      <c r="U456" t="s">
        <v>1315</v>
      </c>
      <c r="V456" t="s">
        <v>1404</v>
      </c>
      <c r="W456">
        <v>1</v>
      </c>
      <c r="X456" t="s">
        <v>282</v>
      </c>
      <c r="AC456" t="s">
        <v>1405</v>
      </c>
      <c r="AE456" s="135"/>
    </row>
    <row r="457" spans="1:31" ht="12.5" customHeight="1" x14ac:dyDescent="0.35">
      <c r="A457" t="s">
        <v>396</v>
      </c>
      <c r="C457" t="s">
        <v>1406</v>
      </c>
      <c r="D457" t="s">
        <v>385</v>
      </c>
      <c r="E457" s="133">
        <v>45840</v>
      </c>
      <c r="F457" s="2">
        <v>8.1990740740740739E-2</v>
      </c>
      <c r="G457">
        <v>1</v>
      </c>
      <c r="H457" s="133">
        <v>45839</v>
      </c>
      <c r="I457" s="2">
        <v>0.58199074074074075</v>
      </c>
      <c r="J457">
        <v>13</v>
      </c>
      <c r="R457" t="s">
        <v>432</v>
      </c>
      <c r="S457">
        <v>4</v>
      </c>
      <c r="T457">
        <v>0</v>
      </c>
      <c r="U457">
        <v>0</v>
      </c>
      <c r="V457">
        <v>0</v>
      </c>
      <c r="W457">
        <v>1</v>
      </c>
      <c r="X457" t="s">
        <v>282</v>
      </c>
      <c r="AC457" t="s">
        <v>1407</v>
      </c>
      <c r="AE457" s="135"/>
    </row>
    <row r="458" spans="1:31" ht="12.5" customHeight="1" x14ac:dyDescent="0.35">
      <c r="A458" t="s">
        <v>396</v>
      </c>
      <c r="C458" t="s">
        <v>1408</v>
      </c>
      <c r="D458" t="s">
        <v>385</v>
      </c>
      <c r="E458" s="133">
        <v>45840</v>
      </c>
      <c r="F458" s="2">
        <v>8.2152777777777783E-2</v>
      </c>
      <c r="G458">
        <v>1</v>
      </c>
      <c r="H458" s="133">
        <v>45839</v>
      </c>
      <c r="I458" s="2">
        <v>0.58215277777777774</v>
      </c>
      <c r="J458">
        <v>13</v>
      </c>
      <c r="R458" t="s">
        <v>384</v>
      </c>
      <c r="S458">
        <v>13</v>
      </c>
      <c r="T458">
        <v>9</v>
      </c>
      <c r="U458" t="s">
        <v>481</v>
      </c>
      <c r="V458" t="s">
        <v>1409</v>
      </c>
      <c r="W458">
        <v>1</v>
      </c>
      <c r="X458" t="s">
        <v>282</v>
      </c>
      <c r="AC458" t="s">
        <v>1410</v>
      </c>
      <c r="AE458" s="135"/>
    </row>
    <row r="459" spans="1:31" ht="12.5" customHeight="1" x14ac:dyDescent="0.35">
      <c r="A459" t="s">
        <v>396</v>
      </c>
      <c r="C459" t="s">
        <v>1411</v>
      </c>
      <c r="D459" t="s">
        <v>385</v>
      </c>
      <c r="E459" s="133">
        <v>45840</v>
      </c>
      <c r="F459" s="2">
        <v>8.2268518518518519E-2</v>
      </c>
      <c r="G459">
        <v>1</v>
      </c>
      <c r="H459" s="133">
        <v>45839</v>
      </c>
      <c r="I459" s="2">
        <v>0.58226851851851846</v>
      </c>
      <c r="J459">
        <v>13</v>
      </c>
      <c r="R459" t="s">
        <v>384</v>
      </c>
      <c r="S459">
        <v>3</v>
      </c>
      <c r="T459">
        <v>2</v>
      </c>
      <c r="U459" t="s">
        <v>393</v>
      </c>
      <c r="V459" t="s">
        <v>1412</v>
      </c>
      <c r="W459">
        <v>1</v>
      </c>
      <c r="X459" t="s">
        <v>282</v>
      </c>
      <c r="AC459" t="s">
        <v>1413</v>
      </c>
      <c r="AE459" s="135"/>
    </row>
    <row r="460" spans="1:31" ht="12.5" customHeight="1" x14ac:dyDescent="0.35">
      <c r="A460" t="s">
        <v>396</v>
      </c>
      <c r="C460" t="s">
        <v>1414</v>
      </c>
      <c r="D460" t="s">
        <v>385</v>
      </c>
      <c r="E460" s="133">
        <v>45840</v>
      </c>
      <c r="F460" s="2">
        <v>8.2777777777777783E-2</v>
      </c>
      <c r="G460">
        <v>1</v>
      </c>
      <c r="H460" s="133">
        <v>45839</v>
      </c>
      <c r="I460" s="2">
        <v>0.58277777777777773</v>
      </c>
      <c r="J460">
        <v>13</v>
      </c>
      <c r="K460" t="s">
        <v>384</v>
      </c>
      <c r="L460" t="s">
        <v>434</v>
      </c>
      <c r="R460" t="s">
        <v>390</v>
      </c>
      <c r="S460">
        <v>4</v>
      </c>
      <c r="T460">
        <v>2</v>
      </c>
      <c r="U460" t="s">
        <v>449</v>
      </c>
      <c r="V460" t="s">
        <v>1415</v>
      </c>
      <c r="W460">
        <v>1</v>
      </c>
      <c r="X460" t="s">
        <v>282</v>
      </c>
      <c r="AC460" t="s">
        <v>1416</v>
      </c>
      <c r="AE460" s="135"/>
    </row>
    <row r="461" spans="1:31" ht="12.5" customHeight="1" x14ac:dyDescent="0.35">
      <c r="A461" t="s">
        <v>396</v>
      </c>
      <c r="C461" t="s">
        <v>1417</v>
      </c>
      <c r="D461" t="s">
        <v>385</v>
      </c>
      <c r="E461" s="133">
        <v>45840</v>
      </c>
      <c r="F461" s="2">
        <v>8.3263888888888887E-2</v>
      </c>
      <c r="G461">
        <v>1</v>
      </c>
      <c r="H461" s="133">
        <v>45839</v>
      </c>
      <c r="I461" s="2">
        <v>0.58326388888888892</v>
      </c>
      <c r="J461">
        <v>13</v>
      </c>
      <c r="R461" t="s">
        <v>30</v>
      </c>
      <c r="W461">
        <v>1</v>
      </c>
      <c r="X461" t="s">
        <v>282</v>
      </c>
      <c r="AC461" t="s">
        <v>1418</v>
      </c>
      <c r="AE461" s="135"/>
    </row>
    <row r="462" spans="1:31" ht="12.5" customHeight="1" x14ac:dyDescent="0.35">
      <c r="A462" t="s">
        <v>396</v>
      </c>
      <c r="C462" t="s">
        <v>1419</v>
      </c>
      <c r="D462" t="s">
        <v>385</v>
      </c>
      <c r="E462" s="133">
        <v>45840</v>
      </c>
      <c r="F462" s="2">
        <v>8.340277777777777E-2</v>
      </c>
      <c r="G462">
        <v>2</v>
      </c>
      <c r="H462" s="133">
        <v>45839</v>
      </c>
      <c r="I462" s="2">
        <v>0.58340277777777783</v>
      </c>
      <c r="J462">
        <v>14</v>
      </c>
      <c r="K462" t="s">
        <v>384</v>
      </c>
      <c r="L462" t="s">
        <v>434</v>
      </c>
      <c r="R462" t="s">
        <v>390</v>
      </c>
      <c r="S462">
        <v>7</v>
      </c>
      <c r="T462">
        <v>5</v>
      </c>
      <c r="U462" t="s">
        <v>395</v>
      </c>
      <c r="V462" t="s">
        <v>1420</v>
      </c>
      <c r="W462">
        <v>1</v>
      </c>
      <c r="X462" t="s">
        <v>282</v>
      </c>
      <c r="AC462" t="s">
        <v>1421</v>
      </c>
      <c r="AE462" s="135"/>
    </row>
    <row r="463" spans="1:31" ht="12.5" customHeight="1" x14ac:dyDescent="0.35">
      <c r="A463" t="s">
        <v>396</v>
      </c>
      <c r="C463" t="s">
        <v>1422</v>
      </c>
      <c r="D463" t="s">
        <v>385</v>
      </c>
      <c r="E463" s="133">
        <v>45840</v>
      </c>
      <c r="F463" s="2">
        <v>8.3749999999999991E-2</v>
      </c>
      <c r="G463">
        <v>2</v>
      </c>
      <c r="H463" s="133">
        <v>45839</v>
      </c>
      <c r="I463" s="2">
        <v>0.58374999999999999</v>
      </c>
      <c r="J463">
        <v>14</v>
      </c>
      <c r="K463" t="s">
        <v>390</v>
      </c>
      <c r="R463" t="s">
        <v>384</v>
      </c>
      <c r="S463">
        <v>7</v>
      </c>
      <c r="T463">
        <v>6</v>
      </c>
      <c r="U463" t="s">
        <v>922</v>
      </c>
      <c r="V463" t="s">
        <v>1423</v>
      </c>
      <c r="W463">
        <v>1</v>
      </c>
      <c r="X463" t="s">
        <v>282</v>
      </c>
      <c r="AC463" t="s">
        <v>1424</v>
      </c>
      <c r="AE463" s="135"/>
    </row>
    <row r="464" spans="1:31" ht="12.5" customHeight="1" x14ac:dyDescent="0.35">
      <c r="A464" t="s">
        <v>396</v>
      </c>
      <c r="C464" t="s">
        <v>1425</v>
      </c>
      <c r="D464" t="s">
        <v>385</v>
      </c>
      <c r="E464" s="133">
        <v>45840</v>
      </c>
      <c r="F464" s="2">
        <v>8.5810185185185184E-2</v>
      </c>
      <c r="G464">
        <v>2</v>
      </c>
      <c r="H464" s="133">
        <v>45839</v>
      </c>
      <c r="I464" s="2">
        <v>0.58581018518518524</v>
      </c>
      <c r="J464">
        <v>14</v>
      </c>
      <c r="K464" t="s">
        <v>390</v>
      </c>
      <c r="L464" t="s">
        <v>434</v>
      </c>
      <c r="R464" t="s">
        <v>384</v>
      </c>
      <c r="S464">
        <v>6</v>
      </c>
      <c r="T464">
        <v>4</v>
      </c>
      <c r="U464" t="s">
        <v>393</v>
      </c>
      <c r="V464" t="s">
        <v>1426</v>
      </c>
      <c r="W464">
        <v>1</v>
      </c>
      <c r="X464" t="s">
        <v>282</v>
      </c>
      <c r="AC464" t="s">
        <v>1427</v>
      </c>
      <c r="AE464" s="135"/>
    </row>
    <row r="465" spans="1:31" ht="12.5" customHeight="1" x14ac:dyDescent="0.35">
      <c r="A465" t="s">
        <v>396</v>
      </c>
      <c r="C465" t="s">
        <v>1428</v>
      </c>
      <c r="D465" t="s">
        <v>385</v>
      </c>
      <c r="E465" s="133">
        <v>45840</v>
      </c>
      <c r="F465" s="2">
        <v>8.6412037037037037E-2</v>
      </c>
      <c r="G465">
        <v>2</v>
      </c>
      <c r="H465" s="133">
        <v>45839</v>
      </c>
      <c r="I465" s="2">
        <v>0.58641203703703704</v>
      </c>
      <c r="J465">
        <v>14</v>
      </c>
      <c r="K465" t="s">
        <v>390</v>
      </c>
      <c r="R465" t="s">
        <v>384</v>
      </c>
      <c r="S465">
        <v>4</v>
      </c>
      <c r="T465">
        <v>4</v>
      </c>
      <c r="U465">
        <v>1</v>
      </c>
      <c r="V465" t="s">
        <v>1429</v>
      </c>
      <c r="W465">
        <v>1</v>
      </c>
      <c r="X465" t="s">
        <v>282</v>
      </c>
      <c r="AC465" t="s">
        <v>1430</v>
      </c>
      <c r="AE465" s="135"/>
    </row>
    <row r="466" spans="1:31" ht="12.5" customHeight="1" x14ac:dyDescent="0.35">
      <c r="A466" t="s">
        <v>396</v>
      </c>
      <c r="C466" t="s">
        <v>1431</v>
      </c>
      <c r="D466" t="s">
        <v>385</v>
      </c>
      <c r="E466" s="133">
        <v>45840</v>
      </c>
      <c r="F466" s="2">
        <v>8.6620370370370361E-2</v>
      </c>
      <c r="G466">
        <v>2</v>
      </c>
      <c r="H466" s="133">
        <v>45839</v>
      </c>
      <c r="I466" s="2">
        <v>0.5866203703703704</v>
      </c>
      <c r="J466">
        <v>14</v>
      </c>
      <c r="K466" t="s">
        <v>387</v>
      </c>
      <c r="R466" t="s">
        <v>384</v>
      </c>
      <c r="S466">
        <v>23</v>
      </c>
      <c r="T466">
        <v>20</v>
      </c>
      <c r="U466" t="s">
        <v>1432</v>
      </c>
      <c r="V466" t="s">
        <v>1433</v>
      </c>
      <c r="W466">
        <v>1</v>
      </c>
      <c r="X466" t="s">
        <v>383</v>
      </c>
      <c r="AC466" t="s">
        <v>1434</v>
      </c>
      <c r="AE466" s="135"/>
    </row>
    <row r="467" spans="1:31" ht="12.5" customHeight="1" x14ac:dyDescent="0.35">
      <c r="A467" t="s">
        <v>396</v>
      </c>
      <c r="C467" t="s">
        <v>1435</v>
      </c>
      <c r="D467" t="s">
        <v>385</v>
      </c>
      <c r="E467" s="133">
        <v>45840</v>
      </c>
      <c r="F467" s="2">
        <v>8.7314814814814803E-2</v>
      </c>
      <c r="G467">
        <v>2</v>
      </c>
      <c r="H467" s="133">
        <v>45839</v>
      </c>
      <c r="I467" s="2">
        <v>0.58731481481481485</v>
      </c>
      <c r="J467">
        <v>14</v>
      </c>
      <c r="K467" t="s">
        <v>1108</v>
      </c>
      <c r="R467" t="s">
        <v>384</v>
      </c>
      <c r="S467">
        <v>11</v>
      </c>
      <c r="T467">
        <v>11</v>
      </c>
      <c r="U467">
        <v>1</v>
      </c>
      <c r="V467" t="s">
        <v>1436</v>
      </c>
      <c r="W467">
        <v>1</v>
      </c>
      <c r="X467" t="s">
        <v>383</v>
      </c>
      <c r="AC467" t="s">
        <v>1437</v>
      </c>
      <c r="AE467" s="135"/>
    </row>
    <row r="468" spans="1:31" ht="12.5" customHeight="1" x14ac:dyDescent="0.35">
      <c r="A468" t="s">
        <v>396</v>
      </c>
      <c r="C468" t="s">
        <v>1438</v>
      </c>
      <c r="D468" t="s">
        <v>385</v>
      </c>
      <c r="E468" s="133">
        <v>45840</v>
      </c>
      <c r="F468" s="2">
        <v>8.7662037037037024E-2</v>
      </c>
      <c r="G468">
        <v>2</v>
      </c>
      <c r="H468" s="133">
        <v>45839</v>
      </c>
      <c r="I468" s="2">
        <v>0.58766203703703701</v>
      </c>
      <c r="J468">
        <v>14</v>
      </c>
      <c r="K468" t="s">
        <v>388</v>
      </c>
      <c r="R468" t="s">
        <v>384</v>
      </c>
      <c r="S468">
        <v>20</v>
      </c>
      <c r="T468">
        <v>12</v>
      </c>
      <c r="U468" t="s">
        <v>653</v>
      </c>
      <c r="V468" t="s">
        <v>1439</v>
      </c>
      <c r="W468">
        <v>1</v>
      </c>
      <c r="X468" t="s">
        <v>383</v>
      </c>
      <c r="AC468" t="s">
        <v>1440</v>
      </c>
      <c r="AE468" s="135"/>
    </row>
    <row r="469" spans="1:31" ht="12.5" customHeight="1" x14ac:dyDescent="0.35">
      <c r="A469" t="s">
        <v>396</v>
      </c>
      <c r="C469" t="s">
        <v>1441</v>
      </c>
      <c r="D469" t="s">
        <v>385</v>
      </c>
      <c r="E469" s="133">
        <v>45840</v>
      </c>
      <c r="F469" s="2">
        <v>8.7777777777777774E-2</v>
      </c>
      <c r="G469">
        <v>2</v>
      </c>
      <c r="H469" s="133">
        <v>45839</v>
      </c>
      <c r="I469" s="2">
        <v>0.58777777777777784</v>
      </c>
      <c r="J469">
        <v>14</v>
      </c>
      <c r="R469" t="s">
        <v>384</v>
      </c>
      <c r="S469">
        <v>22</v>
      </c>
      <c r="T469">
        <v>22</v>
      </c>
      <c r="U469">
        <v>1</v>
      </c>
      <c r="V469" t="s">
        <v>1442</v>
      </c>
      <c r="W469">
        <v>1</v>
      </c>
      <c r="X469" t="s">
        <v>282</v>
      </c>
      <c r="AC469" t="s">
        <v>1443</v>
      </c>
      <c r="AE469" s="135"/>
    </row>
    <row r="470" spans="1:31" ht="12.5" customHeight="1" x14ac:dyDescent="0.35">
      <c r="A470" t="s">
        <v>396</v>
      </c>
      <c r="C470" t="s">
        <v>1444</v>
      </c>
      <c r="D470" t="s">
        <v>385</v>
      </c>
      <c r="E470" s="133">
        <v>45840</v>
      </c>
      <c r="F470" s="2">
        <v>8.7916666666666657E-2</v>
      </c>
      <c r="G470">
        <v>2</v>
      </c>
      <c r="H470" s="133">
        <v>45839</v>
      </c>
      <c r="I470" s="2">
        <v>0.58791666666666664</v>
      </c>
      <c r="J470">
        <v>14</v>
      </c>
      <c r="R470" t="s">
        <v>384</v>
      </c>
      <c r="S470">
        <v>14</v>
      </c>
      <c r="T470">
        <v>8</v>
      </c>
      <c r="U470" t="s">
        <v>1315</v>
      </c>
      <c r="V470" t="s">
        <v>1445</v>
      </c>
      <c r="W470">
        <v>1</v>
      </c>
      <c r="X470" t="s">
        <v>383</v>
      </c>
      <c r="AC470" t="s">
        <v>1446</v>
      </c>
      <c r="AE470" s="135"/>
    </row>
    <row r="471" spans="1:31" ht="12.5" customHeight="1" x14ac:dyDescent="0.35">
      <c r="A471" t="s">
        <v>396</v>
      </c>
      <c r="C471" t="s">
        <v>1447</v>
      </c>
      <c r="D471" t="s">
        <v>385</v>
      </c>
      <c r="E471" s="133">
        <v>45840</v>
      </c>
      <c r="F471" s="2">
        <v>8.8263888888888878E-2</v>
      </c>
      <c r="G471">
        <v>2</v>
      </c>
      <c r="H471" s="133">
        <v>45839</v>
      </c>
      <c r="I471" s="2">
        <v>0.58826388888888892</v>
      </c>
      <c r="J471">
        <v>14</v>
      </c>
      <c r="R471" t="s">
        <v>384</v>
      </c>
      <c r="S471">
        <v>5</v>
      </c>
      <c r="T471">
        <v>5</v>
      </c>
      <c r="U471">
        <v>1</v>
      </c>
      <c r="V471" t="s">
        <v>1448</v>
      </c>
      <c r="W471">
        <v>1</v>
      </c>
      <c r="X471" t="s">
        <v>282</v>
      </c>
      <c r="AC471" t="s">
        <v>1449</v>
      </c>
      <c r="AE471" s="135"/>
    </row>
    <row r="472" spans="1:31" ht="12.5" customHeight="1" x14ac:dyDescent="0.35">
      <c r="A472" t="s">
        <v>396</v>
      </c>
      <c r="C472" t="s">
        <v>1450</v>
      </c>
      <c r="D472" t="s">
        <v>385</v>
      </c>
      <c r="E472" s="133">
        <v>45840</v>
      </c>
      <c r="F472" s="2">
        <v>8.8449074074074083E-2</v>
      </c>
      <c r="G472">
        <v>2</v>
      </c>
      <c r="H472" s="133">
        <v>45839</v>
      </c>
      <c r="I472" s="2">
        <v>0.5884490740740741</v>
      </c>
      <c r="J472">
        <v>14</v>
      </c>
      <c r="K472" t="s">
        <v>390</v>
      </c>
      <c r="R472" t="s">
        <v>384</v>
      </c>
      <c r="S472">
        <v>9</v>
      </c>
      <c r="T472">
        <v>7</v>
      </c>
      <c r="U472" t="s">
        <v>394</v>
      </c>
      <c r="V472" t="s">
        <v>1451</v>
      </c>
      <c r="W472">
        <v>1</v>
      </c>
      <c r="X472" t="s">
        <v>282</v>
      </c>
      <c r="AC472" t="s">
        <v>1452</v>
      </c>
      <c r="AE472" s="135"/>
    </row>
    <row r="473" spans="1:31" ht="12.5" customHeight="1" x14ac:dyDescent="0.35">
      <c r="A473" t="s">
        <v>396</v>
      </c>
      <c r="C473" t="s">
        <v>1453</v>
      </c>
      <c r="D473" t="s">
        <v>385</v>
      </c>
      <c r="E473" s="133">
        <v>45840</v>
      </c>
      <c r="F473" s="2">
        <v>8.8842592592592584E-2</v>
      </c>
      <c r="G473">
        <v>2</v>
      </c>
      <c r="H473" s="133">
        <v>45839</v>
      </c>
      <c r="I473" s="2">
        <v>0.58884259259259253</v>
      </c>
      <c r="J473">
        <v>14</v>
      </c>
      <c r="R473" t="s">
        <v>384</v>
      </c>
      <c r="S473">
        <v>17</v>
      </c>
      <c r="T473">
        <v>17</v>
      </c>
      <c r="U473">
        <v>1</v>
      </c>
      <c r="V473" t="s">
        <v>1454</v>
      </c>
      <c r="W473">
        <v>1</v>
      </c>
      <c r="X473" t="s">
        <v>282</v>
      </c>
      <c r="AC473" t="s">
        <v>1455</v>
      </c>
      <c r="AE473" s="135"/>
    </row>
    <row r="474" spans="1:31" ht="12.5" customHeight="1" x14ac:dyDescent="0.35">
      <c r="A474" t="s">
        <v>396</v>
      </c>
      <c r="C474" t="s">
        <v>1456</v>
      </c>
      <c r="D474" t="s">
        <v>385</v>
      </c>
      <c r="E474" s="133">
        <v>45840</v>
      </c>
      <c r="F474" s="2">
        <v>8.925925925925926E-2</v>
      </c>
      <c r="G474">
        <v>2</v>
      </c>
      <c r="H474" s="133">
        <v>45839</v>
      </c>
      <c r="I474" s="2">
        <v>0.58925925925925926</v>
      </c>
      <c r="J474">
        <v>14</v>
      </c>
      <c r="R474" t="s">
        <v>384</v>
      </c>
      <c r="S474">
        <v>5</v>
      </c>
      <c r="T474">
        <v>5</v>
      </c>
      <c r="U474">
        <v>1</v>
      </c>
      <c r="V474" t="s">
        <v>1457</v>
      </c>
      <c r="W474">
        <v>1</v>
      </c>
      <c r="X474" t="s">
        <v>282</v>
      </c>
      <c r="AC474" t="s">
        <v>1458</v>
      </c>
      <c r="AE474" s="135"/>
    </row>
    <row r="475" spans="1:31" ht="12.5" customHeight="1" x14ac:dyDescent="0.35">
      <c r="A475" t="s">
        <v>396</v>
      </c>
      <c r="C475" t="s">
        <v>1459</v>
      </c>
      <c r="D475" t="s">
        <v>385</v>
      </c>
      <c r="E475" s="133">
        <v>45840</v>
      </c>
      <c r="F475" s="2">
        <v>8.9513888888888893E-2</v>
      </c>
      <c r="G475">
        <v>2</v>
      </c>
      <c r="H475" s="133">
        <v>45839</v>
      </c>
      <c r="I475" s="2">
        <v>0.58951388888888889</v>
      </c>
      <c r="J475">
        <v>14</v>
      </c>
      <c r="K475" t="s">
        <v>434</v>
      </c>
      <c r="R475" t="s">
        <v>384</v>
      </c>
      <c r="S475">
        <v>15</v>
      </c>
      <c r="T475">
        <v>14</v>
      </c>
      <c r="U475" t="s">
        <v>1460</v>
      </c>
      <c r="V475" t="s">
        <v>1461</v>
      </c>
      <c r="W475">
        <v>1</v>
      </c>
      <c r="X475" t="s">
        <v>282</v>
      </c>
      <c r="AC475" t="s">
        <v>1462</v>
      </c>
      <c r="AE475" s="135"/>
    </row>
    <row r="476" spans="1:31" ht="12.5" customHeight="1" x14ac:dyDescent="0.35">
      <c r="A476" t="s">
        <v>396</v>
      </c>
      <c r="C476" t="s">
        <v>1463</v>
      </c>
      <c r="D476" t="s">
        <v>385</v>
      </c>
      <c r="E476" s="133">
        <v>45840</v>
      </c>
      <c r="F476" s="2">
        <v>8.9675925925925923E-2</v>
      </c>
      <c r="G476">
        <v>2</v>
      </c>
      <c r="H476" s="133">
        <v>45839</v>
      </c>
      <c r="I476" s="2">
        <v>0.58967592592592599</v>
      </c>
      <c r="J476">
        <v>14</v>
      </c>
      <c r="R476" t="s">
        <v>30</v>
      </c>
      <c r="W476">
        <v>1</v>
      </c>
      <c r="X476" t="s">
        <v>355</v>
      </c>
      <c r="AC476" t="s">
        <v>1464</v>
      </c>
      <c r="AE476" s="135"/>
    </row>
    <row r="477" spans="1:31" ht="12.5" customHeight="1" x14ac:dyDescent="0.35">
      <c r="A477" t="s">
        <v>396</v>
      </c>
      <c r="C477" t="s">
        <v>1465</v>
      </c>
      <c r="D477" t="s">
        <v>385</v>
      </c>
      <c r="E477" s="133">
        <v>45840</v>
      </c>
      <c r="F477" s="2">
        <v>9.076388888888888E-2</v>
      </c>
      <c r="G477">
        <v>2</v>
      </c>
      <c r="H477" s="133">
        <v>45839</v>
      </c>
      <c r="I477" s="2">
        <v>0.59076388888888887</v>
      </c>
      <c r="J477">
        <v>14</v>
      </c>
      <c r="R477" t="s">
        <v>384</v>
      </c>
      <c r="S477">
        <v>13</v>
      </c>
      <c r="T477">
        <v>12</v>
      </c>
      <c r="U477" t="s">
        <v>392</v>
      </c>
      <c r="V477" t="s">
        <v>1466</v>
      </c>
      <c r="W477">
        <v>1</v>
      </c>
      <c r="X477" t="s">
        <v>282</v>
      </c>
      <c r="AC477" t="s">
        <v>1467</v>
      </c>
      <c r="AE477" s="135"/>
    </row>
    <row r="478" spans="1:31" ht="12.5" customHeight="1" x14ac:dyDescent="0.35">
      <c r="A478" t="s">
        <v>396</v>
      </c>
      <c r="C478" t="s">
        <v>1468</v>
      </c>
      <c r="D478" t="s">
        <v>385</v>
      </c>
      <c r="E478" s="133">
        <v>45840</v>
      </c>
      <c r="F478" s="2">
        <v>9.0833333333333335E-2</v>
      </c>
      <c r="G478">
        <v>2</v>
      </c>
      <c r="H478" s="133">
        <v>45839</v>
      </c>
      <c r="I478" s="2">
        <v>0.59083333333333332</v>
      </c>
      <c r="J478">
        <v>14</v>
      </c>
      <c r="R478" t="s">
        <v>384</v>
      </c>
      <c r="S478">
        <v>8</v>
      </c>
      <c r="T478">
        <v>7</v>
      </c>
      <c r="U478" t="s">
        <v>778</v>
      </c>
      <c r="V478" t="s">
        <v>1469</v>
      </c>
      <c r="W478">
        <v>1</v>
      </c>
      <c r="X478" t="s">
        <v>383</v>
      </c>
      <c r="AC478" t="s">
        <v>1470</v>
      </c>
      <c r="AE478" s="135"/>
    </row>
    <row r="479" spans="1:31" ht="12.5" customHeight="1" x14ac:dyDescent="0.35">
      <c r="A479" t="s">
        <v>396</v>
      </c>
      <c r="C479" t="s">
        <v>1471</v>
      </c>
      <c r="D479" t="s">
        <v>385</v>
      </c>
      <c r="E479" s="133">
        <v>45840</v>
      </c>
      <c r="F479" s="2">
        <v>9.1458333333333322E-2</v>
      </c>
      <c r="G479">
        <v>2</v>
      </c>
      <c r="H479" s="133">
        <v>45839</v>
      </c>
      <c r="I479" s="2">
        <v>0.59145833333333331</v>
      </c>
      <c r="J479">
        <v>14</v>
      </c>
      <c r="R479" t="s">
        <v>384</v>
      </c>
      <c r="S479">
        <v>9</v>
      </c>
      <c r="T479">
        <v>9</v>
      </c>
      <c r="U479">
        <v>1</v>
      </c>
      <c r="V479" t="s">
        <v>1472</v>
      </c>
      <c r="W479">
        <v>1</v>
      </c>
      <c r="X479" t="s">
        <v>282</v>
      </c>
      <c r="AC479" t="s">
        <v>1473</v>
      </c>
      <c r="AE479" s="135"/>
    </row>
    <row r="480" spans="1:31" ht="12.5" customHeight="1" x14ac:dyDescent="0.35">
      <c r="A480" t="s">
        <v>396</v>
      </c>
      <c r="C480" t="s">
        <v>1474</v>
      </c>
      <c r="D480" t="s">
        <v>385</v>
      </c>
      <c r="E480" s="133">
        <v>45840</v>
      </c>
      <c r="F480" s="2">
        <v>9.1574074074074072E-2</v>
      </c>
      <c r="G480">
        <v>2</v>
      </c>
      <c r="H480" s="133">
        <v>45839</v>
      </c>
      <c r="I480" s="2">
        <v>0.59157407407407414</v>
      </c>
      <c r="J480">
        <v>14</v>
      </c>
      <c r="R480" t="s">
        <v>384</v>
      </c>
      <c r="S480">
        <v>10</v>
      </c>
      <c r="T480">
        <v>10</v>
      </c>
      <c r="U480">
        <v>1</v>
      </c>
      <c r="V480" t="s">
        <v>1475</v>
      </c>
      <c r="W480">
        <v>1</v>
      </c>
      <c r="X480" t="s">
        <v>282</v>
      </c>
      <c r="AC480" t="s">
        <v>1476</v>
      </c>
      <c r="AE480" s="135"/>
    </row>
    <row r="481" spans="1:31" ht="12.5" customHeight="1" x14ac:dyDescent="0.35">
      <c r="A481" t="s">
        <v>396</v>
      </c>
      <c r="C481" t="s">
        <v>1477</v>
      </c>
      <c r="D481" t="s">
        <v>385</v>
      </c>
      <c r="E481" s="133">
        <v>45840</v>
      </c>
      <c r="F481" s="2">
        <v>9.178240740740741E-2</v>
      </c>
      <c r="G481">
        <v>2</v>
      </c>
      <c r="H481" s="133">
        <v>45839</v>
      </c>
      <c r="I481" s="2">
        <v>0.5917824074074074</v>
      </c>
      <c r="J481">
        <v>14</v>
      </c>
      <c r="R481" t="s">
        <v>384</v>
      </c>
      <c r="S481">
        <v>16</v>
      </c>
      <c r="T481">
        <v>16</v>
      </c>
      <c r="U481">
        <v>1</v>
      </c>
      <c r="V481" t="s">
        <v>1478</v>
      </c>
      <c r="W481">
        <v>1</v>
      </c>
      <c r="X481" t="s">
        <v>282</v>
      </c>
      <c r="AC481" t="s">
        <v>1479</v>
      </c>
      <c r="AE481" s="135"/>
    </row>
    <row r="482" spans="1:31" ht="12.5" customHeight="1" x14ac:dyDescent="0.35">
      <c r="A482" t="s">
        <v>396</v>
      </c>
      <c r="C482" t="s">
        <v>1480</v>
      </c>
      <c r="D482" t="s">
        <v>385</v>
      </c>
      <c r="E482" s="133">
        <v>45840</v>
      </c>
      <c r="F482" s="2">
        <v>9.194444444444444E-2</v>
      </c>
      <c r="G482">
        <v>2</v>
      </c>
      <c r="H482" s="133">
        <v>45839</v>
      </c>
      <c r="I482" s="2">
        <v>0.5919444444444445</v>
      </c>
      <c r="J482">
        <v>14</v>
      </c>
      <c r="K482" t="s">
        <v>388</v>
      </c>
      <c r="R482" t="s">
        <v>384</v>
      </c>
      <c r="S482">
        <v>23</v>
      </c>
      <c r="T482">
        <v>23</v>
      </c>
      <c r="U482">
        <v>1</v>
      </c>
      <c r="V482" t="s">
        <v>1481</v>
      </c>
      <c r="W482">
        <v>1</v>
      </c>
      <c r="X482" t="s">
        <v>383</v>
      </c>
      <c r="AC482" t="s">
        <v>1482</v>
      </c>
      <c r="AE482" s="135"/>
    </row>
    <row r="483" spans="1:31" ht="12.5" customHeight="1" x14ac:dyDescent="0.35">
      <c r="A483" t="s">
        <v>396</v>
      </c>
      <c r="C483" t="s">
        <v>1483</v>
      </c>
      <c r="D483" t="s">
        <v>385</v>
      </c>
      <c r="E483" s="133">
        <v>45840</v>
      </c>
      <c r="F483" s="2">
        <v>9.2222222222222219E-2</v>
      </c>
      <c r="G483">
        <v>2</v>
      </c>
      <c r="H483" s="133">
        <v>45839</v>
      </c>
      <c r="I483" s="2">
        <v>0.59222222222222221</v>
      </c>
      <c r="J483">
        <v>14</v>
      </c>
      <c r="K483" t="s">
        <v>635</v>
      </c>
      <c r="L483" t="s">
        <v>387</v>
      </c>
      <c r="R483" t="s">
        <v>384</v>
      </c>
      <c r="S483">
        <v>23</v>
      </c>
      <c r="T483">
        <v>18</v>
      </c>
      <c r="U483" t="s">
        <v>1484</v>
      </c>
      <c r="V483" t="s">
        <v>1485</v>
      </c>
      <c r="W483">
        <v>1</v>
      </c>
      <c r="X483" t="s">
        <v>282</v>
      </c>
      <c r="AC483" t="s">
        <v>1486</v>
      </c>
      <c r="AE483" s="135"/>
    </row>
    <row r="484" spans="1:31" ht="12.5" customHeight="1" x14ac:dyDescent="0.35">
      <c r="A484" t="s">
        <v>396</v>
      </c>
      <c r="C484" t="s">
        <v>1487</v>
      </c>
      <c r="D484" t="s">
        <v>385</v>
      </c>
      <c r="E484" s="133">
        <v>45840</v>
      </c>
      <c r="F484" s="2">
        <v>9.2592592592592601E-2</v>
      </c>
      <c r="G484">
        <v>2</v>
      </c>
      <c r="H484" s="133">
        <v>45839</v>
      </c>
      <c r="I484" s="2">
        <v>0.59259259259259256</v>
      </c>
      <c r="J484">
        <v>14</v>
      </c>
      <c r="R484" t="s">
        <v>384</v>
      </c>
      <c r="S484">
        <v>16</v>
      </c>
      <c r="T484">
        <v>16</v>
      </c>
      <c r="U484">
        <v>1</v>
      </c>
      <c r="V484" t="s">
        <v>1488</v>
      </c>
      <c r="W484">
        <v>1</v>
      </c>
      <c r="X484" t="s">
        <v>282</v>
      </c>
      <c r="AC484" t="s">
        <v>1489</v>
      </c>
      <c r="AE484" s="135"/>
    </row>
    <row r="485" spans="1:31" ht="12.5" customHeight="1" x14ac:dyDescent="0.35">
      <c r="A485" t="s">
        <v>396</v>
      </c>
      <c r="C485" t="s">
        <v>1490</v>
      </c>
      <c r="D485" t="s">
        <v>385</v>
      </c>
      <c r="E485" s="133">
        <v>45840</v>
      </c>
      <c r="F485" s="2">
        <v>9.3935185185185177E-2</v>
      </c>
      <c r="G485">
        <v>2</v>
      </c>
      <c r="H485" s="133">
        <v>45839</v>
      </c>
      <c r="I485" s="2">
        <v>0.59393518518518518</v>
      </c>
      <c r="J485">
        <v>14</v>
      </c>
      <c r="R485" t="s">
        <v>30</v>
      </c>
      <c r="W485">
        <v>1</v>
      </c>
      <c r="X485" t="s">
        <v>30</v>
      </c>
      <c r="AC485" t="s">
        <v>1491</v>
      </c>
      <c r="AE485" s="135"/>
    </row>
    <row r="486" spans="1:31" ht="12.5" customHeight="1" x14ac:dyDescent="0.35">
      <c r="A486" t="s">
        <v>396</v>
      </c>
      <c r="C486" t="s">
        <v>1492</v>
      </c>
      <c r="D486" t="s">
        <v>385</v>
      </c>
      <c r="E486" s="133">
        <v>45840</v>
      </c>
      <c r="F486" s="2">
        <v>9.7430555555555562E-2</v>
      </c>
      <c r="G486">
        <v>2</v>
      </c>
      <c r="H486" s="133">
        <v>45839</v>
      </c>
      <c r="I486" s="2">
        <v>0.59743055555555558</v>
      </c>
      <c r="J486">
        <v>14</v>
      </c>
      <c r="R486" t="s">
        <v>30</v>
      </c>
      <c r="W486">
        <v>1</v>
      </c>
      <c r="X486" t="s">
        <v>30</v>
      </c>
      <c r="AC486" t="s">
        <v>1493</v>
      </c>
      <c r="AE486" s="135"/>
    </row>
    <row r="487" spans="1:31" ht="12.5" customHeight="1" x14ac:dyDescent="0.35">
      <c r="A487" t="s">
        <v>396</v>
      </c>
      <c r="C487" t="s">
        <v>1494</v>
      </c>
      <c r="D487" t="s">
        <v>385</v>
      </c>
      <c r="E487" s="133">
        <v>45840</v>
      </c>
      <c r="F487" s="2">
        <v>0.10474537037037036</v>
      </c>
      <c r="G487">
        <v>2</v>
      </c>
      <c r="H487" s="133">
        <v>45839</v>
      </c>
      <c r="I487" s="2">
        <v>0.60474537037037035</v>
      </c>
      <c r="J487">
        <v>14</v>
      </c>
      <c r="R487" t="s">
        <v>30</v>
      </c>
      <c r="W487">
        <v>1</v>
      </c>
      <c r="X487" t="s">
        <v>30</v>
      </c>
      <c r="AC487" t="s">
        <v>1495</v>
      </c>
      <c r="AE487" s="135"/>
    </row>
    <row r="488" spans="1:31" ht="12.5" customHeight="1" x14ac:dyDescent="0.35">
      <c r="A488" t="s">
        <v>396</v>
      </c>
      <c r="C488" t="s">
        <v>1496</v>
      </c>
      <c r="D488" t="s">
        <v>385</v>
      </c>
      <c r="E488" s="133">
        <v>45840</v>
      </c>
      <c r="F488" s="2">
        <v>0.10613425925925928</v>
      </c>
      <c r="G488">
        <v>2</v>
      </c>
      <c r="H488" s="133">
        <v>45839</v>
      </c>
      <c r="I488" s="2">
        <v>0.60613425925925923</v>
      </c>
      <c r="J488">
        <v>14</v>
      </c>
      <c r="R488" t="s">
        <v>432</v>
      </c>
      <c r="S488">
        <v>4</v>
      </c>
      <c r="T488">
        <v>0</v>
      </c>
      <c r="U488">
        <v>0</v>
      </c>
      <c r="V488">
        <v>0</v>
      </c>
      <c r="W488">
        <v>1</v>
      </c>
      <c r="X488" t="s">
        <v>30</v>
      </c>
      <c r="AC488" t="s">
        <v>1497</v>
      </c>
      <c r="AE488" s="135"/>
    </row>
    <row r="489" spans="1:31" ht="12.5" customHeight="1" x14ac:dyDescent="0.35">
      <c r="A489" t="s">
        <v>396</v>
      </c>
      <c r="C489" t="s">
        <v>1498</v>
      </c>
      <c r="D489" t="s">
        <v>385</v>
      </c>
      <c r="E489" s="133">
        <v>45840</v>
      </c>
      <c r="F489" s="2">
        <v>0.10733796296296295</v>
      </c>
      <c r="G489">
        <v>2</v>
      </c>
      <c r="H489" s="133">
        <v>45839</v>
      </c>
      <c r="I489" s="2">
        <v>0.60733796296296294</v>
      </c>
      <c r="J489">
        <v>14</v>
      </c>
      <c r="R489" t="s">
        <v>30</v>
      </c>
      <c r="W489">
        <v>1</v>
      </c>
      <c r="X489" t="s">
        <v>30</v>
      </c>
      <c r="AC489" t="s">
        <v>1499</v>
      </c>
      <c r="AE489" s="135"/>
    </row>
    <row r="490" spans="1:31" ht="12.5" customHeight="1" x14ac:dyDescent="0.35">
      <c r="A490" t="s">
        <v>396</v>
      </c>
      <c r="C490" t="s">
        <v>1500</v>
      </c>
      <c r="D490" t="s">
        <v>385</v>
      </c>
      <c r="E490" s="133">
        <v>45840</v>
      </c>
      <c r="F490" s="2">
        <v>0.10826388888888888</v>
      </c>
      <c r="G490">
        <v>2</v>
      </c>
      <c r="H490" s="133">
        <v>45839</v>
      </c>
      <c r="I490" s="2">
        <v>0.60826388888888883</v>
      </c>
      <c r="J490">
        <v>14</v>
      </c>
      <c r="R490" t="s">
        <v>30</v>
      </c>
      <c r="W490">
        <v>1</v>
      </c>
      <c r="X490" t="s">
        <v>30</v>
      </c>
      <c r="AC490" t="s">
        <v>1501</v>
      </c>
      <c r="AE490" s="135"/>
    </row>
    <row r="491" spans="1:31" ht="12.5" customHeight="1" x14ac:dyDescent="0.35">
      <c r="A491" t="s">
        <v>396</v>
      </c>
      <c r="C491" t="s">
        <v>1502</v>
      </c>
      <c r="D491" t="s">
        <v>385</v>
      </c>
      <c r="E491" s="133">
        <v>45840</v>
      </c>
      <c r="F491" s="2">
        <v>0.10939814814814815</v>
      </c>
      <c r="G491">
        <v>2</v>
      </c>
      <c r="H491" s="133">
        <v>45839</v>
      </c>
      <c r="I491" s="2">
        <v>0.60939814814814819</v>
      </c>
      <c r="J491">
        <v>14</v>
      </c>
      <c r="R491" t="s">
        <v>30</v>
      </c>
      <c r="W491">
        <v>1</v>
      </c>
      <c r="X491" t="s">
        <v>30</v>
      </c>
      <c r="AC491" t="s">
        <v>1503</v>
      </c>
      <c r="AE491" s="135"/>
    </row>
    <row r="492" spans="1:31" ht="12.5" customHeight="1" x14ac:dyDescent="0.35">
      <c r="A492" t="s">
        <v>396</v>
      </c>
      <c r="C492" t="s">
        <v>1504</v>
      </c>
      <c r="D492" t="s">
        <v>385</v>
      </c>
      <c r="E492" s="133">
        <v>45840</v>
      </c>
      <c r="F492" s="2">
        <v>0.11613425925925926</v>
      </c>
      <c r="G492">
        <v>2</v>
      </c>
      <c r="H492" s="133">
        <v>45839</v>
      </c>
      <c r="I492" s="2">
        <v>0.61613425925925924</v>
      </c>
      <c r="J492">
        <v>14</v>
      </c>
      <c r="R492" t="s">
        <v>30</v>
      </c>
      <c r="W492">
        <v>1</v>
      </c>
      <c r="X492" t="s">
        <v>30</v>
      </c>
      <c r="AC492" t="s">
        <v>1505</v>
      </c>
      <c r="AE492" s="135"/>
    </row>
    <row r="493" spans="1:31" ht="12.5" customHeight="1" x14ac:dyDescent="0.35">
      <c r="A493" t="s">
        <v>396</v>
      </c>
      <c r="C493" t="s">
        <v>1506</v>
      </c>
      <c r="D493" t="s">
        <v>385</v>
      </c>
      <c r="E493" s="133">
        <v>45840</v>
      </c>
      <c r="F493" s="2">
        <v>0.11622685185185185</v>
      </c>
      <c r="G493">
        <v>2</v>
      </c>
      <c r="H493" s="133">
        <v>45839</v>
      </c>
      <c r="I493" s="2">
        <v>0.61622685185185189</v>
      </c>
      <c r="J493">
        <v>14</v>
      </c>
      <c r="R493" t="s">
        <v>30</v>
      </c>
      <c r="W493">
        <v>1</v>
      </c>
      <c r="X493" t="s">
        <v>30</v>
      </c>
      <c r="AC493" t="s">
        <v>1507</v>
      </c>
      <c r="AE493" s="135"/>
    </row>
    <row r="494" spans="1:31" ht="12.5" customHeight="1" x14ac:dyDescent="0.35">
      <c r="A494" t="s">
        <v>396</v>
      </c>
      <c r="C494" t="s">
        <v>1508</v>
      </c>
      <c r="D494" t="s">
        <v>385</v>
      </c>
      <c r="E494" s="133">
        <v>45840</v>
      </c>
      <c r="F494" s="2">
        <v>0.11773148148148148</v>
      </c>
      <c r="G494">
        <v>2</v>
      </c>
      <c r="H494" s="133">
        <v>45839</v>
      </c>
      <c r="I494" s="2">
        <v>0.61773148148148149</v>
      </c>
      <c r="J494">
        <v>14</v>
      </c>
      <c r="R494" t="s">
        <v>30</v>
      </c>
      <c r="W494">
        <v>1</v>
      </c>
      <c r="X494" t="s">
        <v>30</v>
      </c>
      <c r="AC494" t="s">
        <v>1509</v>
      </c>
      <c r="AE494" s="135"/>
    </row>
    <row r="495" spans="1:31" ht="12.5" customHeight="1" x14ac:dyDescent="0.35">
      <c r="A495" t="s">
        <v>396</v>
      </c>
      <c r="C495" t="s">
        <v>1510</v>
      </c>
      <c r="D495" t="s">
        <v>385</v>
      </c>
      <c r="E495" s="133">
        <v>45840</v>
      </c>
      <c r="F495" s="2">
        <v>0.14254629629629631</v>
      </c>
      <c r="G495">
        <v>3</v>
      </c>
      <c r="H495" s="133">
        <v>45839</v>
      </c>
      <c r="I495" s="2">
        <v>0.64254629629629634</v>
      </c>
      <c r="J495">
        <v>15</v>
      </c>
      <c r="R495" t="s">
        <v>30</v>
      </c>
      <c r="W495">
        <v>1</v>
      </c>
      <c r="X495" t="s">
        <v>30</v>
      </c>
      <c r="AC495" t="s">
        <v>1511</v>
      </c>
      <c r="AE495" s="135"/>
    </row>
    <row r="496" spans="1:31" ht="12.5" customHeight="1" x14ac:dyDescent="0.35">
      <c r="A496" t="s">
        <v>396</v>
      </c>
      <c r="C496" t="s">
        <v>1512</v>
      </c>
      <c r="D496" t="s">
        <v>385</v>
      </c>
      <c r="E496" s="133">
        <v>45840</v>
      </c>
      <c r="F496" s="2">
        <v>0.15342592592592594</v>
      </c>
      <c r="G496">
        <v>3</v>
      </c>
      <c r="H496" s="133">
        <v>45839</v>
      </c>
      <c r="I496" s="2">
        <v>0.65342592592592597</v>
      </c>
      <c r="J496">
        <v>15</v>
      </c>
      <c r="R496" t="s">
        <v>30</v>
      </c>
      <c r="W496">
        <v>1</v>
      </c>
      <c r="X496" t="s">
        <v>30</v>
      </c>
      <c r="AC496" t="s">
        <v>1513</v>
      </c>
      <c r="AE496" s="135"/>
    </row>
    <row r="497" spans="1:31" ht="12.5" customHeight="1" x14ac:dyDescent="0.35">
      <c r="A497" t="s">
        <v>396</v>
      </c>
      <c r="C497" t="s">
        <v>1514</v>
      </c>
      <c r="D497" t="s">
        <v>385</v>
      </c>
      <c r="E497" s="133">
        <v>45840</v>
      </c>
      <c r="F497" s="2">
        <v>0.16266203703703705</v>
      </c>
      <c r="G497">
        <v>3</v>
      </c>
      <c r="H497" s="133">
        <v>45839</v>
      </c>
      <c r="I497" s="2">
        <v>0.66266203703703697</v>
      </c>
      <c r="J497">
        <v>15</v>
      </c>
      <c r="R497" t="s">
        <v>30</v>
      </c>
      <c r="W497">
        <v>1</v>
      </c>
      <c r="X497" t="s">
        <v>30</v>
      </c>
      <c r="AC497" t="s">
        <v>1515</v>
      </c>
      <c r="AE497" s="135"/>
    </row>
    <row r="498" spans="1:31" ht="12.5" customHeight="1" x14ac:dyDescent="0.35">
      <c r="A498" t="s">
        <v>396</v>
      </c>
      <c r="C498" t="s">
        <v>1516</v>
      </c>
      <c r="D498" t="s">
        <v>385</v>
      </c>
      <c r="E498" s="133">
        <v>45840</v>
      </c>
      <c r="F498" s="2">
        <v>0.17249999999999999</v>
      </c>
      <c r="G498">
        <v>4</v>
      </c>
      <c r="H498" s="133">
        <v>45839</v>
      </c>
      <c r="I498" s="2">
        <v>0.67249999999999999</v>
      </c>
      <c r="J498">
        <v>16</v>
      </c>
      <c r="R498" t="s">
        <v>30</v>
      </c>
      <c r="W498">
        <v>1</v>
      </c>
      <c r="X498" t="s">
        <v>30</v>
      </c>
      <c r="AC498" t="s">
        <v>1517</v>
      </c>
      <c r="AE498" s="135"/>
    </row>
    <row r="499" spans="1:31" ht="12.5" customHeight="1" x14ac:dyDescent="0.35">
      <c r="A499" t="s">
        <v>396</v>
      </c>
      <c r="C499" t="s">
        <v>1518</v>
      </c>
      <c r="D499" t="s">
        <v>385</v>
      </c>
      <c r="E499" s="133">
        <v>45840</v>
      </c>
      <c r="F499" s="2">
        <v>0.17726851851851852</v>
      </c>
      <c r="G499">
        <v>4</v>
      </c>
      <c r="H499" s="133">
        <v>45839</v>
      </c>
      <c r="I499" s="2">
        <v>0.67726851851851855</v>
      </c>
      <c r="J499">
        <v>16</v>
      </c>
      <c r="R499" t="s">
        <v>30</v>
      </c>
      <c r="W499">
        <v>1</v>
      </c>
      <c r="X499" t="s">
        <v>30</v>
      </c>
      <c r="AC499" t="s">
        <v>1519</v>
      </c>
      <c r="AE499" s="135"/>
    </row>
    <row r="500" spans="1:31" ht="12.5" customHeight="1" x14ac:dyDescent="0.35">
      <c r="A500" t="s">
        <v>396</v>
      </c>
      <c r="C500" t="s">
        <v>1520</v>
      </c>
      <c r="D500" t="s">
        <v>385</v>
      </c>
      <c r="E500" s="133">
        <v>45840</v>
      </c>
      <c r="F500" s="2">
        <v>0.18081018518518518</v>
      </c>
      <c r="G500">
        <v>4</v>
      </c>
      <c r="H500" s="133">
        <v>45839</v>
      </c>
      <c r="I500" s="2">
        <v>0.68081018518518521</v>
      </c>
      <c r="J500">
        <v>16</v>
      </c>
      <c r="R500" t="s">
        <v>30</v>
      </c>
      <c r="W500">
        <v>1</v>
      </c>
      <c r="X500" t="s">
        <v>30</v>
      </c>
      <c r="AC500" t="s">
        <v>1521</v>
      </c>
      <c r="AE500" s="135"/>
    </row>
    <row r="501" spans="1:31" ht="12.5" customHeight="1" x14ac:dyDescent="0.35">
      <c r="A501" t="s">
        <v>396</v>
      </c>
      <c r="C501" t="s">
        <v>1522</v>
      </c>
      <c r="D501" t="s">
        <v>385</v>
      </c>
      <c r="E501" s="133">
        <v>45840</v>
      </c>
      <c r="F501" s="2">
        <v>0.18625</v>
      </c>
      <c r="G501">
        <v>4</v>
      </c>
      <c r="H501" s="133">
        <v>45839</v>
      </c>
      <c r="I501" s="2">
        <v>0.68624999999999992</v>
      </c>
      <c r="J501">
        <v>16</v>
      </c>
      <c r="R501" t="s">
        <v>30</v>
      </c>
      <c r="W501">
        <v>1</v>
      </c>
      <c r="X501" t="s">
        <v>30</v>
      </c>
      <c r="AC501" t="s">
        <v>1523</v>
      </c>
      <c r="AE501" s="135"/>
    </row>
    <row r="502" spans="1:31" ht="12.5" customHeight="1" x14ac:dyDescent="0.35">
      <c r="A502" t="s">
        <v>396</v>
      </c>
      <c r="C502" t="s">
        <v>1524</v>
      </c>
      <c r="D502" t="s">
        <v>385</v>
      </c>
      <c r="E502" s="133">
        <v>45840</v>
      </c>
      <c r="F502" s="2">
        <v>0.18835648148148146</v>
      </c>
      <c r="G502">
        <v>4</v>
      </c>
      <c r="H502" s="133">
        <v>45839</v>
      </c>
      <c r="I502" s="2">
        <v>0.68835648148148154</v>
      </c>
      <c r="J502">
        <v>16</v>
      </c>
      <c r="R502" t="s">
        <v>30</v>
      </c>
      <c r="W502">
        <v>1</v>
      </c>
      <c r="X502" t="s">
        <v>30</v>
      </c>
      <c r="AC502" t="s">
        <v>1525</v>
      </c>
      <c r="AE502" s="135"/>
    </row>
    <row r="503" spans="1:31" ht="12.5" customHeight="1" x14ac:dyDescent="0.35">
      <c r="A503" t="s">
        <v>396</v>
      </c>
      <c r="C503" t="s">
        <v>1526</v>
      </c>
      <c r="D503" t="s">
        <v>385</v>
      </c>
      <c r="E503" s="133">
        <v>45840</v>
      </c>
      <c r="F503" s="2">
        <v>0.90071759259259254</v>
      </c>
      <c r="G503">
        <v>21</v>
      </c>
      <c r="H503" s="133">
        <v>45840</v>
      </c>
      <c r="I503" s="2">
        <v>0.4007175925925926</v>
      </c>
      <c r="J503">
        <v>9</v>
      </c>
      <c r="R503" t="s">
        <v>30</v>
      </c>
      <c r="W503">
        <v>1</v>
      </c>
      <c r="X503" t="s">
        <v>30</v>
      </c>
      <c r="AC503" t="s">
        <v>1527</v>
      </c>
      <c r="AE503" s="135"/>
    </row>
    <row r="504" spans="1:31" ht="12.5" customHeight="1" x14ac:dyDescent="0.35">
      <c r="A504" t="s">
        <v>396</v>
      </c>
      <c r="C504" t="s">
        <v>1528</v>
      </c>
      <c r="D504" t="s">
        <v>385</v>
      </c>
      <c r="E504" s="133">
        <v>45840</v>
      </c>
      <c r="F504" s="2">
        <v>0.90599537037037037</v>
      </c>
      <c r="G504">
        <v>21</v>
      </c>
      <c r="H504" s="133">
        <v>45840</v>
      </c>
      <c r="I504" s="2">
        <v>0.40599537037037042</v>
      </c>
      <c r="J504">
        <v>9</v>
      </c>
      <c r="R504" t="s">
        <v>30</v>
      </c>
      <c r="W504">
        <v>1</v>
      </c>
      <c r="X504" t="s">
        <v>30</v>
      </c>
      <c r="AC504" t="s">
        <v>1529</v>
      </c>
      <c r="AE504" s="135"/>
    </row>
    <row r="505" spans="1:31" ht="12.5" customHeight="1" x14ac:dyDescent="0.35">
      <c r="A505" t="s">
        <v>396</v>
      </c>
      <c r="C505" t="s">
        <v>1530</v>
      </c>
      <c r="D505" t="s">
        <v>385</v>
      </c>
      <c r="E505" s="133">
        <v>45840</v>
      </c>
      <c r="F505" s="2">
        <v>0.90870370370370368</v>
      </c>
      <c r="G505">
        <v>21</v>
      </c>
      <c r="H505" s="133">
        <v>45840</v>
      </c>
      <c r="I505" s="2">
        <v>0.40870370370370374</v>
      </c>
      <c r="J505">
        <v>9</v>
      </c>
      <c r="R505" t="s">
        <v>30</v>
      </c>
      <c r="W505">
        <v>1</v>
      </c>
      <c r="X505" t="s">
        <v>30</v>
      </c>
      <c r="AC505" t="s">
        <v>1531</v>
      </c>
      <c r="AE505" s="135"/>
    </row>
    <row r="506" spans="1:31" ht="12.5" customHeight="1" x14ac:dyDescent="0.35">
      <c r="A506" t="s">
        <v>396</v>
      </c>
      <c r="C506" t="s">
        <v>1532</v>
      </c>
      <c r="D506" t="s">
        <v>385</v>
      </c>
      <c r="E506" s="133">
        <v>45840</v>
      </c>
      <c r="F506" s="2">
        <v>0.91303240740740732</v>
      </c>
      <c r="G506">
        <v>21</v>
      </c>
      <c r="H506" s="133">
        <v>45840</v>
      </c>
      <c r="I506" s="2">
        <v>0.41303240740740743</v>
      </c>
      <c r="J506">
        <v>9</v>
      </c>
      <c r="R506" t="s">
        <v>30</v>
      </c>
      <c r="W506">
        <v>1</v>
      </c>
      <c r="X506" t="s">
        <v>30</v>
      </c>
      <c r="AC506" t="s">
        <v>1533</v>
      </c>
      <c r="AE506" s="135"/>
    </row>
    <row r="507" spans="1:31" ht="12.5" customHeight="1" x14ac:dyDescent="0.35">
      <c r="A507" t="s">
        <v>396</v>
      </c>
      <c r="C507" t="s">
        <v>1534</v>
      </c>
      <c r="D507" t="s">
        <v>385</v>
      </c>
      <c r="E507" s="133">
        <v>45840</v>
      </c>
      <c r="F507" s="2">
        <v>0.91310185185185189</v>
      </c>
      <c r="G507">
        <v>21</v>
      </c>
      <c r="H507" s="133">
        <v>45840</v>
      </c>
      <c r="I507" s="2">
        <v>0.41310185185185189</v>
      </c>
      <c r="J507">
        <v>9</v>
      </c>
      <c r="R507" t="s">
        <v>30</v>
      </c>
      <c r="W507">
        <v>1</v>
      </c>
      <c r="X507" t="s">
        <v>30</v>
      </c>
      <c r="AC507" t="s">
        <v>1535</v>
      </c>
      <c r="AE507" s="135"/>
    </row>
    <row r="508" spans="1:31" ht="12.5" customHeight="1" x14ac:dyDescent="0.35">
      <c r="A508" t="s">
        <v>396</v>
      </c>
      <c r="C508" t="s">
        <v>1536</v>
      </c>
      <c r="D508" t="s">
        <v>385</v>
      </c>
      <c r="E508" s="133">
        <v>45840</v>
      </c>
      <c r="F508" s="2">
        <v>0.9138425925925926</v>
      </c>
      <c r="G508">
        <v>21</v>
      </c>
      <c r="H508" s="133">
        <v>45840</v>
      </c>
      <c r="I508" s="2">
        <v>0.4138425925925926</v>
      </c>
      <c r="J508">
        <v>9</v>
      </c>
      <c r="R508" t="s">
        <v>30</v>
      </c>
      <c r="W508">
        <v>1</v>
      </c>
      <c r="X508" t="s">
        <v>30</v>
      </c>
      <c r="AC508" t="s">
        <v>1537</v>
      </c>
      <c r="AE508" s="135"/>
    </row>
    <row r="509" spans="1:31" ht="12.5" customHeight="1" x14ac:dyDescent="0.35">
      <c r="A509" t="s">
        <v>396</v>
      </c>
      <c r="C509" t="s">
        <v>1538</v>
      </c>
      <c r="D509" t="s">
        <v>385</v>
      </c>
      <c r="E509" s="133">
        <v>45840</v>
      </c>
      <c r="F509" s="2">
        <v>0.91437500000000005</v>
      </c>
      <c r="G509">
        <v>21</v>
      </c>
      <c r="H509" s="133">
        <v>45840</v>
      </c>
      <c r="I509" s="2">
        <v>0.41437499999999999</v>
      </c>
      <c r="J509">
        <v>9</v>
      </c>
      <c r="R509" t="s">
        <v>30</v>
      </c>
      <c r="W509">
        <v>1</v>
      </c>
      <c r="X509" t="s">
        <v>30</v>
      </c>
      <c r="AC509" t="s">
        <v>1539</v>
      </c>
      <c r="AE509" s="135"/>
    </row>
    <row r="510" spans="1:31" ht="12.5" customHeight="1" x14ac:dyDescent="0.35">
      <c r="A510" t="s">
        <v>396</v>
      </c>
      <c r="C510" t="s">
        <v>1540</v>
      </c>
      <c r="D510" t="s">
        <v>385</v>
      </c>
      <c r="E510" s="133">
        <v>45840</v>
      </c>
      <c r="F510" s="2">
        <v>0.91497685185185185</v>
      </c>
      <c r="G510">
        <v>21</v>
      </c>
      <c r="H510" s="133">
        <v>45840</v>
      </c>
      <c r="I510" s="2">
        <v>0.4149768518518519</v>
      </c>
      <c r="J510">
        <v>9</v>
      </c>
      <c r="R510" t="s">
        <v>30</v>
      </c>
      <c r="W510">
        <v>1</v>
      </c>
      <c r="X510" t="s">
        <v>30</v>
      </c>
      <c r="AC510" t="s">
        <v>1541</v>
      </c>
      <c r="AE510" s="135"/>
    </row>
    <row r="511" spans="1:31" ht="12.5" customHeight="1" x14ac:dyDescent="0.35">
      <c r="A511" t="s">
        <v>396</v>
      </c>
      <c r="C511" t="s">
        <v>1542</v>
      </c>
      <c r="D511" t="s">
        <v>385</v>
      </c>
      <c r="E511" s="133">
        <v>45840</v>
      </c>
      <c r="F511" s="2">
        <v>0.91548611111111111</v>
      </c>
      <c r="G511">
        <v>21</v>
      </c>
      <c r="H511" s="133">
        <v>45840</v>
      </c>
      <c r="I511" s="2">
        <v>0.41548611111111106</v>
      </c>
      <c r="J511">
        <v>9</v>
      </c>
      <c r="R511" t="s">
        <v>30</v>
      </c>
      <c r="W511">
        <v>1</v>
      </c>
      <c r="X511" t="s">
        <v>30</v>
      </c>
      <c r="AC511" t="s">
        <v>1543</v>
      </c>
      <c r="AE511" s="135"/>
    </row>
    <row r="512" spans="1:31" ht="12.5" customHeight="1" x14ac:dyDescent="0.35">
      <c r="A512" t="s">
        <v>396</v>
      </c>
      <c r="C512" t="s">
        <v>1544</v>
      </c>
      <c r="D512" t="s">
        <v>385</v>
      </c>
      <c r="E512" s="133">
        <v>45840</v>
      </c>
      <c r="F512" s="2">
        <v>0.91793981481481479</v>
      </c>
      <c r="G512">
        <v>22</v>
      </c>
      <c r="H512" s="133">
        <v>45840</v>
      </c>
      <c r="I512" s="2">
        <v>0.41793981481481479</v>
      </c>
      <c r="J512">
        <v>10</v>
      </c>
      <c r="R512" t="s">
        <v>30</v>
      </c>
      <c r="W512">
        <v>1</v>
      </c>
      <c r="X512" t="s">
        <v>30</v>
      </c>
      <c r="AC512" t="s">
        <v>1545</v>
      </c>
      <c r="AE512" s="135"/>
    </row>
    <row r="513" spans="1:31" ht="12.5" customHeight="1" x14ac:dyDescent="0.35">
      <c r="A513" t="s">
        <v>396</v>
      </c>
      <c r="C513" t="s">
        <v>1546</v>
      </c>
      <c r="D513" t="s">
        <v>385</v>
      </c>
      <c r="E513" s="133">
        <v>45840</v>
      </c>
      <c r="F513" s="2">
        <v>0.92798611111111118</v>
      </c>
      <c r="G513">
        <v>22</v>
      </c>
      <c r="H513" s="133">
        <v>45840</v>
      </c>
      <c r="I513" s="2">
        <v>0.42798611111111112</v>
      </c>
      <c r="J513">
        <v>10</v>
      </c>
      <c r="R513" t="s">
        <v>30</v>
      </c>
      <c r="W513">
        <v>1</v>
      </c>
      <c r="X513" t="s">
        <v>30</v>
      </c>
      <c r="AC513" t="s">
        <v>1547</v>
      </c>
      <c r="AE513" s="135"/>
    </row>
    <row r="514" spans="1:31" ht="12.5" customHeight="1" x14ac:dyDescent="0.35">
      <c r="A514" t="s">
        <v>396</v>
      </c>
      <c r="C514" t="s">
        <v>1548</v>
      </c>
      <c r="D514" t="s">
        <v>385</v>
      </c>
      <c r="E514" s="133">
        <v>45840</v>
      </c>
      <c r="F514" s="2">
        <v>0.92918981481481477</v>
      </c>
      <c r="G514">
        <v>22</v>
      </c>
      <c r="H514" s="133">
        <v>45840</v>
      </c>
      <c r="I514" s="2">
        <v>0.42918981481481483</v>
      </c>
      <c r="J514">
        <v>10</v>
      </c>
      <c r="R514" t="s">
        <v>30</v>
      </c>
      <c r="W514">
        <v>1</v>
      </c>
      <c r="X514" t="s">
        <v>30</v>
      </c>
      <c r="AC514" t="s">
        <v>1549</v>
      </c>
      <c r="AE514" s="135"/>
    </row>
    <row r="515" spans="1:31" ht="12.5" customHeight="1" x14ac:dyDescent="0.35">
      <c r="A515" t="s">
        <v>396</v>
      </c>
      <c r="C515" t="s">
        <v>1550</v>
      </c>
      <c r="D515" t="s">
        <v>385</v>
      </c>
      <c r="E515" s="133">
        <v>45840</v>
      </c>
      <c r="F515" s="2">
        <v>0.92925925925925934</v>
      </c>
      <c r="G515">
        <v>22</v>
      </c>
      <c r="H515" s="133">
        <v>45840</v>
      </c>
      <c r="I515" s="2">
        <v>0.42925925925925923</v>
      </c>
      <c r="J515">
        <v>10</v>
      </c>
      <c r="R515" t="s">
        <v>30</v>
      </c>
      <c r="W515">
        <v>1</v>
      </c>
      <c r="X515" t="s">
        <v>30</v>
      </c>
      <c r="AC515" t="s">
        <v>1551</v>
      </c>
      <c r="AE515" s="135"/>
    </row>
    <row r="516" spans="1:31" ht="12.5" customHeight="1" x14ac:dyDescent="0.35">
      <c r="A516" t="s">
        <v>396</v>
      </c>
      <c r="C516" t="s">
        <v>1552</v>
      </c>
      <c r="D516" t="s">
        <v>385</v>
      </c>
      <c r="E516" s="133">
        <v>45840</v>
      </c>
      <c r="F516" s="2">
        <v>0.92939814814814825</v>
      </c>
      <c r="G516">
        <v>22</v>
      </c>
      <c r="H516" s="133">
        <v>45840</v>
      </c>
      <c r="I516" s="2">
        <v>0.42939814814814814</v>
      </c>
      <c r="J516">
        <v>10</v>
      </c>
      <c r="R516" t="s">
        <v>30</v>
      </c>
      <c r="W516">
        <v>1</v>
      </c>
      <c r="X516" t="s">
        <v>30</v>
      </c>
      <c r="AC516" t="s">
        <v>1553</v>
      </c>
      <c r="AE516" s="135"/>
    </row>
    <row r="517" spans="1:31" ht="12.5" customHeight="1" x14ac:dyDescent="0.35">
      <c r="A517" t="s">
        <v>396</v>
      </c>
      <c r="C517" t="s">
        <v>1554</v>
      </c>
      <c r="D517" t="s">
        <v>385</v>
      </c>
      <c r="E517" s="133">
        <v>45840</v>
      </c>
      <c r="F517" s="2">
        <v>0.92953703703703694</v>
      </c>
      <c r="G517">
        <v>22</v>
      </c>
      <c r="H517" s="133">
        <v>45840</v>
      </c>
      <c r="I517" s="2">
        <v>0.42953703703703705</v>
      </c>
      <c r="J517">
        <v>10</v>
      </c>
      <c r="R517" t="s">
        <v>30</v>
      </c>
      <c r="W517">
        <v>1</v>
      </c>
      <c r="X517" t="s">
        <v>30</v>
      </c>
      <c r="AC517" t="s">
        <v>1555</v>
      </c>
      <c r="AE517" s="135"/>
    </row>
    <row r="518" spans="1:31" ht="12.5" customHeight="1" x14ac:dyDescent="0.35">
      <c r="A518" t="s">
        <v>396</v>
      </c>
      <c r="C518" t="s">
        <v>1556</v>
      </c>
      <c r="D518" t="s">
        <v>385</v>
      </c>
      <c r="E518" s="133">
        <v>45840</v>
      </c>
      <c r="F518" s="2">
        <v>0.92962962962962958</v>
      </c>
      <c r="G518">
        <v>22</v>
      </c>
      <c r="H518" s="133">
        <v>45840</v>
      </c>
      <c r="I518" s="2">
        <v>0.42962962962962964</v>
      </c>
      <c r="J518">
        <v>10</v>
      </c>
      <c r="R518" t="s">
        <v>30</v>
      </c>
      <c r="W518">
        <v>1</v>
      </c>
      <c r="X518" t="s">
        <v>30</v>
      </c>
      <c r="AC518" t="s">
        <v>1557</v>
      </c>
      <c r="AE518" s="135"/>
    </row>
    <row r="519" spans="1:31" ht="12.5" customHeight="1" x14ac:dyDescent="0.35">
      <c r="A519" t="s">
        <v>396</v>
      </c>
      <c r="C519" t="s">
        <v>1558</v>
      </c>
      <c r="D519" t="s">
        <v>385</v>
      </c>
      <c r="E519" s="133">
        <v>45840</v>
      </c>
      <c r="F519" s="2">
        <v>0.9299074074074074</v>
      </c>
      <c r="G519">
        <v>22</v>
      </c>
      <c r="H519" s="133">
        <v>45840</v>
      </c>
      <c r="I519" s="2">
        <v>0.4299074074074074</v>
      </c>
      <c r="J519">
        <v>10</v>
      </c>
      <c r="R519" t="s">
        <v>30</v>
      </c>
      <c r="W519">
        <v>1</v>
      </c>
      <c r="X519" t="s">
        <v>30</v>
      </c>
      <c r="AC519" t="s">
        <v>1559</v>
      </c>
      <c r="AE519" s="135"/>
    </row>
    <row r="520" spans="1:31" ht="12.5" customHeight="1" x14ac:dyDescent="0.35">
      <c r="A520" t="s">
        <v>396</v>
      </c>
      <c r="C520" t="s">
        <v>1560</v>
      </c>
      <c r="D520" t="s">
        <v>385</v>
      </c>
      <c r="E520" s="133">
        <v>45840</v>
      </c>
      <c r="F520" s="2">
        <v>0.93006944444444439</v>
      </c>
      <c r="G520">
        <v>22</v>
      </c>
      <c r="H520" s="133">
        <v>45840</v>
      </c>
      <c r="I520" s="2">
        <v>0.43006944444444445</v>
      </c>
      <c r="J520">
        <v>10</v>
      </c>
      <c r="R520" t="s">
        <v>30</v>
      </c>
      <c r="W520">
        <v>1</v>
      </c>
      <c r="X520" t="s">
        <v>30</v>
      </c>
      <c r="AC520" t="s">
        <v>1561</v>
      </c>
      <c r="AE520" s="135"/>
    </row>
    <row r="521" spans="1:31" ht="12.5" customHeight="1" x14ac:dyDescent="0.35">
      <c r="A521" t="s">
        <v>396</v>
      </c>
      <c r="C521" t="s">
        <v>1562</v>
      </c>
      <c r="D521" t="s">
        <v>385</v>
      </c>
      <c r="E521" s="133">
        <v>45840</v>
      </c>
      <c r="F521" s="2">
        <v>0.93027777777777787</v>
      </c>
      <c r="G521">
        <v>22</v>
      </c>
      <c r="H521" s="133">
        <v>45840</v>
      </c>
      <c r="I521" s="2">
        <v>0.43027777777777776</v>
      </c>
      <c r="J521">
        <v>10</v>
      </c>
      <c r="R521" t="s">
        <v>30</v>
      </c>
      <c r="W521">
        <v>1</v>
      </c>
      <c r="X521" t="s">
        <v>30</v>
      </c>
      <c r="AC521" t="s">
        <v>1563</v>
      </c>
      <c r="AE521" s="135"/>
    </row>
    <row r="522" spans="1:31" ht="12.5" customHeight="1" x14ac:dyDescent="0.35">
      <c r="A522" t="s">
        <v>396</v>
      </c>
      <c r="C522" t="s">
        <v>1564</v>
      </c>
      <c r="D522" t="s">
        <v>385</v>
      </c>
      <c r="E522" s="133">
        <v>45840</v>
      </c>
      <c r="F522" s="2">
        <v>0.9303703703703704</v>
      </c>
      <c r="G522">
        <v>22</v>
      </c>
      <c r="H522" s="133">
        <v>45840</v>
      </c>
      <c r="I522" s="2">
        <v>0.43037037037037035</v>
      </c>
      <c r="J522">
        <v>10</v>
      </c>
      <c r="R522" t="s">
        <v>30</v>
      </c>
      <c r="W522">
        <v>1</v>
      </c>
      <c r="X522" t="s">
        <v>30</v>
      </c>
      <c r="AC522" t="s">
        <v>1565</v>
      </c>
      <c r="AE522" s="135"/>
    </row>
    <row r="523" spans="1:31" ht="12.5" customHeight="1" x14ac:dyDescent="0.35">
      <c r="A523" t="s">
        <v>396</v>
      </c>
      <c r="C523" t="s">
        <v>1566</v>
      </c>
      <c r="D523" t="s">
        <v>385</v>
      </c>
      <c r="E523" s="133">
        <v>45840</v>
      </c>
      <c r="F523" s="2">
        <v>0.93046296296296294</v>
      </c>
      <c r="G523">
        <v>22</v>
      </c>
      <c r="H523" s="133">
        <v>45840</v>
      </c>
      <c r="I523" s="2">
        <v>0.43046296296296299</v>
      </c>
      <c r="J523">
        <v>10</v>
      </c>
      <c r="R523" t="s">
        <v>30</v>
      </c>
      <c r="W523">
        <v>1</v>
      </c>
      <c r="X523" t="s">
        <v>30</v>
      </c>
      <c r="AC523" t="s">
        <v>1567</v>
      </c>
      <c r="AE523" s="135"/>
    </row>
    <row r="524" spans="1:31" ht="12.5" customHeight="1" x14ac:dyDescent="0.35">
      <c r="A524" t="s">
        <v>396</v>
      </c>
      <c r="C524" t="s">
        <v>1568</v>
      </c>
      <c r="D524" t="s">
        <v>385</v>
      </c>
      <c r="E524" s="133">
        <v>45840</v>
      </c>
      <c r="F524" s="2">
        <v>0.93081018518518521</v>
      </c>
      <c r="G524">
        <v>22</v>
      </c>
      <c r="H524" s="133">
        <v>45840</v>
      </c>
      <c r="I524" s="2">
        <v>0.43081018518518516</v>
      </c>
      <c r="J524">
        <v>10</v>
      </c>
      <c r="R524" t="s">
        <v>30</v>
      </c>
      <c r="W524">
        <v>1</v>
      </c>
      <c r="X524" t="s">
        <v>30</v>
      </c>
      <c r="AC524" t="s">
        <v>1569</v>
      </c>
      <c r="AE524" s="135"/>
    </row>
    <row r="525" spans="1:31" ht="12.5" customHeight="1" x14ac:dyDescent="0.35">
      <c r="A525" t="s">
        <v>396</v>
      </c>
      <c r="C525" t="s">
        <v>1570</v>
      </c>
      <c r="D525" t="s">
        <v>385</v>
      </c>
      <c r="E525" s="133">
        <v>45840</v>
      </c>
      <c r="F525" s="2">
        <v>0.93120370370370376</v>
      </c>
      <c r="G525">
        <v>22</v>
      </c>
      <c r="H525" s="133">
        <v>45840</v>
      </c>
      <c r="I525" s="2">
        <v>0.4312037037037037</v>
      </c>
      <c r="J525">
        <v>10</v>
      </c>
      <c r="R525" t="s">
        <v>30</v>
      </c>
      <c r="W525">
        <v>1</v>
      </c>
      <c r="X525" t="s">
        <v>30</v>
      </c>
      <c r="AC525" t="s">
        <v>1571</v>
      </c>
      <c r="AE525" s="135"/>
    </row>
    <row r="526" spans="1:31" ht="12.5" customHeight="1" x14ac:dyDescent="0.35">
      <c r="A526" t="s">
        <v>396</v>
      </c>
      <c r="C526" t="s">
        <v>1572</v>
      </c>
      <c r="D526" t="s">
        <v>385</v>
      </c>
      <c r="E526" s="133">
        <v>45840</v>
      </c>
      <c r="F526" s="2">
        <v>0.93571759259259257</v>
      </c>
      <c r="G526">
        <v>22</v>
      </c>
      <c r="H526" s="133">
        <v>45840</v>
      </c>
      <c r="I526" s="2">
        <v>0.43571759259259263</v>
      </c>
      <c r="J526">
        <v>10</v>
      </c>
      <c r="K526" t="s">
        <v>390</v>
      </c>
      <c r="L526" t="s">
        <v>434</v>
      </c>
      <c r="R526" t="s">
        <v>384</v>
      </c>
      <c r="S526">
        <v>18</v>
      </c>
      <c r="T526">
        <v>10</v>
      </c>
      <c r="U526" t="s">
        <v>1339</v>
      </c>
      <c r="V526" t="s">
        <v>1573</v>
      </c>
      <c r="W526">
        <v>1</v>
      </c>
      <c r="X526" t="s">
        <v>282</v>
      </c>
      <c r="AC526" t="s">
        <v>1574</v>
      </c>
      <c r="AE526" s="135"/>
    </row>
    <row r="527" spans="1:31" ht="12.5" customHeight="1" x14ac:dyDescent="0.35">
      <c r="A527" t="s">
        <v>396</v>
      </c>
      <c r="C527" t="s">
        <v>1575</v>
      </c>
      <c r="D527" t="s">
        <v>385</v>
      </c>
      <c r="E527" s="133">
        <v>45840</v>
      </c>
      <c r="F527" s="2">
        <v>0.93581018518518511</v>
      </c>
      <c r="G527">
        <v>22</v>
      </c>
      <c r="H527" s="133">
        <v>45840</v>
      </c>
      <c r="I527" s="2">
        <v>0.43581018518518522</v>
      </c>
      <c r="J527">
        <v>10</v>
      </c>
      <c r="K527" t="s">
        <v>388</v>
      </c>
      <c r="R527" t="s">
        <v>384</v>
      </c>
      <c r="S527">
        <v>31</v>
      </c>
      <c r="T527">
        <v>27</v>
      </c>
      <c r="U527" t="s">
        <v>1576</v>
      </c>
      <c r="V527" t="s">
        <v>1577</v>
      </c>
      <c r="W527">
        <v>1</v>
      </c>
      <c r="X527" t="s">
        <v>383</v>
      </c>
      <c r="AC527" t="s">
        <v>1578</v>
      </c>
      <c r="AE527" s="135"/>
    </row>
    <row r="528" spans="1:31" ht="12.5" customHeight="1" x14ac:dyDescent="0.35">
      <c r="A528" t="s">
        <v>396</v>
      </c>
      <c r="C528" t="s">
        <v>1579</v>
      </c>
      <c r="D528" t="s">
        <v>385</v>
      </c>
      <c r="E528" s="133">
        <v>45840</v>
      </c>
      <c r="F528" s="2">
        <v>0.93587962962962967</v>
      </c>
      <c r="G528">
        <v>22</v>
      </c>
      <c r="H528" s="133">
        <v>45840</v>
      </c>
      <c r="I528" s="2">
        <v>0.43587962962962962</v>
      </c>
      <c r="J528">
        <v>10</v>
      </c>
      <c r="K528" t="s">
        <v>434</v>
      </c>
      <c r="L528" t="s">
        <v>388</v>
      </c>
      <c r="R528" t="s">
        <v>390</v>
      </c>
      <c r="S528">
        <v>3</v>
      </c>
      <c r="T528">
        <v>3</v>
      </c>
      <c r="U528">
        <v>1</v>
      </c>
      <c r="V528" t="s">
        <v>1580</v>
      </c>
      <c r="W528">
        <v>1</v>
      </c>
      <c r="X528" t="s">
        <v>355</v>
      </c>
      <c r="AC528" t="s">
        <v>1581</v>
      </c>
      <c r="AE528" s="135"/>
    </row>
    <row r="529" spans="1:31" ht="12.5" customHeight="1" x14ac:dyDescent="0.35">
      <c r="A529" t="s">
        <v>396</v>
      </c>
      <c r="C529" t="s">
        <v>1582</v>
      </c>
      <c r="D529" t="s">
        <v>385</v>
      </c>
      <c r="E529" s="133">
        <v>45840</v>
      </c>
      <c r="F529" s="2">
        <v>0.93597222222222232</v>
      </c>
      <c r="G529">
        <v>22</v>
      </c>
      <c r="H529" s="133">
        <v>45840</v>
      </c>
      <c r="I529" s="2">
        <v>0.43597222222222221</v>
      </c>
      <c r="J529">
        <v>10</v>
      </c>
      <c r="K529" t="s">
        <v>434</v>
      </c>
      <c r="R529" t="s">
        <v>384</v>
      </c>
      <c r="S529">
        <v>13</v>
      </c>
      <c r="T529">
        <v>8</v>
      </c>
      <c r="U529" t="s">
        <v>1583</v>
      </c>
      <c r="V529" t="s">
        <v>1584</v>
      </c>
      <c r="W529">
        <v>1</v>
      </c>
      <c r="X529" t="s">
        <v>383</v>
      </c>
      <c r="AC529" t="s">
        <v>1585</v>
      </c>
      <c r="AE529" s="135"/>
    </row>
    <row r="530" spans="1:31" ht="12.5" customHeight="1" x14ac:dyDescent="0.35">
      <c r="A530" t="s">
        <v>396</v>
      </c>
      <c r="C530" t="s">
        <v>1586</v>
      </c>
      <c r="D530" t="s">
        <v>385</v>
      </c>
      <c r="E530" s="133">
        <v>45840</v>
      </c>
      <c r="F530" s="2">
        <v>0.93604166666666666</v>
      </c>
      <c r="G530">
        <v>22</v>
      </c>
      <c r="H530" s="133">
        <v>45840</v>
      </c>
      <c r="I530" s="2">
        <v>0.43604166666666666</v>
      </c>
      <c r="J530">
        <v>10</v>
      </c>
      <c r="R530" t="s">
        <v>384</v>
      </c>
      <c r="S530">
        <v>21</v>
      </c>
      <c r="T530">
        <v>21</v>
      </c>
      <c r="U530">
        <v>1</v>
      </c>
      <c r="V530" t="s">
        <v>1587</v>
      </c>
      <c r="W530">
        <v>1</v>
      </c>
      <c r="X530" t="s">
        <v>383</v>
      </c>
      <c r="AC530" t="s">
        <v>1588</v>
      </c>
      <c r="AE530" s="135"/>
    </row>
    <row r="531" spans="1:31" ht="12.5" customHeight="1" x14ac:dyDescent="0.35">
      <c r="A531" t="s">
        <v>396</v>
      </c>
      <c r="C531" t="s">
        <v>1589</v>
      </c>
      <c r="D531" t="s">
        <v>385</v>
      </c>
      <c r="E531" s="133">
        <v>45840</v>
      </c>
      <c r="F531" s="2">
        <v>0.94002314814814814</v>
      </c>
      <c r="G531">
        <v>22</v>
      </c>
      <c r="H531" s="133">
        <v>45840</v>
      </c>
      <c r="I531" s="2">
        <v>0.44002314814814819</v>
      </c>
      <c r="J531">
        <v>10</v>
      </c>
      <c r="R531" t="s">
        <v>30</v>
      </c>
      <c r="W531">
        <v>1</v>
      </c>
      <c r="X531" t="s">
        <v>30</v>
      </c>
      <c r="AC531" t="s">
        <v>1590</v>
      </c>
      <c r="AE531" s="135"/>
    </row>
    <row r="532" spans="1:31" ht="12.5" customHeight="1" x14ac:dyDescent="0.35">
      <c r="A532" t="s">
        <v>396</v>
      </c>
      <c r="C532" t="s">
        <v>1591</v>
      </c>
      <c r="D532" t="s">
        <v>385</v>
      </c>
      <c r="E532" s="133">
        <v>45840</v>
      </c>
      <c r="F532" s="2">
        <v>0.94041666666666668</v>
      </c>
      <c r="G532">
        <v>22</v>
      </c>
      <c r="H532" s="133">
        <v>45840</v>
      </c>
      <c r="I532" s="2">
        <v>0.44041666666666668</v>
      </c>
      <c r="J532">
        <v>10</v>
      </c>
      <c r="R532" t="s">
        <v>30</v>
      </c>
      <c r="W532">
        <v>1</v>
      </c>
      <c r="X532" t="s">
        <v>30</v>
      </c>
      <c r="AC532" t="s">
        <v>1592</v>
      </c>
      <c r="AE532" s="135"/>
    </row>
    <row r="533" spans="1:31" ht="12.5" customHeight="1" x14ac:dyDescent="0.35">
      <c r="A533" t="s">
        <v>396</v>
      </c>
      <c r="C533" t="s">
        <v>1593</v>
      </c>
      <c r="D533" t="s">
        <v>385</v>
      </c>
      <c r="E533" s="133">
        <v>45840</v>
      </c>
      <c r="F533" s="2">
        <v>0.94192129629629628</v>
      </c>
      <c r="G533">
        <v>22</v>
      </c>
      <c r="H533" s="133">
        <v>45840</v>
      </c>
      <c r="I533" s="2">
        <v>0.44192129629629634</v>
      </c>
      <c r="J533">
        <v>10</v>
      </c>
      <c r="R533" t="s">
        <v>30</v>
      </c>
      <c r="W533">
        <v>1</v>
      </c>
      <c r="X533" t="s">
        <v>30</v>
      </c>
      <c r="AC533" t="s">
        <v>1594</v>
      </c>
      <c r="AE533" s="135"/>
    </row>
    <row r="534" spans="1:31" ht="12.5" customHeight="1" x14ac:dyDescent="0.35">
      <c r="A534" t="s">
        <v>396</v>
      </c>
      <c r="C534" t="s">
        <v>1595</v>
      </c>
      <c r="D534" t="s">
        <v>385</v>
      </c>
      <c r="E534" s="133">
        <v>45840</v>
      </c>
      <c r="F534" s="2">
        <v>0.9440277777777778</v>
      </c>
      <c r="G534">
        <v>22</v>
      </c>
      <c r="H534" s="133">
        <v>45840</v>
      </c>
      <c r="I534" s="2">
        <v>0.44402777777777774</v>
      </c>
      <c r="J534">
        <v>10</v>
      </c>
      <c r="R534" t="s">
        <v>30</v>
      </c>
      <c r="W534">
        <v>1</v>
      </c>
      <c r="X534" t="s">
        <v>30</v>
      </c>
      <c r="AC534" t="s">
        <v>1596</v>
      </c>
      <c r="AE534" s="135"/>
    </row>
    <row r="535" spans="1:31" ht="12.5" customHeight="1" x14ac:dyDescent="0.35">
      <c r="A535" t="s">
        <v>396</v>
      </c>
      <c r="C535" t="s">
        <v>1597</v>
      </c>
      <c r="D535" t="s">
        <v>385</v>
      </c>
      <c r="E535" s="133">
        <v>45840</v>
      </c>
      <c r="F535" s="2">
        <v>0.94520833333333332</v>
      </c>
      <c r="G535">
        <v>22</v>
      </c>
      <c r="H535" s="133">
        <v>45840</v>
      </c>
      <c r="I535" s="2">
        <v>0.44520833333333337</v>
      </c>
      <c r="J535">
        <v>10</v>
      </c>
      <c r="R535" t="s">
        <v>384</v>
      </c>
      <c r="S535">
        <v>17</v>
      </c>
      <c r="T535">
        <v>15</v>
      </c>
      <c r="U535" t="s">
        <v>1179</v>
      </c>
      <c r="V535" t="s">
        <v>1598</v>
      </c>
      <c r="W535">
        <v>1</v>
      </c>
      <c r="X535" t="s">
        <v>282</v>
      </c>
      <c r="AC535" t="s">
        <v>1599</v>
      </c>
      <c r="AE535" s="135"/>
    </row>
    <row r="536" spans="1:31" ht="12.5" customHeight="1" x14ac:dyDescent="0.35">
      <c r="A536" t="s">
        <v>396</v>
      </c>
      <c r="C536" t="s">
        <v>1600</v>
      </c>
      <c r="D536" t="s">
        <v>385</v>
      </c>
      <c r="E536" s="133">
        <v>45840</v>
      </c>
      <c r="F536" s="2">
        <v>0.94895833333333324</v>
      </c>
      <c r="G536">
        <v>22</v>
      </c>
      <c r="H536" s="133">
        <v>45840</v>
      </c>
      <c r="I536" s="2">
        <v>0.44895833333333335</v>
      </c>
      <c r="J536">
        <v>10</v>
      </c>
      <c r="R536" t="s">
        <v>30</v>
      </c>
      <c r="W536">
        <v>1</v>
      </c>
      <c r="X536" t="s">
        <v>30</v>
      </c>
      <c r="AC536" t="s">
        <v>1601</v>
      </c>
      <c r="AE536" s="135"/>
    </row>
    <row r="537" spans="1:31" ht="12.5" customHeight="1" x14ac:dyDescent="0.35">
      <c r="A537" t="s">
        <v>396</v>
      </c>
      <c r="C537" t="s">
        <v>1602</v>
      </c>
      <c r="D537" t="s">
        <v>385</v>
      </c>
      <c r="E537" s="133">
        <v>45840</v>
      </c>
      <c r="F537" s="2">
        <v>0.94914351851851853</v>
      </c>
      <c r="G537">
        <v>22</v>
      </c>
      <c r="H537" s="133">
        <v>45840</v>
      </c>
      <c r="I537" s="2">
        <v>0.44914351851851847</v>
      </c>
      <c r="J537">
        <v>10</v>
      </c>
      <c r="R537" t="s">
        <v>30</v>
      </c>
      <c r="W537">
        <v>1</v>
      </c>
      <c r="X537" t="s">
        <v>30</v>
      </c>
      <c r="AC537" t="s">
        <v>1603</v>
      </c>
      <c r="AE537" s="135"/>
    </row>
    <row r="538" spans="1:31" ht="12.5" customHeight="1" x14ac:dyDescent="0.35">
      <c r="A538" t="s">
        <v>396</v>
      </c>
      <c r="C538" t="s">
        <v>1604</v>
      </c>
      <c r="D538" t="s">
        <v>385</v>
      </c>
      <c r="E538" s="133">
        <v>45840</v>
      </c>
      <c r="F538" s="2">
        <v>0.95060185185185186</v>
      </c>
      <c r="G538">
        <v>22</v>
      </c>
      <c r="H538" s="133">
        <v>45840</v>
      </c>
      <c r="I538" s="2">
        <v>0.45060185185185181</v>
      </c>
      <c r="J538">
        <v>10</v>
      </c>
      <c r="R538" t="s">
        <v>30</v>
      </c>
      <c r="W538">
        <v>1</v>
      </c>
      <c r="X538" t="s">
        <v>30</v>
      </c>
      <c r="AC538" t="s">
        <v>1605</v>
      </c>
      <c r="AE538" s="135"/>
    </row>
    <row r="539" spans="1:31" ht="12.5" customHeight="1" x14ac:dyDescent="0.35">
      <c r="A539" t="s">
        <v>396</v>
      </c>
      <c r="C539" t="s">
        <v>1606</v>
      </c>
      <c r="D539" t="s">
        <v>385</v>
      </c>
      <c r="E539" s="133">
        <v>45840</v>
      </c>
      <c r="F539" s="2">
        <v>0.95185185185185184</v>
      </c>
      <c r="G539">
        <v>22</v>
      </c>
      <c r="H539" s="133">
        <v>45840</v>
      </c>
      <c r="I539" s="2">
        <v>0.45185185185185189</v>
      </c>
      <c r="J539">
        <v>10</v>
      </c>
      <c r="R539" t="s">
        <v>384</v>
      </c>
      <c r="S539">
        <v>19</v>
      </c>
      <c r="T539">
        <v>17</v>
      </c>
      <c r="U539" t="s">
        <v>1190</v>
      </c>
      <c r="V539" t="s">
        <v>1607</v>
      </c>
      <c r="W539">
        <v>1</v>
      </c>
      <c r="X539" t="s">
        <v>383</v>
      </c>
      <c r="AC539" t="s">
        <v>1608</v>
      </c>
      <c r="AE539" s="135"/>
    </row>
    <row r="540" spans="1:31" ht="12.5" customHeight="1" x14ac:dyDescent="0.35">
      <c r="A540" t="s">
        <v>396</v>
      </c>
      <c r="C540" t="s">
        <v>1609</v>
      </c>
      <c r="D540" t="s">
        <v>385</v>
      </c>
      <c r="E540" s="133">
        <v>45840</v>
      </c>
      <c r="F540" s="2">
        <v>0.95203703703703713</v>
      </c>
      <c r="G540">
        <v>22</v>
      </c>
      <c r="H540" s="133">
        <v>45840</v>
      </c>
      <c r="I540" s="2">
        <v>0.45203703703703701</v>
      </c>
      <c r="J540">
        <v>10</v>
      </c>
      <c r="K540" t="s">
        <v>434</v>
      </c>
      <c r="R540" t="s">
        <v>390</v>
      </c>
      <c r="S540">
        <v>12</v>
      </c>
      <c r="T540">
        <v>9</v>
      </c>
      <c r="U540" t="s">
        <v>453</v>
      </c>
      <c r="V540" t="s">
        <v>1610</v>
      </c>
      <c r="W540">
        <v>1</v>
      </c>
      <c r="X540" t="s">
        <v>355</v>
      </c>
      <c r="AC540" t="s">
        <v>1611</v>
      </c>
      <c r="AE540" s="135"/>
    </row>
    <row r="541" spans="1:31" ht="12.5" customHeight="1" x14ac:dyDescent="0.35">
      <c r="A541" t="s">
        <v>396</v>
      </c>
      <c r="C541" t="s">
        <v>1612</v>
      </c>
      <c r="D541" t="s">
        <v>385</v>
      </c>
      <c r="E541" s="133">
        <v>45840</v>
      </c>
      <c r="F541" s="2">
        <v>0.95224537037037038</v>
      </c>
      <c r="G541">
        <v>22</v>
      </c>
      <c r="H541" s="133">
        <v>45840</v>
      </c>
      <c r="I541" s="2">
        <v>0.45224537037037038</v>
      </c>
      <c r="J541">
        <v>10</v>
      </c>
      <c r="K541" t="s">
        <v>384</v>
      </c>
      <c r="L541" t="s">
        <v>434</v>
      </c>
      <c r="R541" t="s">
        <v>390</v>
      </c>
      <c r="S541">
        <v>10</v>
      </c>
      <c r="T541">
        <v>7</v>
      </c>
      <c r="U541" t="s">
        <v>1613</v>
      </c>
      <c r="V541" t="s">
        <v>1614</v>
      </c>
      <c r="W541">
        <v>1</v>
      </c>
      <c r="X541" t="s">
        <v>282</v>
      </c>
      <c r="AC541" t="s">
        <v>1615</v>
      </c>
      <c r="AE541" s="135"/>
    </row>
    <row r="542" spans="1:31" ht="12.5" customHeight="1" x14ac:dyDescent="0.35">
      <c r="A542" t="s">
        <v>396</v>
      </c>
      <c r="C542" t="s">
        <v>1616</v>
      </c>
      <c r="D542" t="s">
        <v>385</v>
      </c>
      <c r="E542" s="133">
        <v>45840</v>
      </c>
      <c r="F542" s="2">
        <v>0.95233796296296302</v>
      </c>
      <c r="G542">
        <v>22</v>
      </c>
      <c r="H542" s="133">
        <v>45840</v>
      </c>
      <c r="I542" s="2">
        <v>0.45233796296296297</v>
      </c>
      <c r="J542">
        <v>10</v>
      </c>
      <c r="K542" t="s">
        <v>384</v>
      </c>
      <c r="L542" t="s">
        <v>434</v>
      </c>
      <c r="R542" t="s">
        <v>390</v>
      </c>
      <c r="S542">
        <v>13</v>
      </c>
      <c r="T542">
        <v>8</v>
      </c>
      <c r="U542" t="s">
        <v>1583</v>
      </c>
      <c r="V542" t="s">
        <v>1617</v>
      </c>
      <c r="W542">
        <v>1</v>
      </c>
      <c r="X542" t="s">
        <v>282</v>
      </c>
      <c r="AC542" t="s">
        <v>1618</v>
      </c>
      <c r="AE542" s="135"/>
    </row>
    <row r="543" spans="1:31" ht="12.5" customHeight="1" x14ac:dyDescent="0.35">
      <c r="A543" t="s">
        <v>396</v>
      </c>
      <c r="C543" t="s">
        <v>1619</v>
      </c>
      <c r="D543" t="s">
        <v>385</v>
      </c>
      <c r="E543" s="133">
        <v>45840</v>
      </c>
      <c r="F543" s="2">
        <v>0.95261574074074085</v>
      </c>
      <c r="G543">
        <v>22</v>
      </c>
      <c r="H543" s="133">
        <v>45840</v>
      </c>
      <c r="I543" s="2">
        <v>0.45261574074074074</v>
      </c>
      <c r="J543">
        <v>10</v>
      </c>
      <c r="K543" t="s">
        <v>434</v>
      </c>
      <c r="R543" t="s">
        <v>390</v>
      </c>
      <c r="S543">
        <v>11</v>
      </c>
      <c r="T543">
        <v>7</v>
      </c>
      <c r="U543" t="s">
        <v>469</v>
      </c>
      <c r="V543" t="s">
        <v>1620</v>
      </c>
      <c r="W543">
        <v>1</v>
      </c>
      <c r="X543" t="s">
        <v>355</v>
      </c>
      <c r="AC543" t="s">
        <v>1621</v>
      </c>
      <c r="AE543" s="135"/>
    </row>
    <row r="544" spans="1:31" ht="12.5" customHeight="1" x14ac:dyDescent="0.35">
      <c r="A544" t="s">
        <v>396</v>
      </c>
      <c r="C544" t="s">
        <v>1622</v>
      </c>
      <c r="D544" t="s">
        <v>385</v>
      </c>
      <c r="E544" s="133">
        <v>45840</v>
      </c>
      <c r="F544" s="2">
        <v>0.95270833333333327</v>
      </c>
      <c r="G544">
        <v>22</v>
      </c>
      <c r="H544" s="133">
        <v>45840</v>
      </c>
      <c r="I544" s="2">
        <v>0.45270833333333332</v>
      </c>
      <c r="J544">
        <v>10</v>
      </c>
      <c r="K544" t="s">
        <v>390</v>
      </c>
      <c r="L544" t="s">
        <v>434</v>
      </c>
      <c r="R544" t="s">
        <v>384</v>
      </c>
      <c r="S544">
        <v>12</v>
      </c>
      <c r="T544">
        <v>6</v>
      </c>
      <c r="U544" t="s">
        <v>449</v>
      </c>
      <c r="V544" t="s">
        <v>1623</v>
      </c>
      <c r="W544">
        <v>1</v>
      </c>
      <c r="X544" t="s">
        <v>383</v>
      </c>
      <c r="AC544" t="s">
        <v>1624</v>
      </c>
      <c r="AE544" s="135"/>
    </row>
    <row r="545" spans="1:31" ht="12.5" customHeight="1" x14ac:dyDescent="0.35">
      <c r="A545" t="s">
        <v>396</v>
      </c>
      <c r="C545" t="s">
        <v>1625</v>
      </c>
      <c r="D545" t="s">
        <v>385</v>
      </c>
      <c r="E545" s="133">
        <v>45840</v>
      </c>
      <c r="F545" s="2">
        <v>0.95284722222222218</v>
      </c>
      <c r="G545">
        <v>22</v>
      </c>
      <c r="H545" s="133">
        <v>45840</v>
      </c>
      <c r="I545" s="2">
        <v>0.45284722222222223</v>
      </c>
      <c r="J545">
        <v>10</v>
      </c>
      <c r="R545" t="s">
        <v>432</v>
      </c>
      <c r="S545">
        <v>10</v>
      </c>
      <c r="T545">
        <v>0</v>
      </c>
      <c r="U545">
        <v>0</v>
      </c>
      <c r="V545">
        <v>0</v>
      </c>
      <c r="W545">
        <v>1</v>
      </c>
      <c r="X545" t="s">
        <v>282</v>
      </c>
      <c r="AC545" t="s">
        <v>1626</v>
      </c>
      <c r="AE545" s="135"/>
    </row>
    <row r="546" spans="1:31" ht="12.5" customHeight="1" x14ac:dyDescent="0.35">
      <c r="A546" t="s">
        <v>396</v>
      </c>
      <c r="C546" t="s">
        <v>1627</v>
      </c>
      <c r="D546" t="s">
        <v>385</v>
      </c>
      <c r="E546" s="133">
        <v>45840</v>
      </c>
      <c r="F546" s="2">
        <v>0.95296296296296301</v>
      </c>
      <c r="G546">
        <v>22</v>
      </c>
      <c r="H546" s="133">
        <v>45840</v>
      </c>
      <c r="I546" s="2">
        <v>0.45296296296296296</v>
      </c>
      <c r="J546">
        <v>10</v>
      </c>
      <c r="K546" t="s">
        <v>387</v>
      </c>
      <c r="R546" t="s">
        <v>384</v>
      </c>
      <c r="S546">
        <v>21</v>
      </c>
      <c r="T546">
        <v>16</v>
      </c>
      <c r="U546" t="s">
        <v>1628</v>
      </c>
      <c r="V546" t="s">
        <v>1629</v>
      </c>
      <c r="W546">
        <v>1</v>
      </c>
      <c r="X546" t="s">
        <v>383</v>
      </c>
      <c r="AC546" t="s">
        <v>1630</v>
      </c>
      <c r="AE546" s="135"/>
    </row>
    <row r="547" spans="1:31" ht="12.5" customHeight="1" x14ac:dyDescent="0.35">
      <c r="A547" t="s">
        <v>396</v>
      </c>
      <c r="C547" t="s">
        <v>1631</v>
      </c>
      <c r="D547" t="s">
        <v>385</v>
      </c>
      <c r="E547" s="133">
        <v>45840</v>
      </c>
      <c r="F547" s="2">
        <v>0.953125</v>
      </c>
      <c r="G547">
        <v>22</v>
      </c>
      <c r="H547" s="133">
        <v>45840</v>
      </c>
      <c r="I547" s="2">
        <v>0.453125</v>
      </c>
      <c r="J547">
        <v>10</v>
      </c>
      <c r="K547" t="s">
        <v>384</v>
      </c>
      <c r="L547" t="s">
        <v>434</v>
      </c>
      <c r="R547" t="s">
        <v>390</v>
      </c>
      <c r="S547">
        <v>10</v>
      </c>
      <c r="T547">
        <v>6</v>
      </c>
      <c r="U547" t="s">
        <v>653</v>
      </c>
      <c r="V547" t="s">
        <v>1632</v>
      </c>
      <c r="W547">
        <v>1</v>
      </c>
      <c r="X547" t="s">
        <v>282</v>
      </c>
      <c r="AC547" t="s">
        <v>1633</v>
      </c>
      <c r="AE547" s="135"/>
    </row>
    <row r="548" spans="1:31" ht="12.5" customHeight="1" x14ac:dyDescent="0.35">
      <c r="A548" t="s">
        <v>396</v>
      </c>
      <c r="C548" t="s">
        <v>1634</v>
      </c>
      <c r="D548" t="s">
        <v>385</v>
      </c>
      <c r="E548" s="133">
        <v>45840</v>
      </c>
      <c r="F548" s="2">
        <v>0.95351851851851854</v>
      </c>
      <c r="G548">
        <v>22</v>
      </c>
      <c r="H548" s="133">
        <v>45840</v>
      </c>
      <c r="I548" s="2">
        <v>0.45351851851851849</v>
      </c>
      <c r="J548">
        <v>10</v>
      </c>
      <c r="R548" t="s">
        <v>432</v>
      </c>
      <c r="S548">
        <v>7</v>
      </c>
      <c r="T548">
        <v>0</v>
      </c>
      <c r="U548">
        <v>0</v>
      </c>
      <c r="V548">
        <v>0</v>
      </c>
      <c r="W548">
        <v>1</v>
      </c>
      <c r="X548" t="s">
        <v>667</v>
      </c>
      <c r="AC548" t="s">
        <v>1635</v>
      </c>
      <c r="AE548" s="135"/>
    </row>
    <row r="549" spans="1:31" ht="12.5" customHeight="1" x14ac:dyDescent="0.35">
      <c r="A549" t="s">
        <v>396</v>
      </c>
      <c r="C549" t="s">
        <v>1636</v>
      </c>
      <c r="D549" t="s">
        <v>385</v>
      </c>
      <c r="E549" s="133">
        <v>45840</v>
      </c>
      <c r="F549" s="2">
        <v>0.95363425925925915</v>
      </c>
      <c r="G549">
        <v>22</v>
      </c>
      <c r="H549" s="133">
        <v>45840</v>
      </c>
      <c r="I549" s="2">
        <v>0.45363425925925926</v>
      </c>
      <c r="J549">
        <v>10</v>
      </c>
      <c r="R549" t="s">
        <v>384</v>
      </c>
      <c r="S549">
        <v>14</v>
      </c>
      <c r="T549">
        <v>9</v>
      </c>
      <c r="U549" t="s">
        <v>1637</v>
      </c>
      <c r="V549" t="s">
        <v>1638</v>
      </c>
      <c r="W549">
        <v>1</v>
      </c>
      <c r="X549" t="s">
        <v>383</v>
      </c>
      <c r="AC549" t="s">
        <v>1639</v>
      </c>
      <c r="AE549" s="135"/>
    </row>
    <row r="550" spans="1:31" ht="12.5" customHeight="1" x14ac:dyDescent="0.35">
      <c r="A550" t="s">
        <v>396</v>
      </c>
      <c r="C550" t="s">
        <v>1640</v>
      </c>
      <c r="D550" t="s">
        <v>385</v>
      </c>
      <c r="E550" s="133">
        <v>45840</v>
      </c>
      <c r="F550" s="2">
        <v>0.95381944444444444</v>
      </c>
      <c r="G550">
        <v>22</v>
      </c>
      <c r="H550" s="133">
        <v>45840</v>
      </c>
      <c r="I550" s="2">
        <v>0.4538194444444445</v>
      </c>
      <c r="J550">
        <v>10</v>
      </c>
      <c r="K550" t="s">
        <v>390</v>
      </c>
      <c r="L550" t="s">
        <v>434</v>
      </c>
      <c r="R550" t="s">
        <v>384</v>
      </c>
      <c r="S550">
        <v>9</v>
      </c>
      <c r="T550">
        <v>4</v>
      </c>
      <c r="U550" t="s">
        <v>641</v>
      </c>
      <c r="V550" t="s">
        <v>1641</v>
      </c>
      <c r="W550">
        <v>1</v>
      </c>
      <c r="X550" t="s">
        <v>282</v>
      </c>
      <c r="AC550" t="s">
        <v>1642</v>
      </c>
      <c r="AE550" s="135"/>
    </row>
    <row r="551" spans="1:31" ht="12.5" customHeight="1" x14ac:dyDescent="0.35">
      <c r="A551" t="s">
        <v>396</v>
      </c>
      <c r="C551" t="s">
        <v>1643</v>
      </c>
      <c r="D551" t="s">
        <v>385</v>
      </c>
      <c r="E551" s="133">
        <v>45840</v>
      </c>
      <c r="F551" s="2">
        <v>0.95400462962962962</v>
      </c>
      <c r="G551">
        <v>22</v>
      </c>
      <c r="H551" s="133">
        <v>45840</v>
      </c>
      <c r="I551" s="2">
        <v>0.45400462962962962</v>
      </c>
      <c r="J551">
        <v>10</v>
      </c>
      <c r="K551" t="s">
        <v>434</v>
      </c>
      <c r="R551" t="s">
        <v>390</v>
      </c>
      <c r="S551">
        <v>7</v>
      </c>
      <c r="T551">
        <v>6</v>
      </c>
      <c r="U551" t="s">
        <v>922</v>
      </c>
      <c r="V551" t="s">
        <v>1644</v>
      </c>
      <c r="W551">
        <v>1</v>
      </c>
      <c r="X551" t="s">
        <v>355</v>
      </c>
      <c r="AC551" t="s">
        <v>1645</v>
      </c>
      <c r="AE551" s="135"/>
    </row>
    <row r="552" spans="1:31" ht="12.5" customHeight="1" x14ac:dyDescent="0.35">
      <c r="A552" t="s">
        <v>396</v>
      </c>
      <c r="C552" t="s">
        <v>1646</v>
      </c>
      <c r="D552" t="s">
        <v>385</v>
      </c>
      <c r="E552" s="133">
        <v>45840</v>
      </c>
      <c r="F552" s="2">
        <v>0.95416666666666661</v>
      </c>
      <c r="G552">
        <v>22</v>
      </c>
      <c r="H552" s="133">
        <v>45840</v>
      </c>
      <c r="I552" s="2">
        <v>0.45416666666666666</v>
      </c>
      <c r="J552">
        <v>10</v>
      </c>
      <c r="K552" t="s">
        <v>390</v>
      </c>
      <c r="L552" t="s">
        <v>434</v>
      </c>
      <c r="R552" t="s">
        <v>384</v>
      </c>
      <c r="S552">
        <v>15</v>
      </c>
      <c r="T552">
        <v>7</v>
      </c>
      <c r="U552" t="s">
        <v>1647</v>
      </c>
      <c r="V552" t="s">
        <v>1648</v>
      </c>
      <c r="W552">
        <v>1</v>
      </c>
      <c r="X552" t="s">
        <v>383</v>
      </c>
      <c r="AC552" t="s">
        <v>1649</v>
      </c>
      <c r="AE552" s="135"/>
    </row>
    <row r="553" spans="1:31" ht="12.5" customHeight="1" x14ac:dyDescent="0.35">
      <c r="A553" t="s">
        <v>396</v>
      </c>
      <c r="C553" t="s">
        <v>1650</v>
      </c>
      <c r="D553" t="s">
        <v>385</v>
      </c>
      <c r="E553" s="133">
        <v>45840</v>
      </c>
      <c r="F553" s="2">
        <v>0.95430555555555552</v>
      </c>
      <c r="G553">
        <v>22</v>
      </c>
      <c r="H553" s="133">
        <v>45840</v>
      </c>
      <c r="I553" s="2">
        <v>0.45430555555555557</v>
      </c>
      <c r="J553">
        <v>10</v>
      </c>
      <c r="K553" t="s">
        <v>434</v>
      </c>
      <c r="R553" t="s">
        <v>390</v>
      </c>
      <c r="S553">
        <v>7</v>
      </c>
      <c r="T553">
        <v>5</v>
      </c>
      <c r="U553" t="s">
        <v>395</v>
      </c>
      <c r="V553" t="s">
        <v>1651</v>
      </c>
      <c r="W553">
        <v>1</v>
      </c>
      <c r="X553" t="s">
        <v>355</v>
      </c>
      <c r="AC553" t="s">
        <v>1652</v>
      </c>
      <c r="AE553" s="135"/>
    </row>
    <row r="554" spans="1:31" ht="12.5" customHeight="1" x14ac:dyDescent="0.35">
      <c r="A554" t="s">
        <v>396</v>
      </c>
      <c r="C554" t="s">
        <v>1653</v>
      </c>
      <c r="D554" t="s">
        <v>385</v>
      </c>
      <c r="E554" s="133">
        <v>45840</v>
      </c>
      <c r="F554" s="2">
        <v>0.95439814814814816</v>
      </c>
      <c r="G554">
        <v>22</v>
      </c>
      <c r="H554" s="133">
        <v>45840</v>
      </c>
      <c r="I554" s="2">
        <v>0.45439814814814811</v>
      </c>
      <c r="J554">
        <v>10</v>
      </c>
      <c r="K554" t="s">
        <v>434</v>
      </c>
      <c r="R554" t="s">
        <v>384</v>
      </c>
      <c r="S554">
        <v>5</v>
      </c>
      <c r="T554">
        <v>3</v>
      </c>
      <c r="U554" t="s">
        <v>653</v>
      </c>
      <c r="V554" t="s">
        <v>1654</v>
      </c>
      <c r="W554">
        <v>1</v>
      </c>
      <c r="X554" t="s">
        <v>282</v>
      </c>
      <c r="AC554" t="s">
        <v>1655</v>
      </c>
      <c r="AE554" s="135"/>
    </row>
    <row r="555" spans="1:31" ht="12.5" customHeight="1" x14ac:dyDescent="0.35">
      <c r="A555" t="s">
        <v>396</v>
      </c>
      <c r="C555" t="s">
        <v>1656</v>
      </c>
      <c r="D555" t="s">
        <v>385</v>
      </c>
      <c r="E555" s="133">
        <v>45840</v>
      </c>
      <c r="F555" s="2">
        <v>0.9544907407407407</v>
      </c>
      <c r="G555">
        <v>22</v>
      </c>
      <c r="H555" s="133">
        <v>45840</v>
      </c>
      <c r="I555" s="2">
        <v>0.45449074074074075</v>
      </c>
      <c r="J555">
        <v>10</v>
      </c>
      <c r="K555" t="s">
        <v>434</v>
      </c>
      <c r="R555" t="s">
        <v>390</v>
      </c>
      <c r="S555">
        <v>6</v>
      </c>
      <c r="T555">
        <v>5</v>
      </c>
      <c r="U555" t="s">
        <v>476</v>
      </c>
      <c r="V555" t="s">
        <v>1657</v>
      </c>
      <c r="W555">
        <v>1</v>
      </c>
      <c r="X555" t="s">
        <v>355</v>
      </c>
      <c r="AC555" t="s">
        <v>1658</v>
      </c>
      <c r="AE555" s="135"/>
    </row>
    <row r="556" spans="1:31" ht="12.5" customHeight="1" x14ac:dyDescent="0.35">
      <c r="A556" t="s">
        <v>396</v>
      </c>
      <c r="C556" t="s">
        <v>1659</v>
      </c>
      <c r="D556" t="s">
        <v>385</v>
      </c>
      <c r="E556" s="133">
        <v>45840</v>
      </c>
      <c r="F556" s="2">
        <v>0.95460648148148142</v>
      </c>
      <c r="G556">
        <v>22</v>
      </c>
      <c r="H556" s="133">
        <v>45840</v>
      </c>
      <c r="I556" s="2">
        <v>0.45460648148148147</v>
      </c>
      <c r="J556">
        <v>10</v>
      </c>
      <c r="R556" t="s">
        <v>384</v>
      </c>
      <c r="S556">
        <v>13</v>
      </c>
      <c r="T556">
        <v>11</v>
      </c>
      <c r="U556" t="s">
        <v>909</v>
      </c>
      <c r="V556" t="s">
        <v>1660</v>
      </c>
      <c r="W556">
        <v>1</v>
      </c>
      <c r="X556" t="s">
        <v>282</v>
      </c>
      <c r="AC556" t="s">
        <v>1661</v>
      </c>
      <c r="AE556" s="135"/>
    </row>
    <row r="557" spans="1:31" ht="12.5" customHeight="1" x14ac:dyDescent="0.35">
      <c r="A557" t="s">
        <v>396</v>
      </c>
      <c r="C557" t="s">
        <v>1662</v>
      </c>
      <c r="D557" t="s">
        <v>385</v>
      </c>
      <c r="E557" s="133">
        <v>45840</v>
      </c>
      <c r="F557" s="2">
        <v>0.95469907407407406</v>
      </c>
      <c r="G557">
        <v>22</v>
      </c>
      <c r="H557" s="133">
        <v>45840</v>
      </c>
      <c r="I557" s="2">
        <v>0.45469907407407412</v>
      </c>
      <c r="J557">
        <v>10</v>
      </c>
      <c r="K557" t="s">
        <v>390</v>
      </c>
      <c r="L557" t="s">
        <v>434</v>
      </c>
      <c r="R557" t="s">
        <v>384</v>
      </c>
      <c r="S557">
        <v>7</v>
      </c>
      <c r="T557">
        <v>4</v>
      </c>
      <c r="U557" t="s">
        <v>1315</v>
      </c>
      <c r="V557" t="s">
        <v>1663</v>
      </c>
      <c r="W557">
        <v>1</v>
      </c>
      <c r="X557" t="s">
        <v>282</v>
      </c>
      <c r="AC557" t="s">
        <v>1664</v>
      </c>
      <c r="AE557" s="135"/>
    </row>
    <row r="558" spans="1:31" ht="12.5" customHeight="1" x14ac:dyDescent="0.35">
      <c r="A558" t="s">
        <v>396</v>
      </c>
      <c r="C558" t="s">
        <v>1665</v>
      </c>
      <c r="D558" t="s">
        <v>385</v>
      </c>
      <c r="E558" s="133">
        <v>45840</v>
      </c>
      <c r="F558" s="2">
        <v>0.95479166666666659</v>
      </c>
      <c r="G558">
        <v>22</v>
      </c>
      <c r="H558" s="133">
        <v>45840</v>
      </c>
      <c r="I558" s="2">
        <v>0.45479166666666665</v>
      </c>
      <c r="J558">
        <v>10</v>
      </c>
      <c r="K558" t="s">
        <v>390</v>
      </c>
      <c r="L558" t="s">
        <v>434</v>
      </c>
      <c r="R558" t="s">
        <v>384</v>
      </c>
      <c r="S558">
        <v>6</v>
      </c>
      <c r="T558">
        <v>4</v>
      </c>
      <c r="U558" t="s">
        <v>393</v>
      </c>
      <c r="V558" t="s">
        <v>1666</v>
      </c>
      <c r="W558">
        <v>1</v>
      </c>
      <c r="X558" t="s">
        <v>282</v>
      </c>
      <c r="AC558" t="s">
        <v>1667</v>
      </c>
      <c r="AE558" s="135"/>
    </row>
    <row r="559" spans="1:31" ht="12.5" customHeight="1" x14ac:dyDescent="0.35">
      <c r="A559" t="s">
        <v>396</v>
      </c>
      <c r="C559" t="s">
        <v>1668</v>
      </c>
      <c r="D559" t="s">
        <v>385</v>
      </c>
      <c r="E559" s="133">
        <v>45840</v>
      </c>
      <c r="F559" s="2">
        <v>0.9549305555555555</v>
      </c>
      <c r="G559">
        <v>22</v>
      </c>
      <c r="H559" s="133">
        <v>45840</v>
      </c>
      <c r="I559" s="2">
        <v>0.45493055555555556</v>
      </c>
      <c r="J559">
        <v>10</v>
      </c>
      <c r="R559" t="s">
        <v>432</v>
      </c>
      <c r="S559">
        <v>11</v>
      </c>
      <c r="T559">
        <v>0</v>
      </c>
      <c r="U559">
        <v>0</v>
      </c>
      <c r="V559">
        <v>0</v>
      </c>
      <c r="W559">
        <v>1</v>
      </c>
      <c r="X559" t="s">
        <v>355</v>
      </c>
      <c r="AC559" t="s">
        <v>1669</v>
      </c>
      <c r="AE559" s="135"/>
    </row>
    <row r="560" spans="1:31" ht="12.5" customHeight="1" x14ac:dyDescent="0.35">
      <c r="A560" t="s">
        <v>396</v>
      </c>
      <c r="C560" t="s">
        <v>1670</v>
      </c>
      <c r="D560" t="s">
        <v>385</v>
      </c>
      <c r="E560" s="133">
        <v>45840</v>
      </c>
      <c r="F560" s="2">
        <v>0.95502314814814815</v>
      </c>
      <c r="G560">
        <v>22</v>
      </c>
      <c r="H560" s="133">
        <v>45840</v>
      </c>
      <c r="I560" s="2">
        <v>0.45502314814814815</v>
      </c>
      <c r="J560">
        <v>10</v>
      </c>
      <c r="R560" t="s">
        <v>432</v>
      </c>
      <c r="S560">
        <v>5</v>
      </c>
      <c r="T560">
        <v>0</v>
      </c>
      <c r="U560">
        <v>0</v>
      </c>
      <c r="V560">
        <v>0</v>
      </c>
      <c r="W560">
        <v>1</v>
      </c>
      <c r="X560" t="s">
        <v>355</v>
      </c>
      <c r="AC560" t="s">
        <v>1671</v>
      </c>
      <c r="AE560" s="135"/>
    </row>
    <row r="561" spans="1:31" ht="12.5" customHeight="1" x14ac:dyDescent="0.35">
      <c r="A561" t="s">
        <v>396</v>
      </c>
      <c r="C561" t="s">
        <v>1672</v>
      </c>
      <c r="D561" t="s">
        <v>385</v>
      </c>
      <c r="E561" s="133">
        <v>45840</v>
      </c>
      <c r="F561" s="2">
        <v>0.95532407407407405</v>
      </c>
      <c r="G561">
        <v>22</v>
      </c>
      <c r="H561" s="133">
        <v>45840</v>
      </c>
      <c r="I561" s="2">
        <v>0.45532407407407405</v>
      </c>
      <c r="J561">
        <v>10</v>
      </c>
      <c r="R561" t="s">
        <v>432</v>
      </c>
      <c r="S561">
        <v>10</v>
      </c>
      <c r="T561">
        <v>0</v>
      </c>
      <c r="U561">
        <v>0</v>
      </c>
      <c r="V561">
        <v>0</v>
      </c>
      <c r="W561">
        <v>1</v>
      </c>
      <c r="X561" t="s">
        <v>282</v>
      </c>
      <c r="AC561" t="s">
        <v>1673</v>
      </c>
      <c r="AE561" s="135"/>
    </row>
    <row r="562" spans="1:31" ht="12.5" customHeight="1" x14ac:dyDescent="0.35">
      <c r="A562" t="s">
        <v>396</v>
      </c>
      <c r="C562" t="s">
        <v>1674</v>
      </c>
      <c r="D562" t="s">
        <v>385</v>
      </c>
      <c r="E562" s="133">
        <v>45840</v>
      </c>
      <c r="F562" s="2">
        <v>0.9555324074074073</v>
      </c>
      <c r="G562">
        <v>22</v>
      </c>
      <c r="H562" s="133">
        <v>45840</v>
      </c>
      <c r="I562" s="2">
        <v>0.45553240740740741</v>
      </c>
      <c r="J562">
        <v>10</v>
      </c>
      <c r="K562" t="s">
        <v>390</v>
      </c>
      <c r="L562" t="s">
        <v>434</v>
      </c>
      <c r="R562" t="s">
        <v>432</v>
      </c>
      <c r="S562">
        <v>8</v>
      </c>
      <c r="T562">
        <v>0</v>
      </c>
      <c r="U562">
        <v>0</v>
      </c>
      <c r="V562">
        <v>0</v>
      </c>
      <c r="W562">
        <v>1</v>
      </c>
      <c r="X562" t="s">
        <v>355</v>
      </c>
      <c r="AC562" t="s">
        <v>1675</v>
      </c>
      <c r="AE562" s="135"/>
    </row>
    <row r="563" spans="1:31" ht="12.5" customHeight="1" x14ac:dyDescent="0.35">
      <c r="A563" t="s">
        <v>396</v>
      </c>
      <c r="C563" t="s">
        <v>1676</v>
      </c>
      <c r="D563" t="s">
        <v>385</v>
      </c>
      <c r="E563" s="133">
        <v>45840</v>
      </c>
      <c r="F563" s="2">
        <v>0.95562499999999995</v>
      </c>
      <c r="G563">
        <v>22</v>
      </c>
      <c r="H563" s="133">
        <v>45840</v>
      </c>
      <c r="I563" s="2">
        <v>0.455625</v>
      </c>
      <c r="J563">
        <v>10</v>
      </c>
      <c r="R563" t="s">
        <v>432</v>
      </c>
      <c r="S563">
        <v>5</v>
      </c>
      <c r="T563">
        <v>0</v>
      </c>
      <c r="U563">
        <v>0</v>
      </c>
      <c r="V563">
        <v>0</v>
      </c>
      <c r="W563">
        <v>1</v>
      </c>
      <c r="X563" t="s">
        <v>355</v>
      </c>
      <c r="AC563" t="s">
        <v>1677</v>
      </c>
      <c r="AE563" s="135"/>
    </row>
    <row r="564" spans="1:31" ht="12.5" customHeight="1" x14ac:dyDescent="0.35">
      <c r="A564" t="s">
        <v>396</v>
      </c>
      <c r="C564" t="s">
        <v>1678</v>
      </c>
      <c r="D564" t="s">
        <v>385</v>
      </c>
      <c r="E564" s="133">
        <v>45840</v>
      </c>
      <c r="F564" s="2">
        <v>0.95592592592592596</v>
      </c>
      <c r="G564">
        <v>22</v>
      </c>
      <c r="H564" s="133">
        <v>45840</v>
      </c>
      <c r="I564" s="2">
        <v>0.4559259259259259</v>
      </c>
      <c r="J564">
        <v>10</v>
      </c>
      <c r="K564" t="s">
        <v>390</v>
      </c>
      <c r="L564" t="s">
        <v>434</v>
      </c>
      <c r="R564" t="s">
        <v>432</v>
      </c>
      <c r="S564">
        <v>6</v>
      </c>
      <c r="T564">
        <v>0</v>
      </c>
      <c r="U564">
        <v>0</v>
      </c>
      <c r="V564">
        <v>0</v>
      </c>
      <c r="W564">
        <v>1</v>
      </c>
      <c r="X564" t="s">
        <v>282</v>
      </c>
      <c r="AC564" t="s">
        <v>1679</v>
      </c>
      <c r="AE564" s="135"/>
    </row>
    <row r="565" spans="1:31" ht="12.5" customHeight="1" x14ac:dyDescent="0.35">
      <c r="A565" t="s">
        <v>396</v>
      </c>
      <c r="C565" t="s">
        <v>1680</v>
      </c>
      <c r="D565" t="s">
        <v>385</v>
      </c>
      <c r="E565" s="133">
        <v>45840</v>
      </c>
      <c r="F565" s="2">
        <v>0.95608796296296295</v>
      </c>
      <c r="G565">
        <v>22</v>
      </c>
      <c r="H565" s="133">
        <v>45840</v>
      </c>
      <c r="I565" s="2">
        <v>0.456087962962963</v>
      </c>
      <c r="J565">
        <v>10</v>
      </c>
      <c r="K565" t="s">
        <v>434</v>
      </c>
      <c r="L565" t="s">
        <v>388</v>
      </c>
      <c r="R565" t="s">
        <v>390</v>
      </c>
      <c r="S565">
        <v>7</v>
      </c>
      <c r="T565">
        <v>7</v>
      </c>
      <c r="U565">
        <v>1</v>
      </c>
      <c r="V565" t="s">
        <v>1681</v>
      </c>
      <c r="W565">
        <v>1</v>
      </c>
      <c r="X565" t="s">
        <v>355</v>
      </c>
      <c r="AC565" t="s">
        <v>1682</v>
      </c>
      <c r="AE565" s="135"/>
    </row>
    <row r="566" spans="1:31" ht="12.5" customHeight="1" x14ac:dyDescent="0.35">
      <c r="A566" t="s">
        <v>396</v>
      </c>
      <c r="C566" t="s">
        <v>1683</v>
      </c>
      <c r="D566" t="s">
        <v>385</v>
      </c>
      <c r="E566" s="133">
        <v>45840</v>
      </c>
      <c r="F566" s="2">
        <v>0.9564583333333333</v>
      </c>
      <c r="G566">
        <v>22</v>
      </c>
      <c r="H566" s="133">
        <v>45840</v>
      </c>
      <c r="I566" s="2">
        <v>0.45645833333333335</v>
      </c>
      <c r="J566">
        <v>10</v>
      </c>
      <c r="K566" t="s">
        <v>390</v>
      </c>
      <c r="L566" t="s">
        <v>434</v>
      </c>
      <c r="R566" t="s">
        <v>384</v>
      </c>
      <c r="S566">
        <v>13</v>
      </c>
      <c r="T566">
        <v>8</v>
      </c>
      <c r="U566" t="s">
        <v>1583</v>
      </c>
      <c r="V566" t="s">
        <v>1684</v>
      </c>
      <c r="W566">
        <v>1</v>
      </c>
      <c r="X566" t="s">
        <v>282</v>
      </c>
      <c r="AC566" t="s">
        <v>1685</v>
      </c>
      <c r="AE566" s="135"/>
    </row>
    <row r="567" spans="1:31" ht="12.5" customHeight="1" x14ac:dyDescent="0.35">
      <c r="A567" t="s">
        <v>396</v>
      </c>
      <c r="C567" t="s">
        <v>1686</v>
      </c>
      <c r="D567" t="s">
        <v>385</v>
      </c>
      <c r="E567" s="133">
        <v>45840</v>
      </c>
      <c r="F567" s="2">
        <v>0.95655092592592583</v>
      </c>
      <c r="G567">
        <v>22</v>
      </c>
      <c r="H567" s="133">
        <v>45840</v>
      </c>
      <c r="I567" s="2">
        <v>0.45655092592592594</v>
      </c>
      <c r="J567">
        <v>10</v>
      </c>
      <c r="K567" t="s">
        <v>434</v>
      </c>
      <c r="R567" t="s">
        <v>384</v>
      </c>
      <c r="S567">
        <v>20</v>
      </c>
      <c r="T567">
        <v>15</v>
      </c>
      <c r="U567" t="s">
        <v>453</v>
      </c>
      <c r="V567" t="s">
        <v>1687</v>
      </c>
      <c r="W567">
        <v>1</v>
      </c>
      <c r="X567" t="s">
        <v>282</v>
      </c>
      <c r="AC567" t="s">
        <v>1688</v>
      </c>
      <c r="AE567" s="135"/>
    </row>
    <row r="568" spans="1:31" ht="12.5" customHeight="1" x14ac:dyDescent="0.35">
      <c r="A568" t="s">
        <v>396</v>
      </c>
      <c r="C568" t="s">
        <v>1689</v>
      </c>
      <c r="D568" t="s">
        <v>385</v>
      </c>
      <c r="E568" s="133">
        <v>45840</v>
      </c>
      <c r="F568" s="2">
        <v>0.95671296296296304</v>
      </c>
      <c r="G568">
        <v>22</v>
      </c>
      <c r="H568" s="133">
        <v>45840</v>
      </c>
      <c r="I568" s="2">
        <v>0.45671296296296293</v>
      </c>
      <c r="J568">
        <v>10</v>
      </c>
      <c r="K568" t="s">
        <v>390</v>
      </c>
      <c r="L568" t="s">
        <v>434</v>
      </c>
      <c r="R568" t="s">
        <v>384</v>
      </c>
      <c r="S568">
        <v>15</v>
      </c>
      <c r="T568">
        <v>9</v>
      </c>
      <c r="U568" t="s">
        <v>653</v>
      </c>
      <c r="V568" t="s">
        <v>1690</v>
      </c>
      <c r="W568">
        <v>1</v>
      </c>
      <c r="X568" t="s">
        <v>282</v>
      </c>
      <c r="AC568" t="s">
        <v>1691</v>
      </c>
      <c r="AE568" s="135"/>
    </row>
    <row r="569" spans="1:31" ht="12.5" customHeight="1" x14ac:dyDescent="0.35">
      <c r="A569" t="s">
        <v>396</v>
      </c>
      <c r="C569" t="s">
        <v>1692</v>
      </c>
      <c r="D569" t="s">
        <v>385</v>
      </c>
      <c r="E569" s="133">
        <v>45840</v>
      </c>
      <c r="F569" s="2">
        <v>0.95682870370370365</v>
      </c>
      <c r="G569">
        <v>22</v>
      </c>
      <c r="H569" s="133">
        <v>45840</v>
      </c>
      <c r="I569" s="2">
        <v>0.45682870370370371</v>
      </c>
      <c r="J569">
        <v>10</v>
      </c>
      <c r="K569" t="s">
        <v>434</v>
      </c>
      <c r="R569" t="s">
        <v>390</v>
      </c>
      <c r="S569">
        <v>6</v>
      </c>
      <c r="T569">
        <v>3</v>
      </c>
      <c r="U569" t="s">
        <v>449</v>
      </c>
      <c r="V569" t="s">
        <v>1693</v>
      </c>
      <c r="W569">
        <v>1</v>
      </c>
      <c r="X569" t="s">
        <v>355</v>
      </c>
      <c r="AC569" t="s">
        <v>1694</v>
      </c>
      <c r="AE569" s="135"/>
    </row>
    <row r="570" spans="1:31" ht="12.5" customHeight="1" x14ac:dyDescent="0.35">
      <c r="A570" t="s">
        <v>396</v>
      </c>
      <c r="C570" t="s">
        <v>1695</v>
      </c>
      <c r="D570" t="s">
        <v>385</v>
      </c>
      <c r="E570" s="133">
        <v>45840</v>
      </c>
      <c r="F570" s="2">
        <v>0.9573842592592593</v>
      </c>
      <c r="G570">
        <v>22</v>
      </c>
      <c r="H570" s="133">
        <v>45840</v>
      </c>
      <c r="I570" s="2">
        <v>0.45738425925925924</v>
      </c>
      <c r="J570">
        <v>10</v>
      </c>
      <c r="R570" t="s">
        <v>432</v>
      </c>
      <c r="S570">
        <v>12</v>
      </c>
      <c r="T570">
        <v>0</v>
      </c>
      <c r="U570">
        <v>0</v>
      </c>
      <c r="V570">
        <v>0</v>
      </c>
      <c r="W570">
        <v>1</v>
      </c>
      <c r="X570" t="s">
        <v>282</v>
      </c>
      <c r="AC570" t="s">
        <v>1696</v>
      </c>
      <c r="AE570" s="135"/>
    </row>
    <row r="571" spans="1:31" ht="12.5" customHeight="1" x14ac:dyDescent="0.35">
      <c r="A571" t="s">
        <v>396</v>
      </c>
      <c r="C571" t="s">
        <v>1697</v>
      </c>
      <c r="D571" t="s">
        <v>385</v>
      </c>
      <c r="E571" s="133">
        <v>45840</v>
      </c>
      <c r="F571" s="2">
        <v>0.9575231481481481</v>
      </c>
      <c r="G571">
        <v>22</v>
      </c>
      <c r="H571" s="133">
        <v>45840</v>
      </c>
      <c r="I571" s="2">
        <v>0.45752314814814815</v>
      </c>
      <c r="J571">
        <v>10</v>
      </c>
      <c r="R571" t="s">
        <v>432</v>
      </c>
      <c r="S571">
        <v>8</v>
      </c>
      <c r="T571">
        <v>0</v>
      </c>
      <c r="U571">
        <v>0</v>
      </c>
      <c r="V571">
        <v>0</v>
      </c>
      <c r="W571">
        <v>1</v>
      </c>
      <c r="X571" t="s">
        <v>355</v>
      </c>
      <c r="AC571" t="s">
        <v>1698</v>
      </c>
      <c r="AE571" s="135"/>
    </row>
    <row r="572" spans="1:31" ht="12.5" customHeight="1" x14ac:dyDescent="0.35">
      <c r="A572" t="s">
        <v>396</v>
      </c>
      <c r="C572" t="s">
        <v>1699</v>
      </c>
      <c r="D572" t="s">
        <v>385</v>
      </c>
      <c r="E572" s="133">
        <v>45840</v>
      </c>
      <c r="F572" s="2">
        <v>0.95770833333333327</v>
      </c>
      <c r="G572">
        <v>22</v>
      </c>
      <c r="H572" s="133">
        <v>45840</v>
      </c>
      <c r="I572" s="2">
        <v>0.45770833333333333</v>
      </c>
      <c r="J572">
        <v>10</v>
      </c>
      <c r="K572" t="s">
        <v>388</v>
      </c>
      <c r="R572" t="s">
        <v>384</v>
      </c>
      <c r="S572">
        <v>27</v>
      </c>
      <c r="T572">
        <v>15</v>
      </c>
      <c r="U572" t="s">
        <v>1339</v>
      </c>
      <c r="V572" t="s">
        <v>1700</v>
      </c>
      <c r="W572">
        <v>1</v>
      </c>
      <c r="X572" t="s">
        <v>383</v>
      </c>
      <c r="AC572" t="s">
        <v>1701</v>
      </c>
      <c r="AE572" s="135"/>
    </row>
    <row r="573" spans="1:31" ht="12.5" customHeight="1" x14ac:dyDescent="0.35">
      <c r="A573" t="s">
        <v>396</v>
      </c>
      <c r="C573" t="s">
        <v>1702</v>
      </c>
      <c r="D573" t="s">
        <v>385</v>
      </c>
      <c r="E573" s="133">
        <v>45840</v>
      </c>
      <c r="F573" s="2">
        <v>0.95858796296296289</v>
      </c>
      <c r="G573">
        <v>23</v>
      </c>
      <c r="H573" s="133">
        <v>45840</v>
      </c>
      <c r="I573" s="2">
        <v>0.45858796296296295</v>
      </c>
      <c r="J573">
        <v>11</v>
      </c>
      <c r="K573" t="s">
        <v>390</v>
      </c>
      <c r="L573" t="s">
        <v>434</v>
      </c>
      <c r="R573" t="s">
        <v>384</v>
      </c>
      <c r="S573">
        <v>13</v>
      </c>
      <c r="T573">
        <v>7</v>
      </c>
      <c r="U573" t="s">
        <v>691</v>
      </c>
      <c r="V573" t="s">
        <v>1703</v>
      </c>
      <c r="W573">
        <v>1</v>
      </c>
      <c r="X573" t="s">
        <v>282</v>
      </c>
      <c r="AC573" t="s">
        <v>1704</v>
      </c>
      <c r="AE573" s="135"/>
    </row>
    <row r="574" spans="1:31" ht="12.5" customHeight="1" x14ac:dyDescent="0.35">
      <c r="A574" t="s">
        <v>396</v>
      </c>
      <c r="C574" t="s">
        <v>1705</v>
      </c>
      <c r="D574" t="s">
        <v>385</v>
      </c>
      <c r="E574" s="133">
        <v>45840</v>
      </c>
      <c r="F574" s="2">
        <v>0.95868055555555554</v>
      </c>
      <c r="G574">
        <v>23</v>
      </c>
      <c r="H574" s="133">
        <v>45840</v>
      </c>
      <c r="I574" s="2">
        <v>0.45868055555555554</v>
      </c>
      <c r="J574">
        <v>11</v>
      </c>
      <c r="K574" t="s">
        <v>390</v>
      </c>
      <c r="L574" t="s">
        <v>434</v>
      </c>
      <c r="R574" t="s">
        <v>384</v>
      </c>
      <c r="S574">
        <v>10</v>
      </c>
      <c r="T574">
        <v>5</v>
      </c>
      <c r="U574" t="s">
        <v>449</v>
      </c>
      <c r="V574" t="s">
        <v>1706</v>
      </c>
      <c r="W574">
        <v>1</v>
      </c>
      <c r="X574" t="s">
        <v>282</v>
      </c>
      <c r="AC574" t="s">
        <v>1707</v>
      </c>
      <c r="AE574" s="135"/>
    </row>
    <row r="575" spans="1:31" ht="12.5" customHeight="1" x14ac:dyDescent="0.35">
      <c r="A575" t="s">
        <v>396</v>
      </c>
      <c r="C575" t="s">
        <v>1708</v>
      </c>
      <c r="D575" t="s">
        <v>385</v>
      </c>
      <c r="E575" s="133">
        <v>45840</v>
      </c>
      <c r="F575" s="2">
        <v>0.95877314814814818</v>
      </c>
      <c r="G575">
        <v>23</v>
      </c>
      <c r="H575" s="133">
        <v>45840</v>
      </c>
      <c r="I575" s="2">
        <v>0.45877314814814812</v>
      </c>
      <c r="J575">
        <v>11</v>
      </c>
      <c r="K575" t="s">
        <v>434</v>
      </c>
      <c r="R575" t="s">
        <v>384</v>
      </c>
      <c r="S575">
        <v>10</v>
      </c>
      <c r="T575">
        <v>5</v>
      </c>
      <c r="U575" t="s">
        <v>449</v>
      </c>
      <c r="V575" t="s">
        <v>1709</v>
      </c>
      <c r="W575">
        <v>1</v>
      </c>
      <c r="X575" t="s">
        <v>282</v>
      </c>
      <c r="AC575" t="s">
        <v>1710</v>
      </c>
      <c r="AE575" s="135"/>
    </row>
    <row r="576" spans="1:31" ht="12.5" customHeight="1" x14ac:dyDescent="0.35">
      <c r="A576" t="s">
        <v>396</v>
      </c>
      <c r="C576" t="s">
        <v>1711</v>
      </c>
      <c r="D576" t="s">
        <v>385</v>
      </c>
      <c r="E576" s="133">
        <v>45840</v>
      </c>
      <c r="F576" s="2">
        <v>0.95884259259259252</v>
      </c>
      <c r="G576">
        <v>23</v>
      </c>
      <c r="H576" s="133">
        <v>45840</v>
      </c>
      <c r="I576" s="2">
        <v>0.45884259259259258</v>
      </c>
      <c r="J576">
        <v>11</v>
      </c>
      <c r="K576" t="s">
        <v>434</v>
      </c>
      <c r="R576" t="s">
        <v>384</v>
      </c>
      <c r="S576">
        <v>12</v>
      </c>
      <c r="T576">
        <v>9</v>
      </c>
      <c r="U576" t="s">
        <v>453</v>
      </c>
      <c r="V576" t="s">
        <v>1712</v>
      </c>
      <c r="W576">
        <v>1</v>
      </c>
      <c r="X576" t="s">
        <v>282</v>
      </c>
      <c r="AC576" t="s">
        <v>1713</v>
      </c>
      <c r="AE576" s="135"/>
    </row>
    <row r="577" spans="1:31" ht="12.5" customHeight="1" x14ac:dyDescent="0.35">
      <c r="A577" t="s">
        <v>396</v>
      </c>
      <c r="C577" t="s">
        <v>1714</v>
      </c>
      <c r="D577" t="s">
        <v>385</v>
      </c>
      <c r="E577" s="133">
        <v>45840</v>
      </c>
      <c r="F577" s="2">
        <v>0.9590277777777777</v>
      </c>
      <c r="G577">
        <v>23</v>
      </c>
      <c r="H577" s="133">
        <v>45840</v>
      </c>
      <c r="I577" s="2">
        <v>0.45902777777777781</v>
      </c>
      <c r="J577">
        <v>11</v>
      </c>
      <c r="K577" t="s">
        <v>434</v>
      </c>
      <c r="R577" t="s">
        <v>384</v>
      </c>
      <c r="S577">
        <v>11</v>
      </c>
      <c r="T577">
        <v>10</v>
      </c>
      <c r="U577" t="s">
        <v>787</v>
      </c>
      <c r="V577" t="s">
        <v>1715</v>
      </c>
      <c r="W577">
        <v>1</v>
      </c>
      <c r="X577" t="s">
        <v>282</v>
      </c>
      <c r="AC577" t="s">
        <v>1716</v>
      </c>
      <c r="AE577" s="135"/>
    </row>
    <row r="578" spans="1:31" ht="12.5" customHeight="1" x14ac:dyDescent="0.35">
      <c r="A578" t="s">
        <v>396</v>
      </c>
      <c r="C578" t="s">
        <v>1717</v>
      </c>
      <c r="D578" t="s">
        <v>385</v>
      </c>
      <c r="E578" s="133">
        <v>45840</v>
      </c>
      <c r="F578" s="2">
        <v>0.95909722222222227</v>
      </c>
      <c r="G578">
        <v>23</v>
      </c>
      <c r="H578" s="133">
        <v>45840</v>
      </c>
      <c r="I578" s="2">
        <v>0.45909722222222221</v>
      </c>
      <c r="J578">
        <v>11</v>
      </c>
      <c r="K578" t="s">
        <v>388</v>
      </c>
      <c r="R578" t="s">
        <v>384</v>
      </c>
      <c r="S578">
        <v>41</v>
      </c>
      <c r="T578">
        <v>37</v>
      </c>
      <c r="U578" t="s">
        <v>1718</v>
      </c>
      <c r="V578" t="s">
        <v>1719</v>
      </c>
      <c r="W578">
        <v>1</v>
      </c>
      <c r="X578" t="s">
        <v>841</v>
      </c>
      <c r="AC578" t="s">
        <v>1720</v>
      </c>
      <c r="AE578" s="135"/>
    </row>
    <row r="579" spans="1:31" ht="12.5" customHeight="1" x14ac:dyDescent="0.35">
      <c r="A579" t="s">
        <v>396</v>
      </c>
      <c r="C579" t="s">
        <v>1721</v>
      </c>
      <c r="D579" t="s">
        <v>385</v>
      </c>
      <c r="E579" s="133">
        <v>45840</v>
      </c>
      <c r="F579" s="2">
        <v>0.95930555555555552</v>
      </c>
      <c r="G579">
        <v>23</v>
      </c>
      <c r="H579" s="133">
        <v>45840</v>
      </c>
      <c r="I579" s="2">
        <v>0.45930555555555558</v>
      </c>
      <c r="J579">
        <v>11</v>
      </c>
      <c r="R579" t="s">
        <v>384</v>
      </c>
      <c r="S579">
        <v>25</v>
      </c>
      <c r="T579">
        <v>20</v>
      </c>
      <c r="U579" t="s">
        <v>496</v>
      </c>
      <c r="V579" t="s">
        <v>1722</v>
      </c>
      <c r="W579">
        <v>1</v>
      </c>
      <c r="X579" t="s">
        <v>383</v>
      </c>
      <c r="AC579" t="s">
        <v>1723</v>
      </c>
      <c r="AE579" s="135"/>
    </row>
    <row r="580" spans="1:31" ht="12.5" customHeight="1" x14ac:dyDescent="0.35">
      <c r="A580" t="s">
        <v>396</v>
      </c>
      <c r="C580" t="s">
        <v>1724</v>
      </c>
      <c r="D580" t="s">
        <v>385</v>
      </c>
      <c r="E580" s="133">
        <v>45840</v>
      </c>
      <c r="F580" s="2">
        <v>0.95939814814814817</v>
      </c>
      <c r="G580">
        <v>23</v>
      </c>
      <c r="H580" s="133">
        <v>45840</v>
      </c>
      <c r="I580" s="2">
        <v>0.45939814814814817</v>
      </c>
      <c r="J580">
        <v>11</v>
      </c>
      <c r="R580" t="s">
        <v>384</v>
      </c>
      <c r="S580">
        <v>20</v>
      </c>
      <c r="T580">
        <v>14</v>
      </c>
      <c r="U580" t="s">
        <v>1613</v>
      </c>
      <c r="V580" t="s">
        <v>1725</v>
      </c>
      <c r="W580">
        <v>1</v>
      </c>
      <c r="X580" t="s">
        <v>1354</v>
      </c>
      <c r="AC580" t="s">
        <v>1726</v>
      </c>
      <c r="AE580" s="135"/>
    </row>
    <row r="581" spans="1:31" ht="12.5" customHeight="1" x14ac:dyDescent="0.35">
      <c r="A581" t="s">
        <v>396</v>
      </c>
      <c r="C581" t="s">
        <v>1727</v>
      </c>
      <c r="D581" t="s">
        <v>385</v>
      </c>
      <c r="E581" s="133">
        <v>45840</v>
      </c>
      <c r="F581" s="2">
        <v>0.95956018518518515</v>
      </c>
      <c r="G581">
        <v>23</v>
      </c>
      <c r="H581" s="133">
        <v>45840</v>
      </c>
      <c r="I581" s="2">
        <v>0.45956018518518515</v>
      </c>
      <c r="J581">
        <v>11</v>
      </c>
      <c r="R581" t="s">
        <v>384</v>
      </c>
      <c r="S581">
        <v>27</v>
      </c>
      <c r="T581">
        <v>23</v>
      </c>
      <c r="U581" t="s">
        <v>1728</v>
      </c>
      <c r="V581" t="s">
        <v>1729</v>
      </c>
      <c r="W581">
        <v>1</v>
      </c>
      <c r="X581" t="s">
        <v>1354</v>
      </c>
      <c r="AC581" t="s">
        <v>1730</v>
      </c>
      <c r="AE581" s="135"/>
    </row>
    <row r="582" spans="1:31" ht="12.5" customHeight="1" x14ac:dyDescent="0.35">
      <c r="A582" t="s">
        <v>396</v>
      </c>
      <c r="C582" t="s">
        <v>1731</v>
      </c>
      <c r="D582" t="s">
        <v>385</v>
      </c>
      <c r="E582" s="133">
        <v>45840</v>
      </c>
      <c r="F582" s="2">
        <v>0.95974537037037033</v>
      </c>
      <c r="G582">
        <v>23</v>
      </c>
      <c r="H582" s="133">
        <v>45840</v>
      </c>
      <c r="I582" s="2">
        <v>0.45974537037037039</v>
      </c>
      <c r="J582">
        <v>11</v>
      </c>
      <c r="K582" t="s">
        <v>390</v>
      </c>
      <c r="L582" t="s">
        <v>434</v>
      </c>
      <c r="R582" t="s">
        <v>384</v>
      </c>
      <c r="S582">
        <v>12</v>
      </c>
      <c r="T582">
        <v>9</v>
      </c>
      <c r="U582" t="s">
        <v>453</v>
      </c>
      <c r="V582" t="s">
        <v>1732</v>
      </c>
      <c r="W582">
        <v>1</v>
      </c>
      <c r="X582" t="s">
        <v>282</v>
      </c>
      <c r="AC582" t="s">
        <v>1733</v>
      </c>
      <c r="AE582" s="135"/>
    </row>
    <row r="583" spans="1:31" ht="12.5" customHeight="1" x14ac:dyDescent="0.35">
      <c r="A583" t="s">
        <v>396</v>
      </c>
      <c r="C583" t="s">
        <v>1734</v>
      </c>
      <c r="D583" t="s">
        <v>385</v>
      </c>
      <c r="E583" s="133">
        <v>45840</v>
      </c>
      <c r="F583" s="2">
        <v>0.95988425925925924</v>
      </c>
      <c r="G583">
        <v>23</v>
      </c>
      <c r="H583" s="133">
        <v>45840</v>
      </c>
      <c r="I583" s="2">
        <v>0.4598842592592593</v>
      </c>
      <c r="J583">
        <v>11</v>
      </c>
      <c r="K583" t="s">
        <v>434</v>
      </c>
      <c r="R583" t="s">
        <v>384</v>
      </c>
      <c r="S583">
        <v>9</v>
      </c>
      <c r="T583">
        <v>8</v>
      </c>
      <c r="U583" t="s">
        <v>389</v>
      </c>
      <c r="V583" t="s">
        <v>1735</v>
      </c>
      <c r="W583">
        <v>1</v>
      </c>
      <c r="X583" t="s">
        <v>282</v>
      </c>
      <c r="AC583" t="s">
        <v>1736</v>
      </c>
      <c r="AE583" s="135"/>
    </row>
    <row r="584" spans="1:31" ht="12.5" customHeight="1" x14ac:dyDescent="0.35">
      <c r="A584" t="s">
        <v>396</v>
      </c>
      <c r="C584" t="s">
        <v>1737</v>
      </c>
      <c r="D584" t="s">
        <v>385</v>
      </c>
      <c r="E584" s="133">
        <v>45840</v>
      </c>
      <c r="F584" s="2">
        <v>0.96020833333333344</v>
      </c>
      <c r="G584">
        <v>23</v>
      </c>
      <c r="H584" s="133">
        <v>45840</v>
      </c>
      <c r="I584" s="2">
        <v>0.46020833333333333</v>
      </c>
      <c r="J584">
        <v>11</v>
      </c>
      <c r="R584" t="s">
        <v>432</v>
      </c>
      <c r="S584">
        <v>8</v>
      </c>
      <c r="T584">
        <v>0</v>
      </c>
      <c r="U584">
        <v>0</v>
      </c>
      <c r="V584">
        <v>0</v>
      </c>
      <c r="W584">
        <v>1</v>
      </c>
      <c r="X584" t="s">
        <v>282</v>
      </c>
      <c r="AC584" t="s">
        <v>1738</v>
      </c>
      <c r="AE584" s="135"/>
    </row>
    <row r="585" spans="1:31" ht="12.5" customHeight="1" x14ac:dyDescent="0.35">
      <c r="A585" t="s">
        <v>396</v>
      </c>
      <c r="C585" t="s">
        <v>1739</v>
      </c>
      <c r="D585" t="s">
        <v>385</v>
      </c>
      <c r="E585" s="133">
        <v>45840</v>
      </c>
      <c r="F585" s="2">
        <v>0.96027777777777779</v>
      </c>
      <c r="G585">
        <v>23</v>
      </c>
      <c r="H585" s="133">
        <v>45840</v>
      </c>
      <c r="I585" s="2">
        <v>0.46027777777777779</v>
      </c>
      <c r="J585">
        <v>11</v>
      </c>
      <c r="K585" t="s">
        <v>434</v>
      </c>
      <c r="R585" t="s">
        <v>384</v>
      </c>
      <c r="S585">
        <v>22</v>
      </c>
      <c r="T585">
        <v>20</v>
      </c>
      <c r="U585" t="s">
        <v>787</v>
      </c>
      <c r="V585" t="s">
        <v>1740</v>
      </c>
      <c r="W585">
        <v>1</v>
      </c>
      <c r="X585" t="s">
        <v>282</v>
      </c>
      <c r="AC585" t="s">
        <v>1741</v>
      </c>
      <c r="AE585" s="135"/>
    </row>
    <row r="586" spans="1:31" ht="12.5" customHeight="1" x14ac:dyDescent="0.35">
      <c r="A586" t="s">
        <v>396</v>
      </c>
      <c r="C586" t="s">
        <v>1742</v>
      </c>
      <c r="D586" t="s">
        <v>385</v>
      </c>
      <c r="E586" s="133">
        <v>45840</v>
      </c>
      <c r="F586" s="2">
        <v>0.96136574074074066</v>
      </c>
      <c r="G586">
        <v>23</v>
      </c>
      <c r="H586" s="133">
        <v>45840</v>
      </c>
      <c r="I586" s="2">
        <v>0.46136574074074077</v>
      </c>
      <c r="J586">
        <v>11</v>
      </c>
      <c r="R586" t="s">
        <v>30</v>
      </c>
      <c r="W586">
        <v>1</v>
      </c>
      <c r="X586" t="s">
        <v>30</v>
      </c>
      <c r="AC586" t="s">
        <v>1743</v>
      </c>
      <c r="AE586" s="135"/>
    </row>
    <row r="587" spans="1:31" ht="12.5" customHeight="1" x14ac:dyDescent="0.35">
      <c r="A587" t="s">
        <v>396</v>
      </c>
      <c r="C587" t="s">
        <v>1744</v>
      </c>
      <c r="D587" t="s">
        <v>385</v>
      </c>
      <c r="E587" s="133">
        <v>45840</v>
      </c>
      <c r="F587" s="2">
        <v>0.96164351851851848</v>
      </c>
      <c r="G587">
        <v>23</v>
      </c>
      <c r="H587" s="133">
        <v>45840</v>
      </c>
      <c r="I587" s="2">
        <v>0.46164351851851854</v>
      </c>
      <c r="J587">
        <v>11</v>
      </c>
      <c r="K587" t="s">
        <v>388</v>
      </c>
      <c r="R587" t="s">
        <v>384</v>
      </c>
      <c r="S587">
        <v>14</v>
      </c>
      <c r="T587">
        <v>12</v>
      </c>
      <c r="U587" t="s">
        <v>922</v>
      </c>
      <c r="V587" t="s">
        <v>1745</v>
      </c>
      <c r="W587">
        <v>1</v>
      </c>
      <c r="X587" t="s">
        <v>282</v>
      </c>
      <c r="AC587" t="s">
        <v>1746</v>
      </c>
      <c r="AE587" s="135"/>
    </row>
    <row r="588" spans="1:31" ht="12.5" customHeight="1" x14ac:dyDescent="0.35">
      <c r="A588" t="s">
        <v>396</v>
      </c>
      <c r="C588" t="s">
        <v>1747</v>
      </c>
      <c r="D588" t="s">
        <v>385</v>
      </c>
      <c r="E588" s="133">
        <v>45840</v>
      </c>
      <c r="F588" s="2">
        <v>0.9617592592592592</v>
      </c>
      <c r="G588">
        <v>23</v>
      </c>
      <c r="H588" s="133">
        <v>45840</v>
      </c>
      <c r="I588" s="2">
        <v>0.46175925925925926</v>
      </c>
      <c r="J588">
        <v>11</v>
      </c>
      <c r="K588" t="s">
        <v>388</v>
      </c>
      <c r="L588" t="s">
        <v>387</v>
      </c>
      <c r="R588" t="s">
        <v>384</v>
      </c>
      <c r="S588">
        <v>14</v>
      </c>
      <c r="T588">
        <v>9</v>
      </c>
      <c r="U588" t="s">
        <v>1637</v>
      </c>
      <c r="V588" t="s">
        <v>1748</v>
      </c>
      <c r="W588">
        <v>1</v>
      </c>
      <c r="X588" t="s">
        <v>282</v>
      </c>
      <c r="AC588" t="s">
        <v>1749</v>
      </c>
      <c r="AE588" s="135"/>
    </row>
    <row r="589" spans="1:31" ht="12.5" customHeight="1" x14ac:dyDescent="0.35">
      <c r="A589" t="s">
        <v>396</v>
      </c>
      <c r="C589" t="s">
        <v>1750</v>
      </c>
      <c r="D589" t="s">
        <v>385</v>
      </c>
      <c r="E589" s="133">
        <v>45840</v>
      </c>
      <c r="F589" s="2">
        <v>0.9619212962962963</v>
      </c>
      <c r="G589">
        <v>23</v>
      </c>
      <c r="H589" s="133">
        <v>45840</v>
      </c>
      <c r="I589" s="2">
        <v>0.46192129629629625</v>
      </c>
      <c r="J589">
        <v>11</v>
      </c>
      <c r="K589" t="s">
        <v>390</v>
      </c>
      <c r="L589" t="s">
        <v>434</v>
      </c>
      <c r="R589" t="s">
        <v>384</v>
      </c>
      <c r="S589">
        <v>11</v>
      </c>
      <c r="T589">
        <v>8</v>
      </c>
      <c r="U589" t="s">
        <v>1186</v>
      </c>
      <c r="V589" t="s">
        <v>1751</v>
      </c>
      <c r="W589">
        <v>1</v>
      </c>
      <c r="X589" t="s">
        <v>282</v>
      </c>
      <c r="AC589" t="s">
        <v>1752</v>
      </c>
      <c r="AE589" s="135"/>
    </row>
    <row r="590" spans="1:31" ht="12.5" customHeight="1" x14ac:dyDescent="0.35">
      <c r="A590" t="s">
        <v>396</v>
      </c>
      <c r="C590" t="s">
        <v>1753</v>
      </c>
      <c r="D590" t="s">
        <v>385</v>
      </c>
      <c r="E590" s="133">
        <v>45840</v>
      </c>
      <c r="F590" s="2">
        <v>0.96201388888888895</v>
      </c>
      <c r="G590">
        <v>23</v>
      </c>
      <c r="H590" s="133">
        <v>45840</v>
      </c>
      <c r="I590" s="2">
        <v>0.46201388888888889</v>
      </c>
      <c r="J590">
        <v>11</v>
      </c>
      <c r="R590" t="s">
        <v>384</v>
      </c>
      <c r="S590">
        <v>3</v>
      </c>
      <c r="T590">
        <v>3</v>
      </c>
      <c r="U590">
        <v>1</v>
      </c>
      <c r="V590" t="s">
        <v>1754</v>
      </c>
      <c r="W590">
        <v>1</v>
      </c>
      <c r="X590" t="s">
        <v>282</v>
      </c>
      <c r="AC590" t="s">
        <v>1755</v>
      </c>
      <c r="AE590" s="135"/>
    </row>
    <row r="591" spans="1:31" ht="12.5" customHeight="1" x14ac:dyDescent="0.35">
      <c r="A591" t="s">
        <v>396</v>
      </c>
      <c r="C591" t="s">
        <v>1756</v>
      </c>
      <c r="D591" t="s">
        <v>385</v>
      </c>
      <c r="E591" s="133">
        <v>45840</v>
      </c>
      <c r="F591" s="2">
        <v>0.96210648148148159</v>
      </c>
      <c r="G591">
        <v>23</v>
      </c>
      <c r="H591" s="133">
        <v>45840</v>
      </c>
      <c r="I591" s="2">
        <v>0.46210648148148148</v>
      </c>
      <c r="J591">
        <v>11</v>
      </c>
      <c r="K591" t="s">
        <v>390</v>
      </c>
      <c r="R591" t="s">
        <v>384</v>
      </c>
      <c r="S591">
        <v>9</v>
      </c>
      <c r="T591">
        <v>8</v>
      </c>
      <c r="U591" t="s">
        <v>389</v>
      </c>
      <c r="V591" t="s">
        <v>1757</v>
      </c>
      <c r="W591">
        <v>1</v>
      </c>
      <c r="X591" t="s">
        <v>282</v>
      </c>
      <c r="AC591" t="s">
        <v>1758</v>
      </c>
      <c r="AE591" s="135"/>
    </row>
    <row r="592" spans="1:31" ht="12.5" customHeight="1" x14ac:dyDescent="0.35">
      <c r="A592" t="s">
        <v>396</v>
      </c>
      <c r="C592" t="s">
        <v>1759</v>
      </c>
      <c r="D592" t="s">
        <v>385</v>
      </c>
      <c r="E592" s="133">
        <v>45840</v>
      </c>
      <c r="F592" s="2">
        <v>0.96224537037037028</v>
      </c>
      <c r="G592">
        <v>23</v>
      </c>
      <c r="H592" s="133">
        <v>45840</v>
      </c>
      <c r="I592" s="2">
        <v>0.46224537037037039</v>
      </c>
      <c r="J592">
        <v>11</v>
      </c>
      <c r="K592" t="s">
        <v>434</v>
      </c>
      <c r="R592" t="s">
        <v>384</v>
      </c>
      <c r="S592">
        <v>14</v>
      </c>
      <c r="T592">
        <v>10</v>
      </c>
      <c r="U592" t="s">
        <v>395</v>
      </c>
      <c r="V592" t="s">
        <v>1760</v>
      </c>
      <c r="W592">
        <v>1</v>
      </c>
      <c r="X592" t="s">
        <v>282</v>
      </c>
      <c r="AC592" t="s">
        <v>1761</v>
      </c>
      <c r="AE592" s="135"/>
    </row>
    <row r="593" spans="1:31" ht="12.5" customHeight="1" x14ac:dyDescent="0.35">
      <c r="A593" t="s">
        <v>396</v>
      </c>
      <c r="C593" t="s">
        <v>1762</v>
      </c>
      <c r="D593" t="s">
        <v>385</v>
      </c>
      <c r="E593" s="133">
        <v>45840</v>
      </c>
      <c r="F593" s="2">
        <v>0.96238425925925919</v>
      </c>
      <c r="G593">
        <v>23</v>
      </c>
      <c r="H593" s="133">
        <v>45840</v>
      </c>
      <c r="I593" s="2">
        <v>0.46238425925925924</v>
      </c>
      <c r="J593">
        <v>11</v>
      </c>
      <c r="K593" t="s">
        <v>384</v>
      </c>
      <c r="L593" t="s">
        <v>434</v>
      </c>
      <c r="R593" t="s">
        <v>390</v>
      </c>
      <c r="S593">
        <v>12</v>
      </c>
      <c r="T593">
        <v>6</v>
      </c>
      <c r="U593" t="s">
        <v>449</v>
      </c>
      <c r="V593" t="s">
        <v>1763</v>
      </c>
      <c r="W593">
        <v>1</v>
      </c>
      <c r="X593" t="s">
        <v>355</v>
      </c>
      <c r="AC593" t="s">
        <v>1764</v>
      </c>
      <c r="AE593" s="135"/>
    </row>
    <row r="594" spans="1:31" ht="12.5" customHeight="1" x14ac:dyDescent="0.35">
      <c r="A594" t="s">
        <v>396</v>
      </c>
      <c r="C594" t="s">
        <v>1765</v>
      </c>
      <c r="D594" t="s">
        <v>385</v>
      </c>
      <c r="E594" s="133">
        <v>45840</v>
      </c>
      <c r="F594" s="2">
        <v>0.9625462962962964</v>
      </c>
      <c r="G594">
        <v>23</v>
      </c>
      <c r="H594" s="133">
        <v>45840</v>
      </c>
      <c r="I594" s="2">
        <v>0.46254629629629629</v>
      </c>
      <c r="J594">
        <v>11</v>
      </c>
      <c r="K594" t="s">
        <v>434</v>
      </c>
      <c r="R594" t="s">
        <v>384</v>
      </c>
      <c r="S594">
        <v>16</v>
      </c>
      <c r="T594">
        <v>9</v>
      </c>
      <c r="U594" t="s">
        <v>644</v>
      </c>
      <c r="V594" t="s">
        <v>1766</v>
      </c>
      <c r="W594">
        <v>1</v>
      </c>
      <c r="X594" t="s">
        <v>383</v>
      </c>
      <c r="AC594" t="s">
        <v>1767</v>
      </c>
      <c r="AE594" s="135"/>
    </row>
    <row r="595" spans="1:31" ht="12.5" customHeight="1" x14ac:dyDescent="0.35">
      <c r="A595" t="s">
        <v>396</v>
      </c>
      <c r="C595" t="s">
        <v>1768</v>
      </c>
      <c r="D595" t="s">
        <v>385</v>
      </c>
      <c r="E595" s="133">
        <v>45840</v>
      </c>
      <c r="F595" s="2">
        <v>0.96270833333333339</v>
      </c>
      <c r="G595">
        <v>23</v>
      </c>
      <c r="H595" s="133">
        <v>45840</v>
      </c>
      <c r="I595" s="2">
        <v>0.46270833333333333</v>
      </c>
      <c r="J595">
        <v>11</v>
      </c>
      <c r="K595" t="s">
        <v>434</v>
      </c>
      <c r="R595" t="s">
        <v>384</v>
      </c>
      <c r="S595">
        <v>11</v>
      </c>
      <c r="T595">
        <v>6</v>
      </c>
      <c r="U595" t="s">
        <v>458</v>
      </c>
      <c r="V595" t="s">
        <v>1769</v>
      </c>
      <c r="W595">
        <v>1</v>
      </c>
      <c r="X595" t="s">
        <v>282</v>
      </c>
      <c r="AC595" t="s">
        <v>1770</v>
      </c>
      <c r="AE595" s="135"/>
    </row>
    <row r="596" spans="1:31" ht="12.5" customHeight="1" x14ac:dyDescent="0.35">
      <c r="A596" t="s">
        <v>396</v>
      </c>
      <c r="C596" t="s">
        <v>1771</v>
      </c>
      <c r="D596" t="s">
        <v>385</v>
      </c>
      <c r="E596" s="133">
        <v>45840</v>
      </c>
      <c r="F596" s="2">
        <v>0.96303240740740748</v>
      </c>
      <c r="G596">
        <v>23</v>
      </c>
      <c r="H596" s="133">
        <v>45840</v>
      </c>
      <c r="I596" s="2">
        <v>0.46303240740740742</v>
      </c>
      <c r="J596">
        <v>11</v>
      </c>
      <c r="K596" t="s">
        <v>388</v>
      </c>
      <c r="R596" t="s">
        <v>384</v>
      </c>
      <c r="S596">
        <v>12</v>
      </c>
      <c r="T596">
        <v>7</v>
      </c>
      <c r="U596" t="s">
        <v>670</v>
      </c>
      <c r="V596" t="s">
        <v>1772</v>
      </c>
      <c r="W596">
        <v>1</v>
      </c>
      <c r="X596" t="s">
        <v>282</v>
      </c>
      <c r="AC596" t="s">
        <v>1773</v>
      </c>
      <c r="AE596" s="135"/>
    </row>
    <row r="597" spans="1:31" ht="12.5" customHeight="1" x14ac:dyDescent="0.35">
      <c r="A597" t="s">
        <v>396</v>
      </c>
      <c r="C597" t="s">
        <v>1774</v>
      </c>
      <c r="D597" t="s">
        <v>385</v>
      </c>
      <c r="E597" s="133">
        <v>45840</v>
      </c>
      <c r="F597" s="2">
        <v>0.96349537037037036</v>
      </c>
      <c r="G597">
        <v>23</v>
      </c>
      <c r="H597" s="133">
        <v>45840</v>
      </c>
      <c r="I597" s="2">
        <v>0.46349537037037036</v>
      </c>
      <c r="J597">
        <v>11</v>
      </c>
      <c r="K597" t="s">
        <v>434</v>
      </c>
      <c r="R597" t="s">
        <v>384</v>
      </c>
      <c r="S597">
        <v>8</v>
      </c>
      <c r="T597">
        <v>6</v>
      </c>
      <c r="U597" t="s">
        <v>453</v>
      </c>
      <c r="V597" t="s">
        <v>1775</v>
      </c>
      <c r="W597">
        <v>1</v>
      </c>
      <c r="X597" t="s">
        <v>282</v>
      </c>
      <c r="AC597" t="s">
        <v>1776</v>
      </c>
      <c r="AE597" s="135"/>
    </row>
    <row r="598" spans="1:31" ht="12.5" customHeight="1" x14ac:dyDescent="0.35">
      <c r="A598" t="s">
        <v>396</v>
      </c>
      <c r="C598" t="s">
        <v>1777</v>
      </c>
      <c r="D598" t="s">
        <v>385</v>
      </c>
      <c r="E598" s="133">
        <v>45840</v>
      </c>
      <c r="F598" s="2">
        <v>0.96416666666666673</v>
      </c>
      <c r="G598">
        <v>23</v>
      </c>
      <c r="H598" s="133">
        <v>45840</v>
      </c>
      <c r="I598" s="2">
        <v>0.46416666666666667</v>
      </c>
      <c r="J598">
        <v>11</v>
      </c>
      <c r="R598" t="s">
        <v>432</v>
      </c>
      <c r="S598">
        <v>13</v>
      </c>
      <c r="T598">
        <v>0</v>
      </c>
      <c r="U598">
        <v>0</v>
      </c>
      <c r="V598">
        <v>0</v>
      </c>
      <c r="W598">
        <v>1</v>
      </c>
      <c r="X598" t="s">
        <v>282</v>
      </c>
      <c r="AC598" t="s">
        <v>1778</v>
      </c>
      <c r="AE598" s="135"/>
    </row>
    <row r="599" spans="1:31" ht="12.5" customHeight="1" x14ac:dyDescent="0.35">
      <c r="A599" t="s">
        <v>396</v>
      </c>
      <c r="C599" t="s">
        <v>1779</v>
      </c>
      <c r="D599" t="s">
        <v>385</v>
      </c>
      <c r="E599" s="133">
        <v>45840</v>
      </c>
      <c r="F599" s="2">
        <v>0.9646527777777778</v>
      </c>
      <c r="G599">
        <v>23</v>
      </c>
      <c r="H599" s="133">
        <v>45840</v>
      </c>
      <c r="I599" s="2">
        <v>0.4646527777777778</v>
      </c>
      <c r="J599">
        <v>11</v>
      </c>
      <c r="R599" t="s">
        <v>432</v>
      </c>
      <c r="S599">
        <v>6</v>
      </c>
      <c r="T599">
        <v>0</v>
      </c>
      <c r="U599">
        <v>0</v>
      </c>
      <c r="V599">
        <v>0</v>
      </c>
      <c r="W599">
        <v>1</v>
      </c>
      <c r="X599" t="s">
        <v>355</v>
      </c>
      <c r="AC599" t="s">
        <v>1780</v>
      </c>
      <c r="AE599" s="135"/>
    </row>
    <row r="600" spans="1:31" ht="12.5" customHeight="1" x14ac:dyDescent="0.35">
      <c r="A600" t="s">
        <v>396</v>
      </c>
      <c r="C600" t="s">
        <v>1781</v>
      </c>
      <c r="D600" t="s">
        <v>385</v>
      </c>
      <c r="E600" s="133">
        <v>45840</v>
      </c>
      <c r="F600" s="2">
        <v>0.96479166666666671</v>
      </c>
      <c r="G600">
        <v>23</v>
      </c>
      <c r="H600" s="133">
        <v>45840</v>
      </c>
      <c r="I600" s="2">
        <v>0.46479166666666666</v>
      </c>
      <c r="J600">
        <v>11</v>
      </c>
      <c r="K600" t="s">
        <v>434</v>
      </c>
      <c r="R600" t="s">
        <v>390</v>
      </c>
      <c r="S600">
        <v>11</v>
      </c>
      <c r="T600">
        <v>7</v>
      </c>
      <c r="U600" t="s">
        <v>469</v>
      </c>
      <c r="V600" t="s">
        <v>1782</v>
      </c>
      <c r="W600">
        <v>1</v>
      </c>
      <c r="X600" t="s">
        <v>355</v>
      </c>
      <c r="AC600" t="s">
        <v>1783</v>
      </c>
      <c r="AE600" s="135"/>
    </row>
    <row r="601" spans="1:31" ht="12.5" customHeight="1" x14ac:dyDescent="0.35">
      <c r="A601" t="s">
        <v>396</v>
      </c>
      <c r="C601" t="s">
        <v>1784</v>
      </c>
      <c r="D601" t="s">
        <v>385</v>
      </c>
      <c r="E601" s="133">
        <v>45840</v>
      </c>
      <c r="F601" s="2">
        <v>0.96486111111111106</v>
      </c>
      <c r="G601">
        <v>23</v>
      </c>
      <c r="H601" s="133">
        <v>45840</v>
      </c>
      <c r="I601" s="2">
        <v>0.46486111111111111</v>
      </c>
      <c r="J601">
        <v>11</v>
      </c>
      <c r="K601" t="s">
        <v>434</v>
      </c>
      <c r="R601" t="s">
        <v>390</v>
      </c>
      <c r="S601">
        <v>4</v>
      </c>
      <c r="T601">
        <v>2</v>
      </c>
      <c r="U601" t="s">
        <v>449</v>
      </c>
      <c r="V601" t="s">
        <v>1415</v>
      </c>
      <c r="W601">
        <v>1</v>
      </c>
      <c r="X601" t="s">
        <v>355</v>
      </c>
      <c r="AC601" t="s">
        <v>1785</v>
      </c>
      <c r="AE601" s="135"/>
    </row>
    <row r="602" spans="1:31" ht="12.5" customHeight="1" x14ac:dyDescent="0.35">
      <c r="A602" t="s">
        <v>396</v>
      </c>
      <c r="C602" t="s">
        <v>1786</v>
      </c>
      <c r="D602" t="s">
        <v>385</v>
      </c>
      <c r="E602" s="133">
        <v>45840</v>
      </c>
      <c r="F602" s="2">
        <v>0.96527777777777779</v>
      </c>
      <c r="G602">
        <v>23</v>
      </c>
      <c r="H602" s="133">
        <v>45840</v>
      </c>
      <c r="I602" s="2">
        <v>0.46527777777777773</v>
      </c>
      <c r="J602">
        <v>11</v>
      </c>
      <c r="K602" t="s">
        <v>384</v>
      </c>
      <c r="L602" t="s">
        <v>434</v>
      </c>
      <c r="R602" t="s">
        <v>390</v>
      </c>
      <c r="S602">
        <v>15</v>
      </c>
      <c r="T602">
        <v>11</v>
      </c>
      <c r="U602" t="s">
        <v>793</v>
      </c>
      <c r="V602" t="s">
        <v>1787</v>
      </c>
      <c r="W602">
        <v>1</v>
      </c>
      <c r="X602" t="s">
        <v>282</v>
      </c>
      <c r="AC602" t="s">
        <v>1788</v>
      </c>
      <c r="AE602" s="135"/>
    </row>
    <row r="603" spans="1:31" ht="12.5" customHeight="1" x14ac:dyDescent="0.35">
      <c r="A603" t="s">
        <v>396</v>
      </c>
      <c r="C603" t="s">
        <v>1789</v>
      </c>
      <c r="D603" t="s">
        <v>385</v>
      </c>
      <c r="E603" s="133">
        <v>45840</v>
      </c>
      <c r="F603" s="2">
        <v>0.96543981481481478</v>
      </c>
      <c r="G603">
        <v>23</v>
      </c>
      <c r="H603" s="133">
        <v>45840</v>
      </c>
      <c r="I603" s="2">
        <v>0.46543981481481483</v>
      </c>
      <c r="J603">
        <v>11</v>
      </c>
      <c r="K603" t="s">
        <v>434</v>
      </c>
      <c r="R603" t="s">
        <v>390</v>
      </c>
      <c r="S603">
        <v>6</v>
      </c>
      <c r="T603">
        <v>4</v>
      </c>
      <c r="U603" t="s">
        <v>393</v>
      </c>
      <c r="V603" t="s">
        <v>1790</v>
      </c>
      <c r="W603">
        <v>1</v>
      </c>
      <c r="X603" t="s">
        <v>282</v>
      </c>
      <c r="AC603" t="s">
        <v>1791</v>
      </c>
      <c r="AE603" s="135"/>
    </row>
    <row r="604" spans="1:31" ht="12.5" customHeight="1" x14ac:dyDescent="0.35">
      <c r="A604" t="s">
        <v>396</v>
      </c>
      <c r="C604" t="s">
        <v>1792</v>
      </c>
      <c r="D604" t="s">
        <v>385</v>
      </c>
      <c r="E604" s="133">
        <v>45840</v>
      </c>
      <c r="F604" s="2">
        <v>0.96562500000000007</v>
      </c>
      <c r="G604">
        <v>23</v>
      </c>
      <c r="H604" s="133">
        <v>45840</v>
      </c>
      <c r="I604" s="2">
        <v>0.46562500000000001</v>
      </c>
      <c r="J604">
        <v>11</v>
      </c>
      <c r="K604" t="s">
        <v>434</v>
      </c>
      <c r="L604" t="s">
        <v>388</v>
      </c>
      <c r="R604" t="s">
        <v>390</v>
      </c>
      <c r="S604">
        <v>4</v>
      </c>
      <c r="T604">
        <v>4</v>
      </c>
      <c r="U604">
        <v>1</v>
      </c>
      <c r="V604" t="s">
        <v>1793</v>
      </c>
      <c r="W604">
        <v>1</v>
      </c>
      <c r="X604" t="s">
        <v>355</v>
      </c>
      <c r="AC604" t="s">
        <v>1794</v>
      </c>
      <c r="AE604" s="135"/>
    </row>
    <row r="605" spans="1:31" ht="12.5" customHeight="1" x14ac:dyDescent="0.35">
      <c r="A605" t="s">
        <v>396</v>
      </c>
      <c r="C605" t="s">
        <v>1795</v>
      </c>
      <c r="D605" t="s">
        <v>385</v>
      </c>
      <c r="E605" s="133">
        <v>45840</v>
      </c>
      <c r="F605" s="2">
        <v>0.96583333333333332</v>
      </c>
      <c r="G605">
        <v>23</v>
      </c>
      <c r="H605" s="133">
        <v>45840</v>
      </c>
      <c r="I605" s="2">
        <v>0.46583333333333332</v>
      </c>
      <c r="J605">
        <v>11</v>
      </c>
      <c r="K605" t="s">
        <v>434</v>
      </c>
      <c r="R605" t="s">
        <v>390</v>
      </c>
      <c r="S605">
        <v>6</v>
      </c>
      <c r="T605">
        <v>3</v>
      </c>
      <c r="U605" t="s">
        <v>449</v>
      </c>
      <c r="V605" t="s">
        <v>1796</v>
      </c>
      <c r="W605">
        <v>1</v>
      </c>
      <c r="X605" t="s">
        <v>355</v>
      </c>
      <c r="AC605" t="s">
        <v>1797</v>
      </c>
      <c r="AE605" s="135"/>
    </row>
    <row r="606" spans="1:31" ht="12.5" customHeight="1" x14ac:dyDescent="0.35">
      <c r="A606" t="s">
        <v>396</v>
      </c>
      <c r="C606" t="s">
        <v>1798</v>
      </c>
      <c r="D606" t="s">
        <v>385</v>
      </c>
      <c r="E606" s="133">
        <v>45840</v>
      </c>
      <c r="F606" s="2">
        <v>0.96597222222222223</v>
      </c>
      <c r="G606">
        <v>23</v>
      </c>
      <c r="H606" s="133">
        <v>45840</v>
      </c>
      <c r="I606" s="2">
        <v>0.46597222222222223</v>
      </c>
      <c r="J606">
        <v>11</v>
      </c>
      <c r="K606" t="s">
        <v>390</v>
      </c>
      <c r="L606" t="s">
        <v>434</v>
      </c>
      <c r="R606" t="s">
        <v>432</v>
      </c>
      <c r="S606">
        <v>5</v>
      </c>
      <c r="T606">
        <v>0</v>
      </c>
      <c r="U606">
        <v>0</v>
      </c>
      <c r="V606">
        <v>0</v>
      </c>
      <c r="W606">
        <v>1</v>
      </c>
      <c r="X606" t="s">
        <v>282</v>
      </c>
      <c r="AC606" t="s">
        <v>1799</v>
      </c>
      <c r="AE606" s="135"/>
    </row>
    <row r="607" spans="1:31" ht="12.5" customHeight="1" x14ac:dyDescent="0.35">
      <c r="A607" t="s">
        <v>396</v>
      </c>
      <c r="C607" t="s">
        <v>1800</v>
      </c>
      <c r="D607" t="s">
        <v>385</v>
      </c>
      <c r="E607" s="133">
        <v>45840</v>
      </c>
      <c r="F607" s="2">
        <v>0.96606481481481488</v>
      </c>
      <c r="G607">
        <v>23</v>
      </c>
      <c r="H607" s="133">
        <v>45840</v>
      </c>
      <c r="I607" s="2">
        <v>0.46606481481481482</v>
      </c>
      <c r="J607">
        <v>11</v>
      </c>
      <c r="R607" t="s">
        <v>432</v>
      </c>
      <c r="S607">
        <v>5</v>
      </c>
      <c r="T607">
        <v>0</v>
      </c>
      <c r="U607">
        <v>0</v>
      </c>
      <c r="V607">
        <v>0</v>
      </c>
      <c r="W607">
        <v>1</v>
      </c>
      <c r="X607" t="s">
        <v>355</v>
      </c>
      <c r="AC607" t="s">
        <v>1801</v>
      </c>
      <c r="AE607" s="135"/>
    </row>
    <row r="608" spans="1:31" ht="12.5" customHeight="1" x14ac:dyDescent="0.35">
      <c r="A608" t="s">
        <v>396</v>
      </c>
      <c r="C608" t="s">
        <v>1802</v>
      </c>
      <c r="D608" t="s">
        <v>385</v>
      </c>
      <c r="E608" s="133">
        <v>45840</v>
      </c>
      <c r="F608" s="2">
        <v>0.96627314814814813</v>
      </c>
      <c r="G608">
        <v>23</v>
      </c>
      <c r="H608" s="133">
        <v>45840</v>
      </c>
      <c r="I608" s="2">
        <v>0.46627314814814813</v>
      </c>
      <c r="J608">
        <v>11</v>
      </c>
      <c r="R608" t="s">
        <v>432</v>
      </c>
      <c r="S608">
        <v>5</v>
      </c>
      <c r="T608">
        <v>0</v>
      </c>
      <c r="U608">
        <v>0</v>
      </c>
      <c r="V608">
        <v>0</v>
      </c>
      <c r="W608">
        <v>1</v>
      </c>
      <c r="X608" t="s">
        <v>282</v>
      </c>
      <c r="AC608" t="s">
        <v>1803</v>
      </c>
      <c r="AE608" s="135"/>
    </row>
    <row r="609" spans="1:31" ht="12.5" customHeight="1" x14ac:dyDescent="0.35">
      <c r="A609" t="s">
        <v>396</v>
      </c>
      <c r="C609" t="s">
        <v>1804</v>
      </c>
      <c r="D609" t="s">
        <v>385</v>
      </c>
      <c r="E609" s="133">
        <v>45840</v>
      </c>
      <c r="F609" s="2">
        <v>0.96641203703703704</v>
      </c>
      <c r="G609">
        <v>23</v>
      </c>
      <c r="H609" s="133">
        <v>45840</v>
      </c>
      <c r="I609" s="2">
        <v>0.46641203703703704</v>
      </c>
      <c r="J609">
        <v>11</v>
      </c>
      <c r="K609" t="s">
        <v>434</v>
      </c>
      <c r="R609" t="s">
        <v>384</v>
      </c>
      <c r="S609">
        <v>20</v>
      </c>
      <c r="T609">
        <v>14</v>
      </c>
      <c r="U609" t="s">
        <v>1613</v>
      </c>
      <c r="V609" t="s">
        <v>1805</v>
      </c>
      <c r="W609">
        <v>1</v>
      </c>
      <c r="X609" t="s">
        <v>383</v>
      </c>
      <c r="AC609" t="s">
        <v>1806</v>
      </c>
      <c r="AE609" s="135"/>
    </row>
    <row r="610" spans="1:31" ht="12.5" customHeight="1" x14ac:dyDescent="0.35">
      <c r="A610" t="s">
        <v>396</v>
      </c>
      <c r="C610" t="s">
        <v>1807</v>
      </c>
      <c r="D610" t="s">
        <v>385</v>
      </c>
      <c r="E610" s="133">
        <v>45840</v>
      </c>
      <c r="F610" s="2">
        <v>0.96722222222222232</v>
      </c>
      <c r="G610">
        <v>23</v>
      </c>
      <c r="H610" s="133">
        <v>45840</v>
      </c>
      <c r="I610" s="2">
        <v>0.46722222222222221</v>
      </c>
      <c r="J610">
        <v>11</v>
      </c>
      <c r="R610" t="s">
        <v>384</v>
      </c>
      <c r="S610">
        <v>12</v>
      </c>
      <c r="T610">
        <v>7</v>
      </c>
      <c r="U610" t="s">
        <v>670</v>
      </c>
      <c r="V610" t="s">
        <v>1808</v>
      </c>
      <c r="W610">
        <v>1</v>
      </c>
      <c r="X610" t="s">
        <v>383</v>
      </c>
      <c r="AC610" t="s">
        <v>1809</v>
      </c>
      <c r="AE610" s="135"/>
    </row>
    <row r="611" spans="1:31" ht="12.5" customHeight="1" x14ac:dyDescent="0.35">
      <c r="A611" t="s">
        <v>396</v>
      </c>
      <c r="C611" t="s">
        <v>1810</v>
      </c>
      <c r="D611" t="s">
        <v>385</v>
      </c>
      <c r="E611" s="133">
        <v>45840</v>
      </c>
      <c r="F611" s="2">
        <v>0.96731481481481485</v>
      </c>
      <c r="G611">
        <v>23</v>
      </c>
      <c r="H611" s="133">
        <v>45840</v>
      </c>
      <c r="I611" s="2">
        <v>0.46731481481481479</v>
      </c>
      <c r="J611">
        <v>11</v>
      </c>
      <c r="K611" t="s">
        <v>390</v>
      </c>
      <c r="L611" t="s">
        <v>388</v>
      </c>
      <c r="R611" t="s">
        <v>384</v>
      </c>
      <c r="S611">
        <v>20</v>
      </c>
      <c r="T611">
        <v>7</v>
      </c>
      <c r="U611" t="s">
        <v>1811</v>
      </c>
      <c r="V611" t="s">
        <v>1812</v>
      </c>
      <c r="W611">
        <v>1</v>
      </c>
      <c r="X611" t="s">
        <v>383</v>
      </c>
      <c r="AC611" t="s">
        <v>1813</v>
      </c>
      <c r="AE611" s="135"/>
    </row>
    <row r="612" spans="1:31" ht="12.5" customHeight="1" x14ac:dyDescent="0.35">
      <c r="A612" t="s">
        <v>396</v>
      </c>
      <c r="C612" t="s">
        <v>1814</v>
      </c>
      <c r="D612" t="s">
        <v>385</v>
      </c>
      <c r="E612" s="133">
        <v>45840</v>
      </c>
      <c r="F612" s="2">
        <v>0.96740740740740738</v>
      </c>
      <c r="G612">
        <v>23</v>
      </c>
      <c r="H612" s="133">
        <v>45840</v>
      </c>
      <c r="I612" s="2">
        <v>0.46740740740740744</v>
      </c>
      <c r="J612">
        <v>11</v>
      </c>
      <c r="K612" t="s">
        <v>434</v>
      </c>
      <c r="R612" t="s">
        <v>384</v>
      </c>
      <c r="S612">
        <v>11</v>
      </c>
      <c r="T612">
        <v>8</v>
      </c>
      <c r="U612" t="s">
        <v>1186</v>
      </c>
      <c r="V612" t="s">
        <v>1815</v>
      </c>
      <c r="W612">
        <v>1</v>
      </c>
      <c r="X612" t="s">
        <v>282</v>
      </c>
      <c r="AC612" t="s">
        <v>1816</v>
      </c>
      <c r="AE612" s="135"/>
    </row>
    <row r="613" spans="1:31" ht="12.5" customHeight="1" x14ac:dyDescent="0.35">
      <c r="A613" t="s">
        <v>396</v>
      </c>
      <c r="C613" t="s">
        <v>1817</v>
      </c>
      <c r="D613" t="s">
        <v>385</v>
      </c>
      <c r="E613" s="133">
        <v>45840</v>
      </c>
      <c r="F613" s="2">
        <v>0.96754629629629629</v>
      </c>
      <c r="G613">
        <v>23</v>
      </c>
      <c r="H613" s="133">
        <v>45840</v>
      </c>
      <c r="I613" s="2">
        <v>0.46754629629629635</v>
      </c>
      <c r="J613">
        <v>11</v>
      </c>
      <c r="R613" t="s">
        <v>432</v>
      </c>
      <c r="S613">
        <v>11</v>
      </c>
      <c r="T613">
        <v>0</v>
      </c>
      <c r="U613">
        <v>0</v>
      </c>
      <c r="V613">
        <v>0</v>
      </c>
      <c r="W613">
        <v>1</v>
      </c>
      <c r="X613" t="s">
        <v>282</v>
      </c>
      <c r="AC613" t="s">
        <v>1818</v>
      </c>
      <c r="AE613" s="135"/>
    </row>
    <row r="614" spans="1:31" ht="12.5" customHeight="1" x14ac:dyDescent="0.35">
      <c r="A614" t="s">
        <v>396</v>
      </c>
      <c r="C614" t="s">
        <v>1819</v>
      </c>
      <c r="D614" t="s">
        <v>385</v>
      </c>
      <c r="E614" s="133">
        <v>45840</v>
      </c>
      <c r="F614" s="2">
        <v>0.96773148148148147</v>
      </c>
      <c r="G614">
        <v>23</v>
      </c>
      <c r="H614" s="133">
        <v>45840</v>
      </c>
      <c r="I614" s="2">
        <v>0.46773148148148147</v>
      </c>
      <c r="J614">
        <v>11</v>
      </c>
      <c r="K614" t="s">
        <v>434</v>
      </c>
      <c r="R614" t="s">
        <v>384</v>
      </c>
      <c r="S614">
        <v>7</v>
      </c>
      <c r="T614">
        <v>5</v>
      </c>
      <c r="U614" t="s">
        <v>395</v>
      </c>
      <c r="V614" t="s">
        <v>1820</v>
      </c>
      <c r="W614">
        <v>1</v>
      </c>
      <c r="X614" t="s">
        <v>282</v>
      </c>
      <c r="AC614" t="s">
        <v>1821</v>
      </c>
      <c r="AE614" s="135"/>
    </row>
    <row r="615" spans="1:31" ht="12.5" customHeight="1" x14ac:dyDescent="0.35">
      <c r="A615" t="s">
        <v>396</v>
      </c>
      <c r="C615" t="s">
        <v>1822</v>
      </c>
      <c r="D615" t="s">
        <v>385</v>
      </c>
      <c r="E615" s="133">
        <v>45840</v>
      </c>
      <c r="F615" s="2">
        <v>0.96805555555555556</v>
      </c>
      <c r="G615">
        <v>23</v>
      </c>
      <c r="H615" s="133">
        <v>45840</v>
      </c>
      <c r="I615" s="2">
        <v>0.4680555555555555</v>
      </c>
      <c r="J615">
        <v>11</v>
      </c>
      <c r="K615" t="s">
        <v>434</v>
      </c>
      <c r="R615" t="s">
        <v>384</v>
      </c>
      <c r="S615">
        <v>9</v>
      </c>
      <c r="T615">
        <v>6</v>
      </c>
      <c r="U615" t="s">
        <v>393</v>
      </c>
      <c r="V615" t="s">
        <v>1823</v>
      </c>
      <c r="W615">
        <v>1</v>
      </c>
      <c r="X615" t="s">
        <v>282</v>
      </c>
      <c r="AC615" t="s">
        <v>1824</v>
      </c>
      <c r="AE615" s="135"/>
    </row>
    <row r="616" spans="1:31" ht="12.5" customHeight="1" x14ac:dyDescent="0.35">
      <c r="A616" t="s">
        <v>396</v>
      </c>
      <c r="C616" t="s">
        <v>1825</v>
      </c>
      <c r="D616" t="s">
        <v>385</v>
      </c>
      <c r="E616" s="133">
        <v>45840</v>
      </c>
      <c r="F616" s="2">
        <v>0.96835648148148146</v>
      </c>
      <c r="G616">
        <v>23</v>
      </c>
      <c r="H616" s="133">
        <v>45840</v>
      </c>
      <c r="I616" s="2">
        <v>0.46835648148148151</v>
      </c>
      <c r="J616">
        <v>11</v>
      </c>
      <c r="R616" t="s">
        <v>384</v>
      </c>
      <c r="S616">
        <v>13</v>
      </c>
      <c r="T616">
        <v>11</v>
      </c>
      <c r="U616" t="s">
        <v>909</v>
      </c>
      <c r="V616" t="s">
        <v>1826</v>
      </c>
      <c r="W616">
        <v>1</v>
      </c>
      <c r="X616" t="s">
        <v>282</v>
      </c>
      <c r="AC616" t="s">
        <v>1827</v>
      </c>
      <c r="AE616" s="135"/>
    </row>
    <row r="617" spans="1:31" ht="12.5" customHeight="1" x14ac:dyDescent="0.35">
      <c r="A617" t="s">
        <v>396</v>
      </c>
      <c r="C617" t="s">
        <v>1828</v>
      </c>
      <c r="D617" t="s">
        <v>385</v>
      </c>
      <c r="E617" s="133">
        <v>45840</v>
      </c>
      <c r="F617" s="2">
        <v>0.96854166666666675</v>
      </c>
      <c r="G617">
        <v>23</v>
      </c>
      <c r="H617" s="133">
        <v>45840</v>
      </c>
      <c r="I617" s="2">
        <v>0.46854166666666663</v>
      </c>
      <c r="J617">
        <v>11</v>
      </c>
      <c r="K617" t="s">
        <v>434</v>
      </c>
      <c r="R617" t="s">
        <v>384</v>
      </c>
      <c r="S617">
        <v>8</v>
      </c>
      <c r="T617">
        <v>5</v>
      </c>
      <c r="U617" t="s">
        <v>744</v>
      </c>
      <c r="V617" t="s">
        <v>1829</v>
      </c>
      <c r="W617">
        <v>1</v>
      </c>
      <c r="X617" t="s">
        <v>282</v>
      </c>
      <c r="AC617" t="s">
        <v>1830</v>
      </c>
      <c r="AE617" s="135"/>
    </row>
    <row r="618" spans="1:31" ht="12.5" customHeight="1" x14ac:dyDescent="0.35">
      <c r="A618" t="s">
        <v>396</v>
      </c>
      <c r="C618" t="s">
        <v>1831</v>
      </c>
      <c r="D618" t="s">
        <v>385</v>
      </c>
      <c r="E618" s="133">
        <v>45840</v>
      </c>
      <c r="F618" s="2">
        <v>0.96893518518518518</v>
      </c>
      <c r="G618">
        <v>23</v>
      </c>
      <c r="H618" s="133">
        <v>45840</v>
      </c>
      <c r="I618" s="2">
        <v>0.46893518518518523</v>
      </c>
      <c r="J618">
        <v>11</v>
      </c>
      <c r="R618" t="s">
        <v>432</v>
      </c>
      <c r="S618">
        <v>4</v>
      </c>
      <c r="T618">
        <v>0</v>
      </c>
      <c r="U618">
        <v>0</v>
      </c>
      <c r="V618">
        <v>0</v>
      </c>
      <c r="W618">
        <v>1</v>
      </c>
      <c r="X618" t="s">
        <v>355</v>
      </c>
      <c r="AC618" t="s">
        <v>1832</v>
      </c>
      <c r="AE618" s="135"/>
    </row>
    <row r="619" spans="1:31" ht="12.5" customHeight="1" x14ac:dyDescent="0.35">
      <c r="A619" t="s">
        <v>396</v>
      </c>
      <c r="C619" t="s">
        <v>1833</v>
      </c>
      <c r="D619" t="s">
        <v>385</v>
      </c>
      <c r="E619" s="133">
        <v>45840</v>
      </c>
      <c r="F619" s="2">
        <v>0.969212962962963</v>
      </c>
      <c r="G619">
        <v>23</v>
      </c>
      <c r="H619" s="133">
        <v>45840</v>
      </c>
      <c r="I619" s="2">
        <v>0.46921296296296294</v>
      </c>
      <c r="J619">
        <v>11</v>
      </c>
      <c r="K619" t="s">
        <v>390</v>
      </c>
      <c r="L619" t="s">
        <v>434</v>
      </c>
      <c r="R619" t="s">
        <v>384</v>
      </c>
      <c r="S619">
        <v>10</v>
      </c>
      <c r="T619">
        <v>5</v>
      </c>
      <c r="U619" t="s">
        <v>449</v>
      </c>
      <c r="V619" t="s">
        <v>1834</v>
      </c>
      <c r="W619">
        <v>1</v>
      </c>
      <c r="X619" t="s">
        <v>282</v>
      </c>
      <c r="AC619" t="s">
        <v>1835</v>
      </c>
      <c r="AE619" s="135"/>
    </row>
    <row r="620" spans="1:31" ht="12.5" customHeight="1" x14ac:dyDescent="0.35">
      <c r="A620" t="s">
        <v>396</v>
      </c>
      <c r="C620" t="s">
        <v>1836</v>
      </c>
      <c r="D620" t="s">
        <v>385</v>
      </c>
      <c r="E620" s="133">
        <v>45840</v>
      </c>
      <c r="F620" s="2">
        <v>0.96930555555555553</v>
      </c>
      <c r="G620">
        <v>23</v>
      </c>
      <c r="H620" s="133">
        <v>45840</v>
      </c>
      <c r="I620" s="2">
        <v>0.46930555555555559</v>
      </c>
      <c r="J620">
        <v>11</v>
      </c>
      <c r="K620" t="s">
        <v>434</v>
      </c>
      <c r="R620" t="s">
        <v>384</v>
      </c>
      <c r="S620">
        <v>15</v>
      </c>
      <c r="T620">
        <v>7</v>
      </c>
      <c r="U620" t="s">
        <v>1647</v>
      </c>
      <c r="V620" t="s">
        <v>1837</v>
      </c>
      <c r="W620">
        <v>1</v>
      </c>
      <c r="X620" t="s">
        <v>282</v>
      </c>
      <c r="AC620" t="s">
        <v>1838</v>
      </c>
      <c r="AE620" s="135"/>
    </row>
    <row r="621" spans="1:31" ht="12.5" customHeight="1" x14ac:dyDescent="0.35">
      <c r="A621" t="s">
        <v>396</v>
      </c>
      <c r="C621" t="s">
        <v>1839</v>
      </c>
      <c r="D621" t="s">
        <v>385</v>
      </c>
      <c r="E621" s="133">
        <v>45840</v>
      </c>
      <c r="F621" s="2">
        <v>0.96949074074074071</v>
      </c>
      <c r="G621">
        <v>23</v>
      </c>
      <c r="H621" s="133">
        <v>45840</v>
      </c>
      <c r="I621" s="2">
        <v>0.46949074074074071</v>
      </c>
      <c r="J621">
        <v>11</v>
      </c>
      <c r="K621" t="s">
        <v>390</v>
      </c>
      <c r="L621" t="s">
        <v>434</v>
      </c>
      <c r="R621" t="s">
        <v>384</v>
      </c>
      <c r="S621">
        <v>10</v>
      </c>
      <c r="T621">
        <v>8</v>
      </c>
      <c r="U621" t="s">
        <v>496</v>
      </c>
      <c r="V621" t="s">
        <v>1840</v>
      </c>
      <c r="W621">
        <v>1</v>
      </c>
      <c r="X621" t="s">
        <v>841</v>
      </c>
      <c r="AC621" t="s">
        <v>1841</v>
      </c>
      <c r="AE621" s="135"/>
    </row>
    <row r="622" spans="1:31" ht="12.5" customHeight="1" x14ac:dyDescent="0.35">
      <c r="A622" t="s">
        <v>396</v>
      </c>
      <c r="C622" t="s">
        <v>1842</v>
      </c>
      <c r="D622" t="s">
        <v>385</v>
      </c>
      <c r="E622" s="133">
        <v>45840</v>
      </c>
      <c r="F622" s="2">
        <v>0.96956018518518527</v>
      </c>
      <c r="G622">
        <v>23</v>
      </c>
      <c r="H622" s="133">
        <v>45840</v>
      </c>
      <c r="I622" s="2">
        <v>0.46956018518518516</v>
      </c>
      <c r="J622">
        <v>11</v>
      </c>
      <c r="R622" t="s">
        <v>384</v>
      </c>
      <c r="S622">
        <v>19</v>
      </c>
      <c r="T622">
        <v>15</v>
      </c>
      <c r="U622" t="s">
        <v>1370</v>
      </c>
      <c r="V622" t="s">
        <v>1843</v>
      </c>
      <c r="W622">
        <v>1</v>
      </c>
      <c r="X622" t="s">
        <v>282</v>
      </c>
      <c r="AC622" t="s">
        <v>1844</v>
      </c>
      <c r="AE622" s="135"/>
    </row>
    <row r="623" spans="1:31" ht="12.5" customHeight="1" x14ac:dyDescent="0.35">
      <c r="A623" t="s">
        <v>396</v>
      </c>
      <c r="C623" t="s">
        <v>1845</v>
      </c>
      <c r="D623" t="s">
        <v>385</v>
      </c>
      <c r="E623" s="133">
        <v>45840</v>
      </c>
      <c r="F623" s="2">
        <v>0.97638888888888886</v>
      </c>
      <c r="G623">
        <v>23</v>
      </c>
      <c r="H623" s="133">
        <v>45840</v>
      </c>
      <c r="I623" s="2">
        <v>0.47638888888888892</v>
      </c>
      <c r="J623">
        <v>11</v>
      </c>
      <c r="R623" t="s">
        <v>30</v>
      </c>
      <c r="W623">
        <v>1</v>
      </c>
      <c r="X623" t="s">
        <v>30</v>
      </c>
      <c r="AC623" t="s">
        <v>1846</v>
      </c>
      <c r="AE623" s="135"/>
    </row>
    <row r="624" spans="1:31" ht="12.5" customHeight="1" x14ac:dyDescent="0.35">
      <c r="A624" t="s">
        <v>396</v>
      </c>
      <c r="C624" t="s">
        <v>1847</v>
      </c>
      <c r="D624" t="s">
        <v>385</v>
      </c>
      <c r="E624" s="133">
        <v>45840</v>
      </c>
      <c r="F624" s="2">
        <v>0.98516203703703698</v>
      </c>
      <c r="G624">
        <v>23</v>
      </c>
      <c r="H624" s="133">
        <v>45840</v>
      </c>
      <c r="I624" s="2">
        <v>0.48516203703703703</v>
      </c>
      <c r="J624">
        <v>11</v>
      </c>
      <c r="R624" t="s">
        <v>30</v>
      </c>
      <c r="W624">
        <v>1</v>
      </c>
      <c r="X624" t="s">
        <v>30</v>
      </c>
      <c r="AC624" t="s">
        <v>1848</v>
      </c>
      <c r="AE624" s="135"/>
    </row>
    <row r="625" spans="1:31" ht="12.5" customHeight="1" x14ac:dyDescent="0.35">
      <c r="A625" t="s">
        <v>396</v>
      </c>
      <c r="C625" t="s">
        <v>1849</v>
      </c>
      <c r="D625" t="s">
        <v>385</v>
      </c>
      <c r="E625" s="133">
        <v>45840</v>
      </c>
      <c r="F625" s="2">
        <v>0.98701388888888886</v>
      </c>
      <c r="G625">
        <v>23</v>
      </c>
      <c r="H625" s="133">
        <v>45840</v>
      </c>
      <c r="I625" s="2">
        <v>0.48701388888888886</v>
      </c>
      <c r="J625">
        <v>11</v>
      </c>
      <c r="R625" t="s">
        <v>30</v>
      </c>
      <c r="W625">
        <v>1</v>
      </c>
      <c r="X625" t="s">
        <v>30</v>
      </c>
      <c r="AC625" t="s">
        <v>1850</v>
      </c>
      <c r="AE625" s="135"/>
    </row>
    <row r="626" spans="1:31" ht="12.5" customHeight="1" x14ac:dyDescent="0.35">
      <c r="A626" t="s">
        <v>396</v>
      </c>
      <c r="C626" t="s">
        <v>1851</v>
      </c>
      <c r="D626" t="s">
        <v>385</v>
      </c>
      <c r="E626" s="133">
        <v>45840</v>
      </c>
      <c r="F626" s="2">
        <v>0.98831018518518521</v>
      </c>
      <c r="G626">
        <v>23</v>
      </c>
      <c r="H626" s="133">
        <v>45840</v>
      </c>
      <c r="I626" s="2">
        <v>0.48831018518518521</v>
      </c>
      <c r="J626">
        <v>11</v>
      </c>
      <c r="R626" t="s">
        <v>30</v>
      </c>
      <c r="W626">
        <v>1</v>
      </c>
      <c r="X626" t="s">
        <v>30</v>
      </c>
      <c r="AC626" t="s">
        <v>1852</v>
      </c>
      <c r="AE626" s="135"/>
    </row>
    <row r="627" spans="1:31" ht="12.5" customHeight="1" x14ac:dyDescent="0.35">
      <c r="A627" t="s">
        <v>396</v>
      </c>
      <c r="C627" t="s">
        <v>1853</v>
      </c>
      <c r="D627" t="s">
        <v>385</v>
      </c>
      <c r="E627" s="133">
        <v>45840</v>
      </c>
      <c r="F627" s="2">
        <v>0.98840277777777785</v>
      </c>
      <c r="G627">
        <v>23</v>
      </c>
      <c r="H627" s="133">
        <v>45840</v>
      </c>
      <c r="I627" s="2">
        <v>0.48840277777777774</v>
      </c>
      <c r="J627">
        <v>11</v>
      </c>
      <c r="R627" t="s">
        <v>30</v>
      </c>
      <c r="W627">
        <v>1</v>
      </c>
      <c r="X627" t="s">
        <v>30</v>
      </c>
      <c r="AC627" t="s">
        <v>1854</v>
      </c>
      <c r="AE627" s="135"/>
    </row>
    <row r="628" spans="1:31" ht="12.5" customHeight="1" x14ac:dyDescent="0.35">
      <c r="A628" t="s">
        <v>396</v>
      </c>
      <c r="C628" t="s">
        <v>1855</v>
      </c>
      <c r="D628" t="s">
        <v>385</v>
      </c>
      <c r="E628" s="133">
        <v>45840</v>
      </c>
      <c r="F628" s="2">
        <v>0.98854166666666676</v>
      </c>
      <c r="G628">
        <v>23</v>
      </c>
      <c r="H628" s="133">
        <v>45840</v>
      </c>
      <c r="I628" s="2">
        <v>0.48854166666666665</v>
      </c>
      <c r="J628">
        <v>11</v>
      </c>
      <c r="R628" t="s">
        <v>30</v>
      </c>
      <c r="W628">
        <v>1</v>
      </c>
      <c r="X628" t="s">
        <v>30</v>
      </c>
      <c r="AC628" t="s">
        <v>1856</v>
      </c>
      <c r="AE628" s="135"/>
    </row>
    <row r="629" spans="1:31" ht="12.5" customHeight="1" x14ac:dyDescent="0.35">
      <c r="A629" t="s">
        <v>396</v>
      </c>
      <c r="C629" t="s">
        <v>1857</v>
      </c>
      <c r="D629" t="s">
        <v>385</v>
      </c>
      <c r="E629" s="133">
        <v>45840</v>
      </c>
      <c r="F629" s="2">
        <v>0.98870370370370375</v>
      </c>
      <c r="G629">
        <v>23</v>
      </c>
      <c r="H629" s="133">
        <v>45840</v>
      </c>
      <c r="I629" s="2">
        <v>0.4887037037037037</v>
      </c>
      <c r="J629">
        <v>11</v>
      </c>
      <c r="R629" t="s">
        <v>30</v>
      </c>
      <c r="W629">
        <v>1</v>
      </c>
      <c r="X629" t="s">
        <v>30</v>
      </c>
      <c r="AC629" t="s">
        <v>1858</v>
      </c>
      <c r="AE629" s="135"/>
    </row>
    <row r="630" spans="1:31" ht="12.5" customHeight="1" x14ac:dyDescent="0.35">
      <c r="A630" t="s">
        <v>396</v>
      </c>
      <c r="C630" t="s">
        <v>1859</v>
      </c>
      <c r="D630" t="s">
        <v>385</v>
      </c>
      <c r="E630" s="133">
        <v>45840</v>
      </c>
      <c r="F630" s="2">
        <v>0.98879629629629628</v>
      </c>
      <c r="G630">
        <v>23</v>
      </c>
      <c r="H630" s="133">
        <v>45840</v>
      </c>
      <c r="I630" s="2">
        <v>0.48879629629629634</v>
      </c>
      <c r="J630">
        <v>11</v>
      </c>
      <c r="R630" t="s">
        <v>30</v>
      </c>
      <c r="W630">
        <v>1</v>
      </c>
      <c r="X630" t="s">
        <v>30</v>
      </c>
      <c r="AC630" t="s">
        <v>1860</v>
      </c>
      <c r="AE630" s="135"/>
    </row>
    <row r="631" spans="1:31" ht="12.5" customHeight="1" x14ac:dyDescent="0.35">
      <c r="A631" t="s">
        <v>396</v>
      </c>
      <c r="C631" t="s">
        <v>1861</v>
      </c>
      <c r="D631" t="s">
        <v>385</v>
      </c>
      <c r="E631" s="133">
        <v>45840</v>
      </c>
      <c r="F631" s="2">
        <v>0.98893518518518519</v>
      </c>
      <c r="G631">
        <v>23</v>
      </c>
      <c r="H631" s="133">
        <v>45840</v>
      </c>
      <c r="I631" s="2">
        <v>0.48893518518518514</v>
      </c>
      <c r="J631">
        <v>11</v>
      </c>
      <c r="R631" t="s">
        <v>30</v>
      </c>
      <c r="W631">
        <v>1</v>
      </c>
      <c r="X631" t="s">
        <v>30</v>
      </c>
      <c r="AC631" t="s">
        <v>1862</v>
      </c>
      <c r="AE631" s="135"/>
    </row>
    <row r="632" spans="1:31" ht="12.5" customHeight="1" x14ac:dyDescent="0.35">
      <c r="A632" t="s">
        <v>396</v>
      </c>
      <c r="C632" t="s">
        <v>1863</v>
      </c>
      <c r="D632" t="s">
        <v>385</v>
      </c>
      <c r="E632" s="133">
        <v>45840</v>
      </c>
      <c r="F632" s="2">
        <v>0.98902777777777784</v>
      </c>
      <c r="G632">
        <v>23</v>
      </c>
      <c r="H632" s="133">
        <v>45840</v>
      </c>
      <c r="I632" s="2">
        <v>0.48902777777777778</v>
      </c>
      <c r="J632">
        <v>11</v>
      </c>
      <c r="R632" t="s">
        <v>30</v>
      </c>
      <c r="W632">
        <v>1</v>
      </c>
      <c r="X632" t="s">
        <v>30</v>
      </c>
      <c r="AC632" t="s">
        <v>1864</v>
      </c>
      <c r="AE632" s="135"/>
    </row>
    <row r="633" spans="1:31" ht="12.5" customHeight="1" x14ac:dyDescent="0.35">
      <c r="A633" t="s">
        <v>396</v>
      </c>
      <c r="C633" t="s">
        <v>1865</v>
      </c>
      <c r="D633" t="s">
        <v>385</v>
      </c>
      <c r="E633" s="133">
        <v>45840</v>
      </c>
      <c r="F633" s="2">
        <v>0.98909722222222218</v>
      </c>
      <c r="G633">
        <v>23</v>
      </c>
      <c r="H633" s="133">
        <v>45840</v>
      </c>
      <c r="I633" s="2">
        <v>0.48909722222222224</v>
      </c>
      <c r="J633">
        <v>11</v>
      </c>
      <c r="R633" t="s">
        <v>30</v>
      </c>
      <c r="W633">
        <v>1</v>
      </c>
      <c r="X633" t="s">
        <v>30</v>
      </c>
      <c r="AC633" t="s">
        <v>1866</v>
      </c>
      <c r="AE633" s="135"/>
    </row>
    <row r="634" spans="1:31" ht="12.5" customHeight="1" x14ac:dyDescent="0.35">
      <c r="A634" t="s">
        <v>396</v>
      </c>
      <c r="C634" t="s">
        <v>1867</v>
      </c>
      <c r="D634" t="s">
        <v>385</v>
      </c>
      <c r="E634" s="133">
        <v>45840</v>
      </c>
      <c r="F634" s="2">
        <v>0.98918981481481483</v>
      </c>
      <c r="G634">
        <v>23</v>
      </c>
      <c r="H634" s="133">
        <v>45840</v>
      </c>
      <c r="I634" s="2">
        <v>0.48918981481481483</v>
      </c>
      <c r="J634">
        <v>11</v>
      </c>
      <c r="R634" t="s">
        <v>30</v>
      </c>
      <c r="W634">
        <v>1</v>
      </c>
      <c r="X634" t="s">
        <v>30</v>
      </c>
      <c r="AC634" t="s">
        <v>1868</v>
      </c>
      <c r="AE634" s="135"/>
    </row>
    <row r="635" spans="1:31" ht="12.5" customHeight="1" x14ac:dyDescent="0.35">
      <c r="A635" t="s">
        <v>396</v>
      </c>
      <c r="C635" t="s">
        <v>1869</v>
      </c>
      <c r="D635" t="s">
        <v>385</v>
      </c>
      <c r="E635" s="133">
        <v>45840</v>
      </c>
      <c r="F635" s="2">
        <v>0.98944444444444446</v>
      </c>
      <c r="G635">
        <v>23</v>
      </c>
      <c r="H635" s="133">
        <v>45840</v>
      </c>
      <c r="I635" s="2">
        <v>0.4894444444444444</v>
      </c>
      <c r="J635">
        <v>11</v>
      </c>
      <c r="R635" t="s">
        <v>30</v>
      </c>
      <c r="W635">
        <v>1</v>
      </c>
      <c r="X635" t="s">
        <v>30</v>
      </c>
      <c r="AC635" t="s">
        <v>1870</v>
      </c>
      <c r="AE635" s="135"/>
    </row>
    <row r="636" spans="1:31" ht="12.5" customHeight="1" x14ac:dyDescent="0.35">
      <c r="A636" t="s">
        <v>396</v>
      </c>
      <c r="C636" t="s">
        <v>1871</v>
      </c>
      <c r="D636" t="s">
        <v>385</v>
      </c>
      <c r="E636" s="133">
        <v>45840</v>
      </c>
      <c r="F636" s="2">
        <v>0.98965277777777771</v>
      </c>
      <c r="G636">
        <v>23</v>
      </c>
      <c r="H636" s="133">
        <v>45840</v>
      </c>
      <c r="I636" s="2">
        <v>0.48965277777777777</v>
      </c>
      <c r="J636">
        <v>11</v>
      </c>
      <c r="R636" t="s">
        <v>30</v>
      </c>
      <c r="W636">
        <v>1</v>
      </c>
      <c r="X636" t="s">
        <v>30</v>
      </c>
      <c r="AC636" t="s">
        <v>1872</v>
      </c>
      <c r="AE636" s="135"/>
    </row>
    <row r="637" spans="1:31" ht="12.5" customHeight="1" x14ac:dyDescent="0.35">
      <c r="A637" t="s">
        <v>396</v>
      </c>
      <c r="C637" t="s">
        <v>1873</v>
      </c>
      <c r="D637" t="s">
        <v>385</v>
      </c>
      <c r="E637" s="133">
        <v>45840</v>
      </c>
      <c r="F637" s="2">
        <v>0.98986111111111119</v>
      </c>
      <c r="G637">
        <v>23</v>
      </c>
      <c r="H637" s="133">
        <v>45840</v>
      </c>
      <c r="I637" s="2">
        <v>0.48986111111111108</v>
      </c>
      <c r="J637">
        <v>11</v>
      </c>
      <c r="R637" t="s">
        <v>30</v>
      </c>
      <c r="W637">
        <v>1</v>
      </c>
      <c r="X637" t="s">
        <v>30</v>
      </c>
      <c r="AC637" t="s">
        <v>1874</v>
      </c>
      <c r="AE637" s="135"/>
    </row>
    <row r="638" spans="1:31" ht="12.5" customHeight="1" x14ac:dyDescent="0.35">
      <c r="A638" t="s">
        <v>396</v>
      </c>
      <c r="C638" t="s">
        <v>1875</v>
      </c>
      <c r="D638" t="s">
        <v>385</v>
      </c>
      <c r="E638" s="133">
        <v>45840</v>
      </c>
      <c r="F638" s="2">
        <v>0.99618055555555562</v>
      </c>
      <c r="G638">
        <v>23</v>
      </c>
      <c r="H638" s="133">
        <v>45840</v>
      </c>
      <c r="I638" s="2">
        <v>0.49618055555555557</v>
      </c>
      <c r="J638">
        <v>11</v>
      </c>
      <c r="R638" t="s">
        <v>30</v>
      </c>
      <c r="W638">
        <v>1</v>
      </c>
      <c r="X638" t="s">
        <v>30</v>
      </c>
      <c r="AC638" t="s">
        <v>1876</v>
      </c>
      <c r="AE638" s="135"/>
    </row>
    <row r="639" spans="1:31" ht="12.5" customHeight="1" x14ac:dyDescent="0.35">
      <c r="A639" t="s">
        <v>396</v>
      </c>
      <c r="C639" t="s">
        <v>1877</v>
      </c>
      <c r="D639" t="s">
        <v>385</v>
      </c>
      <c r="E639" s="133">
        <v>45840</v>
      </c>
      <c r="F639" s="2">
        <v>0.99634259259259261</v>
      </c>
      <c r="G639">
        <v>23</v>
      </c>
      <c r="H639" s="133">
        <v>45840</v>
      </c>
      <c r="I639" s="2">
        <v>0.49634259259259261</v>
      </c>
      <c r="J639">
        <v>11</v>
      </c>
      <c r="R639" t="s">
        <v>30</v>
      </c>
      <c r="W639">
        <v>1</v>
      </c>
      <c r="X639" t="s">
        <v>30</v>
      </c>
      <c r="AC639" t="s">
        <v>1878</v>
      </c>
      <c r="AE639" s="135"/>
    </row>
    <row r="640" spans="1:31" ht="12.5" customHeight="1" x14ac:dyDescent="0.35">
      <c r="A640" t="s">
        <v>396</v>
      </c>
      <c r="C640" t="s">
        <v>1879</v>
      </c>
      <c r="D640" t="s">
        <v>385</v>
      </c>
      <c r="E640" s="133">
        <v>45840</v>
      </c>
      <c r="F640" s="2">
        <v>0.99643518518518526</v>
      </c>
      <c r="G640">
        <v>23</v>
      </c>
      <c r="H640" s="133">
        <v>45840</v>
      </c>
      <c r="I640" s="2">
        <v>0.4964351851851852</v>
      </c>
      <c r="J640">
        <v>11</v>
      </c>
      <c r="R640" t="s">
        <v>30</v>
      </c>
      <c r="W640">
        <v>1</v>
      </c>
      <c r="X640" t="s">
        <v>30</v>
      </c>
      <c r="AC640" t="s">
        <v>1880</v>
      </c>
      <c r="AE640" s="135"/>
    </row>
    <row r="641" spans="1:31" ht="12.5" customHeight="1" x14ac:dyDescent="0.35">
      <c r="A641" t="s">
        <v>396</v>
      </c>
      <c r="C641" t="s">
        <v>1881</v>
      </c>
      <c r="D641" t="s">
        <v>385</v>
      </c>
      <c r="E641" s="133">
        <v>45840</v>
      </c>
      <c r="F641" s="2">
        <v>0.9965046296296296</v>
      </c>
      <c r="G641">
        <v>23</v>
      </c>
      <c r="H641" s="133">
        <v>45840</v>
      </c>
      <c r="I641" s="2">
        <v>0.4965046296296296</v>
      </c>
      <c r="J641">
        <v>11</v>
      </c>
      <c r="R641" t="s">
        <v>30</v>
      </c>
      <c r="W641">
        <v>1</v>
      </c>
      <c r="X641" t="s">
        <v>30</v>
      </c>
      <c r="AC641" t="s">
        <v>1882</v>
      </c>
      <c r="AE641" s="135"/>
    </row>
    <row r="642" spans="1:31" ht="12.5" customHeight="1" x14ac:dyDescent="0.35">
      <c r="A642" t="s">
        <v>396</v>
      </c>
      <c r="C642" t="s">
        <v>1883</v>
      </c>
      <c r="D642" t="s">
        <v>385</v>
      </c>
      <c r="E642" s="133">
        <v>45840</v>
      </c>
      <c r="F642" s="2">
        <v>0.99659722222222225</v>
      </c>
      <c r="G642">
        <v>23</v>
      </c>
      <c r="H642" s="133">
        <v>45840</v>
      </c>
      <c r="I642" s="2">
        <v>0.49659722222222219</v>
      </c>
      <c r="J642">
        <v>11</v>
      </c>
      <c r="R642" t="s">
        <v>30</v>
      </c>
      <c r="W642">
        <v>1</v>
      </c>
      <c r="X642" t="s">
        <v>30</v>
      </c>
      <c r="AC642" t="s">
        <v>1884</v>
      </c>
      <c r="AE642" s="135"/>
    </row>
    <row r="643" spans="1:31" ht="12.5" customHeight="1" x14ac:dyDescent="0.35">
      <c r="A643" t="s">
        <v>396</v>
      </c>
      <c r="C643" t="s">
        <v>1885</v>
      </c>
      <c r="D643" t="s">
        <v>385</v>
      </c>
      <c r="E643" s="133">
        <v>45840</v>
      </c>
      <c r="F643" s="2">
        <v>0.9966666666666667</v>
      </c>
      <c r="G643">
        <v>23</v>
      </c>
      <c r="H643" s="133">
        <v>45840</v>
      </c>
      <c r="I643" s="2">
        <v>0.49666666666666665</v>
      </c>
      <c r="J643">
        <v>11</v>
      </c>
      <c r="R643" t="s">
        <v>30</v>
      </c>
      <c r="W643">
        <v>1</v>
      </c>
      <c r="X643" t="s">
        <v>30</v>
      </c>
      <c r="AC643" t="s">
        <v>1886</v>
      </c>
      <c r="AE643" s="135"/>
    </row>
    <row r="644" spans="1:31" ht="12.5" customHeight="1" x14ac:dyDescent="0.35">
      <c r="A644" t="s">
        <v>396</v>
      </c>
      <c r="C644" t="s">
        <v>1887</v>
      </c>
      <c r="D644" t="s">
        <v>385</v>
      </c>
      <c r="E644" s="133">
        <v>45840</v>
      </c>
      <c r="F644" s="2">
        <v>0.99673611111111116</v>
      </c>
      <c r="G644">
        <v>23</v>
      </c>
      <c r="H644" s="133">
        <v>45840</v>
      </c>
      <c r="I644" s="2">
        <v>0.4967361111111111</v>
      </c>
      <c r="J644">
        <v>11</v>
      </c>
      <c r="R644" t="s">
        <v>30</v>
      </c>
      <c r="W644">
        <v>1</v>
      </c>
      <c r="X644" t="s">
        <v>30</v>
      </c>
      <c r="AC644" t="s">
        <v>1888</v>
      </c>
      <c r="AE644" s="135"/>
    </row>
    <row r="645" spans="1:31" ht="12.5" customHeight="1" x14ac:dyDescent="0.35">
      <c r="A645" t="s">
        <v>396</v>
      </c>
      <c r="C645" t="s">
        <v>1889</v>
      </c>
      <c r="D645" t="s">
        <v>385</v>
      </c>
      <c r="E645" s="133">
        <v>45840</v>
      </c>
      <c r="F645" s="2">
        <v>0.99682870370370369</v>
      </c>
      <c r="G645">
        <v>23</v>
      </c>
      <c r="H645" s="133">
        <v>45840</v>
      </c>
      <c r="I645" s="2">
        <v>0.49682870370370374</v>
      </c>
      <c r="J645">
        <v>11</v>
      </c>
      <c r="R645" t="s">
        <v>30</v>
      </c>
      <c r="W645">
        <v>1</v>
      </c>
      <c r="X645" t="s">
        <v>30</v>
      </c>
      <c r="AC645" t="s">
        <v>1890</v>
      </c>
      <c r="AE645" s="135"/>
    </row>
    <row r="646" spans="1:31" ht="12.5" customHeight="1" x14ac:dyDescent="0.35">
      <c r="A646" t="s">
        <v>396</v>
      </c>
      <c r="C646" t="s">
        <v>1891</v>
      </c>
      <c r="D646" t="s">
        <v>385</v>
      </c>
      <c r="E646" s="133">
        <v>45840</v>
      </c>
      <c r="F646" s="2">
        <v>0.99689814814814814</v>
      </c>
      <c r="G646">
        <v>23</v>
      </c>
      <c r="H646" s="133">
        <v>45840</v>
      </c>
      <c r="I646" s="2">
        <v>0.4968981481481482</v>
      </c>
      <c r="J646">
        <v>11</v>
      </c>
      <c r="R646" t="s">
        <v>30</v>
      </c>
      <c r="W646">
        <v>1</v>
      </c>
      <c r="X646" t="s">
        <v>30</v>
      </c>
      <c r="AC646" t="s">
        <v>1892</v>
      </c>
      <c r="AE646" s="135"/>
    </row>
    <row r="647" spans="1:31" ht="12.5" customHeight="1" x14ac:dyDescent="0.35">
      <c r="A647" t="s">
        <v>396</v>
      </c>
      <c r="C647" t="s">
        <v>1893</v>
      </c>
      <c r="D647" t="s">
        <v>385</v>
      </c>
      <c r="E647" s="133">
        <v>45840</v>
      </c>
      <c r="F647" s="2">
        <v>0.9969675925925926</v>
      </c>
      <c r="G647">
        <v>23</v>
      </c>
      <c r="H647" s="133">
        <v>45840</v>
      </c>
      <c r="I647" s="2">
        <v>0.49696759259259254</v>
      </c>
      <c r="J647">
        <v>11</v>
      </c>
      <c r="R647" t="s">
        <v>30</v>
      </c>
      <c r="W647">
        <v>1</v>
      </c>
      <c r="X647" t="s">
        <v>30</v>
      </c>
      <c r="AC647" t="s">
        <v>1894</v>
      </c>
      <c r="AE647" s="135"/>
    </row>
    <row r="648" spans="1:31" ht="12.5" customHeight="1" x14ac:dyDescent="0.35">
      <c r="A648" t="s">
        <v>396</v>
      </c>
      <c r="C648" t="s">
        <v>1895</v>
      </c>
      <c r="D648" t="s">
        <v>385</v>
      </c>
      <c r="E648" s="133">
        <v>45840</v>
      </c>
      <c r="F648" s="2">
        <v>0.99706018518518524</v>
      </c>
      <c r="G648">
        <v>23</v>
      </c>
      <c r="H648" s="133">
        <v>45840</v>
      </c>
      <c r="I648" s="2">
        <v>0.49706018518518519</v>
      </c>
      <c r="J648">
        <v>11</v>
      </c>
      <c r="R648" t="s">
        <v>30</v>
      </c>
      <c r="W648">
        <v>1</v>
      </c>
      <c r="X648" t="s">
        <v>30</v>
      </c>
      <c r="AC648" t="s">
        <v>1896</v>
      </c>
      <c r="AE648" s="135"/>
    </row>
    <row r="649" spans="1:31" ht="12.5" customHeight="1" x14ac:dyDescent="0.35">
      <c r="A649" t="s">
        <v>396</v>
      </c>
      <c r="C649" t="s">
        <v>1897</v>
      </c>
      <c r="D649" t="s">
        <v>385</v>
      </c>
      <c r="E649" s="133">
        <v>45840</v>
      </c>
      <c r="F649" s="2">
        <v>0.99712962962962959</v>
      </c>
      <c r="G649">
        <v>23</v>
      </c>
      <c r="H649" s="133">
        <v>45840</v>
      </c>
      <c r="I649" s="2">
        <v>0.49712962962962964</v>
      </c>
      <c r="J649">
        <v>11</v>
      </c>
      <c r="R649" t="s">
        <v>30</v>
      </c>
      <c r="W649">
        <v>1</v>
      </c>
      <c r="X649" t="s">
        <v>30</v>
      </c>
      <c r="AC649" t="s">
        <v>1898</v>
      </c>
      <c r="AE649" s="135"/>
    </row>
    <row r="650" spans="1:31" ht="12.5" customHeight="1" x14ac:dyDescent="0.35">
      <c r="A650" t="s">
        <v>396</v>
      </c>
      <c r="C650" t="s">
        <v>1899</v>
      </c>
      <c r="D650" t="s">
        <v>385</v>
      </c>
      <c r="E650" s="133">
        <v>45840</v>
      </c>
      <c r="F650" s="2">
        <v>0.99719907407407404</v>
      </c>
      <c r="G650">
        <v>23</v>
      </c>
      <c r="H650" s="133">
        <v>45840</v>
      </c>
      <c r="I650" s="2">
        <v>0.4971990740740741</v>
      </c>
      <c r="J650">
        <v>11</v>
      </c>
      <c r="R650" t="s">
        <v>30</v>
      </c>
      <c r="W650">
        <v>1</v>
      </c>
      <c r="X650" t="s">
        <v>30</v>
      </c>
      <c r="AC650" t="s">
        <v>1900</v>
      </c>
      <c r="AE650" s="135"/>
    </row>
    <row r="651" spans="1:31" ht="12.5" customHeight="1" x14ac:dyDescent="0.35">
      <c r="A651" t="s">
        <v>396</v>
      </c>
      <c r="C651" t="s">
        <v>1901</v>
      </c>
      <c r="D651" t="s">
        <v>385</v>
      </c>
      <c r="E651" s="133">
        <v>45840</v>
      </c>
      <c r="F651" s="2">
        <v>0.9972685185185185</v>
      </c>
      <c r="G651">
        <v>23</v>
      </c>
      <c r="H651" s="133">
        <v>45840</v>
      </c>
      <c r="I651" s="2">
        <v>0.49726851851851855</v>
      </c>
      <c r="J651">
        <v>11</v>
      </c>
      <c r="R651" t="s">
        <v>30</v>
      </c>
      <c r="W651">
        <v>1</v>
      </c>
      <c r="X651" t="s">
        <v>30</v>
      </c>
      <c r="AC651" t="s">
        <v>1902</v>
      </c>
      <c r="AE651" s="135"/>
    </row>
    <row r="652" spans="1:31" ht="12.5" customHeight="1" x14ac:dyDescent="0.35">
      <c r="A652" t="s">
        <v>396</v>
      </c>
      <c r="C652" t="s">
        <v>1903</v>
      </c>
      <c r="D652" t="s">
        <v>385</v>
      </c>
      <c r="E652" s="133">
        <v>45840</v>
      </c>
      <c r="F652" s="2">
        <v>0.99736111111111114</v>
      </c>
      <c r="G652">
        <v>23</v>
      </c>
      <c r="H652" s="133">
        <v>45840</v>
      </c>
      <c r="I652" s="2">
        <v>0.49736111111111114</v>
      </c>
      <c r="J652">
        <v>11</v>
      </c>
      <c r="R652" t="s">
        <v>30</v>
      </c>
      <c r="W652">
        <v>1</v>
      </c>
      <c r="X652" t="s">
        <v>30</v>
      </c>
      <c r="AC652" t="s">
        <v>1904</v>
      </c>
      <c r="AE652" s="135"/>
    </row>
    <row r="653" spans="1:31" ht="12.5" customHeight="1" x14ac:dyDescent="0.35">
      <c r="A653" t="s">
        <v>396</v>
      </c>
      <c r="C653" t="s">
        <v>1905</v>
      </c>
      <c r="D653" t="s">
        <v>385</v>
      </c>
      <c r="E653" s="133">
        <v>45840</v>
      </c>
      <c r="F653" s="2">
        <v>0.99745370370370379</v>
      </c>
      <c r="G653">
        <v>23</v>
      </c>
      <c r="H653" s="133">
        <v>45840</v>
      </c>
      <c r="I653" s="2">
        <v>0.49745370370370368</v>
      </c>
      <c r="J653">
        <v>11</v>
      </c>
      <c r="R653" t="s">
        <v>30</v>
      </c>
      <c r="W653">
        <v>1</v>
      </c>
      <c r="X653" t="s">
        <v>30</v>
      </c>
      <c r="AC653" t="s">
        <v>1906</v>
      </c>
      <c r="AE653" s="135"/>
    </row>
    <row r="654" spans="1:31" ht="12.5" customHeight="1" x14ac:dyDescent="0.35">
      <c r="A654" t="s">
        <v>396</v>
      </c>
      <c r="C654" t="s">
        <v>1907</v>
      </c>
      <c r="D654" t="s">
        <v>385</v>
      </c>
      <c r="E654" s="133">
        <v>45840</v>
      </c>
      <c r="F654" s="2">
        <v>0.99754629629629632</v>
      </c>
      <c r="G654">
        <v>23</v>
      </c>
      <c r="H654" s="133">
        <v>45840</v>
      </c>
      <c r="I654" s="2">
        <v>0.49754629629629626</v>
      </c>
      <c r="J654">
        <v>11</v>
      </c>
      <c r="R654" t="s">
        <v>30</v>
      </c>
      <c r="W654">
        <v>1</v>
      </c>
      <c r="X654" t="s">
        <v>30</v>
      </c>
      <c r="AC654" t="s">
        <v>1908</v>
      </c>
      <c r="AE654" s="135"/>
    </row>
    <row r="655" spans="1:31" ht="12.5" customHeight="1" x14ac:dyDescent="0.35">
      <c r="A655" t="s">
        <v>396</v>
      </c>
      <c r="C655" t="s">
        <v>1909</v>
      </c>
      <c r="D655" t="s">
        <v>385</v>
      </c>
      <c r="E655" s="133">
        <v>45840</v>
      </c>
      <c r="F655" s="2">
        <v>0.99763888888888896</v>
      </c>
      <c r="G655">
        <v>23</v>
      </c>
      <c r="H655" s="133">
        <v>45840</v>
      </c>
      <c r="I655" s="2">
        <v>0.49763888888888891</v>
      </c>
      <c r="J655">
        <v>11</v>
      </c>
      <c r="R655" t="s">
        <v>30</v>
      </c>
      <c r="W655">
        <v>1</v>
      </c>
      <c r="X655" t="s">
        <v>239</v>
      </c>
      <c r="AC655" t="s">
        <v>1910</v>
      </c>
      <c r="AE655" s="135"/>
    </row>
    <row r="656" spans="1:31" ht="12.5" customHeight="1" x14ac:dyDescent="0.35">
      <c r="A656" t="s">
        <v>396</v>
      </c>
      <c r="C656" t="s">
        <v>1911</v>
      </c>
      <c r="D656" t="s">
        <v>385</v>
      </c>
      <c r="E656" s="133">
        <v>45840</v>
      </c>
      <c r="F656" s="2">
        <v>0.99770833333333331</v>
      </c>
      <c r="G656">
        <v>23</v>
      </c>
      <c r="H656" s="133">
        <v>45840</v>
      </c>
      <c r="I656" s="2">
        <v>0.49770833333333336</v>
      </c>
      <c r="J656">
        <v>11</v>
      </c>
      <c r="R656" t="s">
        <v>30</v>
      </c>
      <c r="W656">
        <v>1</v>
      </c>
      <c r="X656" t="s">
        <v>30</v>
      </c>
      <c r="AC656" t="s">
        <v>1912</v>
      </c>
      <c r="AE656" s="135"/>
    </row>
    <row r="657" spans="1:31" ht="12.5" customHeight="1" x14ac:dyDescent="0.35">
      <c r="A657" t="s">
        <v>396</v>
      </c>
      <c r="C657" t="s">
        <v>1913</v>
      </c>
      <c r="D657" t="s">
        <v>385</v>
      </c>
      <c r="E657" s="133">
        <v>45840</v>
      </c>
      <c r="F657" s="2">
        <v>0.99782407407407403</v>
      </c>
      <c r="G657">
        <v>23</v>
      </c>
      <c r="H657" s="133">
        <v>45840</v>
      </c>
      <c r="I657" s="2">
        <v>0.49782407407407409</v>
      </c>
      <c r="J657">
        <v>11</v>
      </c>
      <c r="R657" t="s">
        <v>30</v>
      </c>
      <c r="W657">
        <v>1</v>
      </c>
      <c r="X657" t="s">
        <v>30</v>
      </c>
      <c r="AC657" t="s">
        <v>1914</v>
      </c>
      <c r="AE657" s="135"/>
    </row>
    <row r="658" spans="1:31" ht="12.5" customHeight="1" x14ac:dyDescent="0.35">
      <c r="A658" t="s">
        <v>396</v>
      </c>
      <c r="C658" t="s">
        <v>1915</v>
      </c>
      <c r="D658" t="s">
        <v>385</v>
      </c>
      <c r="E658" s="133">
        <v>45840</v>
      </c>
      <c r="F658" s="2">
        <v>0.99791666666666667</v>
      </c>
      <c r="G658">
        <v>23</v>
      </c>
      <c r="H658" s="133">
        <v>45840</v>
      </c>
      <c r="I658" s="2">
        <v>0.49791666666666662</v>
      </c>
      <c r="J658">
        <v>11</v>
      </c>
      <c r="R658" t="s">
        <v>30</v>
      </c>
      <c r="W658">
        <v>1</v>
      </c>
      <c r="X658" t="s">
        <v>30</v>
      </c>
      <c r="AC658" t="s">
        <v>1916</v>
      </c>
      <c r="AE658" s="135"/>
    </row>
    <row r="659" spans="1:31" ht="12.5" customHeight="1" x14ac:dyDescent="0.35">
      <c r="A659" t="s">
        <v>396</v>
      </c>
      <c r="C659" t="s">
        <v>1917</v>
      </c>
      <c r="D659" t="s">
        <v>385</v>
      </c>
      <c r="E659" s="133">
        <v>45840</v>
      </c>
      <c r="F659" s="2">
        <v>0.99800925925925921</v>
      </c>
      <c r="G659">
        <v>23</v>
      </c>
      <c r="H659" s="133">
        <v>45840</v>
      </c>
      <c r="I659" s="2">
        <v>0.49800925925925926</v>
      </c>
      <c r="J659">
        <v>11</v>
      </c>
      <c r="R659" t="s">
        <v>30</v>
      </c>
      <c r="W659">
        <v>1</v>
      </c>
      <c r="X659" t="s">
        <v>30</v>
      </c>
      <c r="AC659" t="s">
        <v>1918</v>
      </c>
      <c r="AE659" s="135"/>
    </row>
    <row r="660" spans="1:31" ht="12.5" customHeight="1" x14ac:dyDescent="0.35">
      <c r="A660" t="s">
        <v>396</v>
      </c>
      <c r="C660" t="s">
        <v>1919</v>
      </c>
      <c r="D660" t="s">
        <v>385</v>
      </c>
      <c r="E660" s="133">
        <v>45840</v>
      </c>
      <c r="F660" s="2">
        <v>0.99812499999999993</v>
      </c>
      <c r="G660">
        <v>23</v>
      </c>
      <c r="H660" s="133">
        <v>45840</v>
      </c>
      <c r="I660" s="2">
        <v>0.49812499999999998</v>
      </c>
      <c r="J660">
        <v>11</v>
      </c>
      <c r="R660" t="s">
        <v>30</v>
      </c>
      <c r="W660">
        <v>1</v>
      </c>
      <c r="X660" t="s">
        <v>30</v>
      </c>
      <c r="AC660" t="s">
        <v>1920</v>
      </c>
      <c r="AE660" s="135"/>
    </row>
    <row r="661" spans="1:31" ht="12.5" customHeight="1" x14ac:dyDescent="0.35">
      <c r="A661" t="s">
        <v>396</v>
      </c>
      <c r="C661" t="s">
        <v>1921</v>
      </c>
      <c r="D661" t="s">
        <v>385</v>
      </c>
      <c r="E661" s="133">
        <v>45840</v>
      </c>
      <c r="F661" s="2">
        <v>0.99821759259259257</v>
      </c>
      <c r="G661">
        <v>23</v>
      </c>
      <c r="H661" s="133">
        <v>45840</v>
      </c>
      <c r="I661" s="2">
        <v>0.49821759259259263</v>
      </c>
      <c r="J661">
        <v>11</v>
      </c>
      <c r="R661" t="s">
        <v>30</v>
      </c>
      <c r="W661">
        <v>1</v>
      </c>
      <c r="X661" t="s">
        <v>30</v>
      </c>
      <c r="AC661" t="s">
        <v>1922</v>
      </c>
      <c r="AE661" s="135"/>
    </row>
    <row r="662" spans="1:31" ht="12.5" customHeight="1" x14ac:dyDescent="0.35">
      <c r="A662" t="s">
        <v>396</v>
      </c>
      <c r="C662" t="s">
        <v>1923</v>
      </c>
      <c r="D662" t="s">
        <v>385</v>
      </c>
      <c r="E662" s="133">
        <v>45840</v>
      </c>
      <c r="F662" s="2">
        <v>0.99833333333333341</v>
      </c>
      <c r="G662">
        <v>23</v>
      </c>
      <c r="H662" s="133">
        <v>45840</v>
      </c>
      <c r="I662" s="2">
        <v>0.49833333333333335</v>
      </c>
      <c r="J662">
        <v>11</v>
      </c>
      <c r="R662" t="s">
        <v>30</v>
      </c>
      <c r="W662">
        <v>1</v>
      </c>
      <c r="X662" t="s">
        <v>30</v>
      </c>
      <c r="AC662" t="s">
        <v>1924</v>
      </c>
      <c r="AE662" s="135"/>
    </row>
    <row r="663" spans="1:31" ht="12.5" customHeight="1" x14ac:dyDescent="0.35">
      <c r="A663" t="s">
        <v>396</v>
      </c>
      <c r="C663" t="s">
        <v>1925</v>
      </c>
      <c r="D663" t="s">
        <v>385</v>
      </c>
      <c r="E663" s="133">
        <v>45840</v>
      </c>
      <c r="F663" s="2">
        <v>0.99916666666666665</v>
      </c>
      <c r="G663">
        <v>23</v>
      </c>
      <c r="H663" s="133">
        <v>45840</v>
      </c>
      <c r="I663" s="2">
        <v>0.4991666666666667</v>
      </c>
      <c r="J663">
        <v>11</v>
      </c>
      <c r="R663" t="s">
        <v>30</v>
      </c>
      <c r="W663">
        <v>1</v>
      </c>
      <c r="X663" t="s">
        <v>30</v>
      </c>
      <c r="AC663" t="s">
        <v>1926</v>
      </c>
      <c r="AE663" s="135"/>
    </row>
    <row r="664" spans="1:31" ht="12.5" customHeight="1" x14ac:dyDescent="0.35">
      <c r="A664" t="s">
        <v>396</v>
      </c>
      <c r="C664" t="s">
        <v>1927</v>
      </c>
      <c r="D664" t="s">
        <v>385</v>
      </c>
      <c r="E664" s="133">
        <v>45840</v>
      </c>
      <c r="F664" s="2">
        <v>0.9992361111111111</v>
      </c>
      <c r="G664">
        <v>23</v>
      </c>
      <c r="H664" s="133">
        <v>45840</v>
      </c>
      <c r="I664" s="2">
        <v>0.49923611111111116</v>
      </c>
      <c r="J664">
        <v>11</v>
      </c>
      <c r="R664" t="s">
        <v>30</v>
      </c>
      <c r="W664">
        <v>1</v>
      </c>
      <c r="X664" t="s">
        <v>30</v>
      </c>
      <c r="AC664" t="s">
        <v>1928</v>
      </c>
      <c r="AE664" s="135"/>
    </row>
    <row r="665" spans="1:31" ht="12.5" customHeight="1" x14ac:dyDescent="0.35">
      <c r="A665" t="s">
        <v>396</v>
      </c>
      <c r="C665" t="s">
        <v>1929</v>
      </c>
      <c r="D665" t="s">
        <v>385</v>
      </c>
      <c r="E665" s="133">
        <v>45840</v>
      </c>
      <c r="F665" s="2">
        <v>0.99930555555555556</v>
      </c>
      <c r="G665">
        <v>23</v>
      </c>
      <c r="H665" s="133">
        <v>45840</v>
      </c>
      <c r="I665" s="2">
        <v>0.4993055555555555</v>
      </c>
      <c r="J665">
        <v>11</v>
      </c>
      <c r="R665" t="s">
        <v>30</v>
      </c>
      <c r="W665">
        <v>1</v>
      </c>
      <c r="X665" t="s">
        <v>30</v>
      </c>
      <c r="AC665" t="s">
        <v>1930</v>
      </c>
      <c r="AE665" s="135"/>
    </row>
    <row r="666" spans="1:31" ht="12.5" customHeight="1" x14ac:dyDescent="0.35">
      <c r="A666" t="s">
        <v>396</v>
      </c>
      <c r="C666" t="s">
        <v>1931</v>
      </c>
      <c r="D666" t="s">
        <v>385</v>
      </c>
      <c r="E666" s="133">
        <v>45840</v>
      </c>
      <c r="F666" s="2">
        <v>0.9993981481481482</v>
      </c>
      <c r="G666">
        <v>23</v>
      </c>
      <c r="H666" s="133">
        <v>45840</v>
      </c>
      <c r="I666" s="2">
        <v>0.49939814814814815</v>
      </c>
      <c r="J666">
        <v>11</v>
      </c>
      <c r="R666" t="s">
        <v>30</v>
      </c>
      <c r="W666">
        <v>1</v>
      </c>
      <c r="X666" t="s">
        <v>30</v>
      </c>
      <c r="AC666" t="s">
        <v>1932</v>
      </c>
      <c r="AE666" s="135"/>
    </row>
    <row r="667" spans="1:31" ht="12.5" customHeight="1" x14ac:dyDescent="0.35">
      <c r="A667" t="s">
        <v>396</v>
      </c>
      <c r="C667" t="s">
        <v>1933</v>
      </c>
      <c r="D667" t="s">
        <v>385</v>
      </c>
      <c r="E667" s="133">
        <v>45840</v>
      </c>
      <c r="F667" s="2">
        <v>0.99946759259259255</v>
      </c>
      <c r="G667">
        <v>23</v>
      </c>
      <c r="H667" s="133">
        <v>45840</v>
      </c>
      <c r="I667" s="2">
        <v>0.4994675925925926</v>
      </c>
      <c r="J667">
        <v>11</v>
      </c>
      <c r="R667" t="s">
        <v>30</v>
      </c>
      <c r="W667">
        <v>1</v>
      </c>
      <c r="X667" t="s">
        <v>30</v>
      </c>
      <c r="AC667" t="s">
        <v>1934</v>
      </c>
      <c r="AE667" s="135"/>
    </row>
    <row r="668" spans="1:31" ht="12.5" customHeight="1" x14ac:dyDescent="0.35">
      <c r="A668" t="s">
        <v>396</v>
      </c>
      <c r="C668" t="s">
        <v>1935</v>
      </c>
      <c r="D668" t="s">
        <v>385</v>
      </c>
      <c r="E668" s="133">
        <v>45840</v>
      </c>
      <c r="F668" s="2">
        <v>0.999537037037037</v>
      </c>
      <c r="G668">
        <v>23</v>
      </c>
      <c r="H668" s="133">
        <v>45840</v>
      </c>
      <c r="I668" s="2">
        <v>0.49953703703703706</v>
      </c>
      <c r="J668">
        <v>11</v>
      </c>
      <c r="R668" t="s">
        <v>30</v>
      </c>
      <c r="W668">
        <v>1</v>
      </c>
      <c r="X668" t="s">
        <v>30</v>
      </c>
      <c r="AC668" t="s">
        <v>1936</v>
      </c>
      <c r="AE668" s="135"/>
    </row>
    <row r="669" spans="1:31" ht="12.5" customHeight="1" x14ac:dyDescent="0.35">
      <c r="A669" t="s">
        <v>396</v>
      </c>
      <c r="C669" t="s">
        <v>1937</v>
      </c>
      <c r="D669" t="s">
        <v>385</v>
      </c>
      <c r="E669" s="133">
        <v>45840</v>
      </c>
      <c r="F669" s="2">
        <v>0.99962962962962953</v>
      </c>
      <c r="G669">
        <v>23</v>
      </c>
      <c r="H669" s="133">
        <v>45840</v>
      </c>
      <c r="I669" s="2">
        <v>0.49962962962962965</v>
      </c>
      <c r="J669">
        <v>11</v>
      </c>
      <c r="R669" t="s">
        <v>30</v>
      </c>
      <c r="W669">
        <v>1</v>
      </c>
      <c r="X669" t="s">
        <v>30</v>
      </c>
      <c r="AC669" t="s">
        <v>1938</v>
      </c>
      <c r="AE669" s="135"/>
    </row>
    <row r="670" spans="1:31" ht="12.5" customHeight="1" x14ac:dyDescent="0.35">
      <c r="A670" t="s">
        <v>396</v>
      </c>
      <c r="C670" t="s">
        <v>1939</v>
      </c>
      <c r="D670" t="s">
        <v>385</v>
      </c>
      <c r="E670" s="133">
        <v>45840</v>
      </c>
      <c r="F670" s="2">
        <v>0.9996990740740741</v>
      </c>
      <c r="G670">
        <v>23</v>
      </c>
      <c r="H670" s="133">
        <v>45840</v>
      </c>
      <c r="I670" s="2">
        <v>0.4996990740740741</v>
      </c>
      <c r="J670">
        <v>11</v>
      </c>
      <c r="R670" t="s">
        <v>30</v>
      </c>
      <c r="W670">
        <v>1</v>
      </c>
      <c r="X670" t="s">
        <v>30</v>
      </c>
      <c r="AC670" t="s">
        <v>1940</v>
      </c>
      <c r="AE670" s="135"/>
    </row>
    <row r="671" spans="1:31" ht="12.5" customHeight="1" x14ac:dyDescent="0.35">
      <c r="A671" t="s">
        <v>396</v>
      </c>
      <c r="C671" t="s">
        <v>1941</v>
      </c>
      <c r="D671" t="s">
        <v>385</v>
      </c>
      <c r="E671" s="133">
        <v>45840</v>
      </c>
      <c r="F671" s="2">
        <v>0.99976851851851845</v>
      </c>
      <c r="G671">
        <v>23</v>
      </c>
      <c r="H671" s="133">
        <v>45840</v>
      </c>
      <c r="I671" s="2">
        <v>0.4997685185185185</v>
      </c>
      <c r="J671">
        <v>11</v>
      </c>
      <c r="R671" t="s">
        <v>30</v>
      </c>
      <c r="W671">
        <v>1</v>
      </c>
      <c r="X671" t="s">
        <v>30</v>
      </c>
      <c r="AC671" t="s">
        <v>1942</v>
      </c>
      <c r="AE671" s="135"/>
    </row>
    <row r="672" spans="1:31" ht="12.5" customHeight="1" x14ac:dyDescent="0.35">
      <c r="A672" t="s">
        <v>396</v>
      </c>
      <c r="C672" t="s">
        <v>1943</v>
      </c>
      <c r="D672" t="s">
        <v>385</v>
      </c>
      <c r="E672" s="133">
        <v>45840</v>
      </c>
      <c r="F672" s="2">
        <v>0.99983796296296301</v>
      </c>
      <c r="G672">
        <v>23</v>
      </c>
      <c r="H672" s="133">
        <v>45840</v>
      </c>
      <c r="I672" s="2">
        <v>0.49983796296296296</v>
      </c>
      <c r="J672">
        <v>11</v>
      </c>
      <c r="R672" t="s">
        <v>30</v>
      </c>
      <c r="W672">
        <v>1</v>
      </c>
      <c r="X672" t="s">
        <v>30</v>
      </c>
      <c r="AC672" t="s">
        <v>1944</v>
      </c>
      <c r="AE672" s="135"/>
    </row>
    <row r="673" spans="1:31" ht="12.5" customHeight="1" x14ac:dyDescent="0.35">
      <c r="A673" t="s">
        <v>396</v>
      </c>
      <c r="C673" t="s">
        <v>1945</v>
      </c>
      <c r="D673" t="s">
        <v>385</v>
      </c>
      <c r="E673" s="133">
        <v>45840</v>
      </c>
      <c r="F673" s="2">
        <v>0.99993055555555566</v>
      </c>
      <c r="G673">
        <v>23</v>
      </c>
      <c r="H673" s="133">
        <v>45840</v>
      </c>
      <c r="I673" s="2">
        <v>0.49993055555555554</v>
      </c>
      <c r="J673">
        <v>11</v>
      </c>
      <c r="R673" t="s">
        <v>30</v>
      </c>
      <c r="W673">
        <v>1</v>
      </c>
      <c r="X673" t="s">
        <v>30</v>
      </c>
      <c r="AC673" t="s">
        <v>1946</v>
      </c>
      <c r="AE673" s="135"/>
    </row>
    <row r="674" spans="1:31" ht="12.5" customHeight="1" x14ac:dyDescent="0.35">
      <c r="A674" t="s">
        <v>396</v>
      </c>
      <c r="C674" t="s">
        <v>1947</v>
      </c>
      <c r="D674" t="s">
        <v>385</v>
      </c>
      <c r="E674" s="133">
        <v>45841</v>
      </c>
      <c r="F674" s="2">
        <v>0</v>
      </c>
      <c r="G674">
        <v>0</v>
      </c>
      <c r="H674" s="133">
        <v>45840</v>
      </c>
      <c r="I674" s="2">
        <v>0.5</v>
      </c>
      <c r="J674">
        <v>12</v>
      </c>
      <c r="R674" t="s">
        <v>30</v>
      </c>
      <c r="W674">
        <v>1</v>
      </c>
      <c r="X674" t="s">
        <v>30</v>
      </c>
      <c r="AC674" t="s">
        <v>1948</v>
      </c>
      <c r="AE674" s="135"/>
    </row>
    <row r="675" spans="1:31" ht="12.5" customHeight="1" x14ac:dyDescent="0.35">
      <c r="A675" t="s">
        <v>396</v>
      </c>
      <c r="C675" t="s">
        <v>1949</v>
      </c>
      <c r="D675" t="s">
        <v>385</v>
      </c>
      <c r="E675" s="133">
        <v>45841</v>
      </c>
      <c r="F675" s="2">
        <v>9.2592592592592588E-5</v>
      </c>
      <c r="G675">
        <v>0</v>
      </c>
      <c r="H675" s="133">
        <v>45840</v>
      </c>
      <c r="I675" s="2">
        <v>0.50009259259259264</v>
      </c>
      <c r="J675">
        <v>12</v>
      </c>
      <c r="R675" t="s">
        <v>30</v>
      </c>
      <c r="W675">
        <v>1</v>
      </c>
      <c r="X675" t="s">
        <v>30</v>
      </c>
      <c r="AC675" t="s">
        <v>1950</v>
      </c>
      <c r="AE675" s="135"/>
    </row>
    <row r="676" spans="1:31" ht="12.5" customHeight="1" x14ac:dyDescent="0.35">
      <c r="A676" t="s">
        <v>396</v>
      </c>
      <c r="C676" t="s">
        <v>1951</v>
      </c>
      <c r="D676" t="s">
        <v>385</v>
      </c>
      <c r="E676" s="133">
        <v>45841</v>
      </c>
      <c r="F676" s="2">
        <v>1.6203703703703703E-4</v>
      </c>
      <c r="G676">
        <v>0</v>
      </c>
      <c r="H676" s="133">
        <v>45840</v>
      </c>
      <c r="I676" s="2">
        <v>0.5001620370370371</v>
      </c>
      <c r="J676">
        <v>12</v>
      </c>
      <c r="R676" t="s">
        <v>30</v>
      </c>
      <c r="W676">
        <v>1</v>
      </c>
      <c r="X676" t="s">
        <v>30</v>
      </c>
      <c r="AC676" t="s">
        <v>1952</v>
      </c>
      <c r="AE676" s="135"/>
    </row>
    <row r="677" spans="1:31" ht="12.5" customHeight="1" x14ac:dyDescent="0.35">
      <c r="A677" t="s">
        <v>396</v>
      </c>
      <c r="C677" t="s">
        <v>1953</v>
      </c>
      <c r="D677" t="s">
        <v>385</v>
      </c>
      <c r="E677" s="133">
        <v>45841</v>
      </c>
      <c r="F677" s="2">
        <v>2.5462962962962961E-4</v>
      </c>
      <c r="G677">
        <v>0</v>
      </c>
      <c r="H677" s="133">
        <v>45840</v>
      </c>
      <c r="I677" s="2">
        <v>0.50025462962962963</v>
      </c>
      <c r="J677">
        <v>12</v>
      </c>
      <c r="R677" t="s">
        <v>30</v>
      </c>
      <c r="W677">
        <v>1</v>
      </c>
      <c r="X677" t="s">
        <v>30</v>
      </c>
      <c r="AC677" t="s">
        <v>1954</v>
      </c>
      <c r="AE677" s="135"/>
    </row>
    <row r="678" spans="1:31" ht="12.5" customHeight="1" x14ac:dyDescent="0.35">
      <c r="A678" t="s">
        <v>396</v>
      </c>
      <c r="C678" t="s">
        <v>1955</v>
      </c>
      <c r="D678" t="s">
        <v>385</v>
      </c>
      <c r="E678" s="133">
        <v>45841</v>
      </c>
      <c r="F678" s="2">
        <v>3.2407407407407406E-4</v>
      </c>
      <c r="G678">
        <v>0</v>
      </c>
      <c r="H678" s="133">
        <v>45840</v>
      </c>
      <c r="I678" s="2">
        <v>0.50032407407407409</v>
      </c>
      <c r="J678">
        <v>12</v>
      </c>
      <c r="R678" t="s">
        <v>30</v>
      </c>
      <c r="W678">
        <v>1</v>
      </c>
      <c r="X678" t="s">
        <v>30</v>
      </c>
      <c r="AC678" t="s">
        <v>1956</v>
      </c>
      <c r="AE678" s="135"/>
    </row>
    <row r="679" spans="1:31" ht="12.5" customHeight="1" x14ac:dyDescent="0.35">
      <c r="A679" t="s">
        <v>396</v>
      </c>
      <c r="C679" t="s">
        <v>1957</v>
      </c>
      <c r="D679" t="s">
        <v>385</v>
      </c>
      <c r="E679" s="133">
        <v>45841</v>
      </c>
      <c r="F679" s="2">
        <v>4.1666666666666669E-4</v>
      </c>
      <c r="G679">
        <v>0</v>
      </c>
      <c r="H679" s="133">
        <v>45840</v>
      </c>
      <c r="I679" s="2">
        <v>0.50041666666666662</v>
      </c>
      <c r="J679">
        <v>12</v>
      </c>
      <c r="R679" t="s">
        <v>30</v>
      </c>
      <c r="W679">
        <v>1</v>
      </c>
      <c r="X679" t="s">
        <v>30</v>
      </c>
      <c r="AC679" t="s">
        <v>1958</v>
      </c>
      <c r="AE679" s="135"/>
    </row>
    <row r="680" spans="1:31" ht="12.5" customHeight="1" x14ac:dyDescent="0.35">
      <c r="A680" t="s">
        <v>396</v>
      </c>
      <c r="C680" t="s">
        <v>1959</v>
      </c>
      <c r="D680" t="s">
        <v>385</v>
      </c>
      <c r="E680" s="133">
        <v>45841</v>
      </c>
      <c r="F680" s="2">
        <v>4.8611111111111104E-4</v>
      </c>
      <c r="G680">
        <v>0</v>
      </c>
      <c r="H680" s="133">
        <v>45840</v>
      </c>
      <c r="I680" s="2">
        <v>0.50048611111111108</v>
      </c>
      <c r="J680">
        <v>12</v>
      </c>
      <c r="R680" t="s">
        <v>30</v>
      </c>
      <c r="W680">
        <v>1</v>
      </c>
      <c r="X680" t="s">
        <v>30</v>
      </c>
      <c r="AC680" t="s">
        <v>1960</v>
      </c>
      <c r="AE680" s="135"/>
    </row>
    <row r="681" spans="1:31" ht="12.5" customHeight="1" x14ac:dyDescent="0.35">
      <c r="A681" t="s">
        <v>396</v>
      </c>
      <c r="C681" t="s">
        <v>1961</v>
      </c>
      <c r="D681" t="s">
        <v>385</v>
      </c>
      <c r="E681" s="133">
        <v>45841</v>
      </c>
      <c r="F681" s="2">
        <v>5.5555555555555556E-4</v>
      </c>
      <c r="G681">
        <v>0</v>
      </c>
      <c r="H681" s="133">
        <v>45840</v>
      </c>
      <c r="I681" s="2">
        <v>0.50055555555555553</v>
      </c>
      <c r="J681">
        <v>12</v>
      </c>
      <c r="R681" t="s">
        <v>30</v>
      </c>
      <c r="W681">
        <v>1</v>
      </c>
      <c r="X681" t="s">
        <v>30</v>
      </c>
      <c r="AC681" t="s">
        <v>1962</v>
      </c>
      <c r="AE681" s="135"/>
    </row>
    <row r="682" spans="1:31" ht="12.5" customHeight="1" x14ac:dyDescent="0.35">
      <c r="A682" t="s">
        <v>396</v>
      </c>
      <c r="C682" t="s">
        <v>1963</v>
      </c>
      <c r="D682" t="s">
        <v>385</v>
      </c>
      <c r="E682" s="133">
        <v>45841</v>
      </c>
      <c r="F682" s="2">
        <v>6.4814814814814813E-4</v>
      </c>
      <c r="G682">
        <v>0</v>
      </c>
      <c r="H682" s="133">
        <v>45840</v>
      </c>
      <c r="I682" s="2">
        <v>0.50064814814814818</v>
      </c>
      <c r="J682">
        <v>12</v>
      </c>
      <c r="R682" t="s">
        <v>30</v>
      </c>
      <c r="W682">
        <v>1</v>
      </c>
      <c r="X682" t="s">
        <v>30</v>
      </c>
      <c r="AC682" t="s">
        <v>1964</v>
      </c>
      <c r="AE682" s="135"/>
    </row>
    <row r="683" spans="1:31" ht="12.5" customHeight="1" x14ac:dyDescent="0.35">
      <c r="A683" t="s">
        <v>396</v>
      </c>
      <c r="C683" t="s">
        <v>1965</v>
      </c>
      <c r="D683" t="s">
        <v>385</v>
      </c>
      <c r="E683" s="133">
        <v>45841</v>
      </c>
      <c r="F683" s="2">
        <v>7.407407407407407E-4</v>
      </c>
      <c r="G683">
        <v>0</v>
      </c>
      <c r="H683" s="133">
        <v>45840</v>
      </c>
      <c r="I683" s="2">
        <v>0.50074074074074071</v>
      </c>
      <c r="J683">
        <v>12</v>
      </c>
      <c r="R683" t="s">
        <v>30</v>
      </c>
      <c r="W683">
        <v>1</v>
      </c>
      <c r="X683" t="s">
        <v>30</v>
      </c>
      <c r="AC683" t="s">
        <v>1966</v>
      </c>
      <c r="AE683" s="135"/>
    </row>
    <row r="684" spans="1:31" ht="12.5" customHeight="1" x14ac:dyDescent="0.35">
      <c r="A684" t="s">
        <v>396</v>
      </c>
      <c r="C684" t="s">
        <v>1967</v>
      </c>
      <c r="D684" t="s">
        <v>385</v>
      </c>
      <c r="E684" s="133">
        <v>45841</v>
      </c>
      <c r="F684" s="2">
        <v>8.1018518518518516E-4</v>
      </c>
      <c r="G684">
        <v>0</v>
      </c>
      <c r="H684" s="133">
        <v>45840</v>
      </c>
      <c r="I684" s="2">
        <v>0.50081018518518516</v>
      </c>
      <c r="J684">
        <v>12</v>
      </c>
      <c r="R684" t="s">
        <v>30</v>
      </c>
      <c r="W684">
        <v>1</v>
      </c>
      <c r="X684" t="s">
        <v>30</v>
      </c>
      <c r="AC684" t="s">
        <v>1968</v>
      </c>
      <c r="AE684" s="135"/>
    </row>
    <row r="685" spans="1:31" ht="12.5" customHeight="1" x14ac:dyDescent="0.35">
      <c r="A685" t="s">
        <v>396</v>
      </c>
      <c r="C685" t="s">
        <v>1969</v>
      </c>
      <c r="D685" t="s">
        <v>385</v>
      </c>
      <c r="E685" s="133">
        <v>45841</v>
      </c>
      <c r="F685" s="2">
        <v>8.7962962962962962E-4</v>
      </c>
      <c r="G685">
        <v>0</v>
      </c>
      <c r="H685" s="133">
        <v>45840</v>
      </c>
      <c r="I685" s="2">
        <v>0.50087962962962962</v>
      </c>
      <c r="J685">
        <v>12</v>
      </c>
      <c r="R685" t="s">
        <v>30</v>
      </c>
      <c r="W685">
        <v>1</v>
      </c>
      <c r="X685" t="s">
        <v>30</v>
      </c>
      <c r="AC685" t="s">
        <v>1970</v>
      </c>
      <c r="AE685" s="135"/>
    </row>
    <row r="686" spans="1:31" ht="12.5" customHeight="1" x14ac:dyDescent="0.35">
      <c r="A686" t="s">
        <v>396</v>
      </c>
      <c r="C686" t="s">
        <v>1971</v>
      </c>
      <c r="D686" t="s">
        <v>385</v>
      </c>
      <c r="E686" s="133">
        <v>45841</v>
      </c>
      <c r="F686" s="2">
        <v>9.7222222222222209E-4</v>
      </c>
      <c r="G686">
        <v>0</v>
      </c>
      <c r="H686" s="133">
        <v>45840</v>
      </c>
      <c r="I686" s="2">
        <v>0.50097222222222226</v>
      </c>
      <c r="J686">
        <v>12</v>
      </c>
      <c r="R686" t="s">
        <v>30</v>
      </c>
      <c r="W686">
        <v>1</v>
      </c>
      <c r="X686" t="s">
        <v>30</v>
      </c>
      <c r="AC686" t="s">
        <v>1972</v>
      </c>
      <c r="AE686" s="135"/>
    </row>
    <row r="687" spans="1:31" ht="12.5" customHeight="1" x14ac:dyDescent="0.35">
      <c r="A687" t="s">
        <v>396</v>
      </c>
      <c r="C687" t="s">
        <v>1973</v>
      </c>
      <c r="D687" t="s">
        <v>385</v>
      </c>
      <c r="E687" s="133">
        <v>45841</v>
      </c>
      <c r="F687" s="2">
        <v>1.0416666666666667E-3</v>
      </c>
      <c r="G687">
        <v>0</v>
      </c>
      <c r="H687" s="133">
        <v>45840</v>
      </c>
      <c r="I687" s="2">
        <v>0.50104166666666672</v>
      </c>
      <c r="J687">
        <v>12</v>
      </c>
      <c r="R687" t="s">
        <v>30</v>
      </c>
      <c r="W687">
        <v>1</v>
      </c>
      <c r="X687" t="s">
        <v>30</v>
      </c>
      <c r="AC687" t="s">
        <v>1974</v>
      </c>
      <c r="AE687" s="135"/>
    </row>
    <row r="688" spans="1:31" ht="12.5" customHeight="1" x14ac:dyDescent="0.35">
      <c r="A688" t="s">
        <v>396</v>
      </c>
      <c r="C688" t="s">
        <v>1975</v>
      </c>
      <c r="D688" t="s">
        <v>385</v>
      </c>
      <c r="E688" s="133">
        <v>45841</v>
      </c>
      <c r="F688" s="2">
        <v>1.1111111111111111E-3</v>
      </c>
      <c r="G688">
        <v>0</v>
      </c>
      <c r="H688" s="133">
        <v>45840</v>
      </c>
      <c r="I688" s="2">
        <v>0.50111111111111117</v>
      </c>
      <c r="J688">
        <v>12</v>
      </c>
      <c r="R688" t="s">
        <v>30</v>
      </c>
      <c r="W688">
        <v>1</v>
      </c>
      <c r="X688" t="s">
        <v>30</v>
      </c>
      <c r="AC688" t="s">
        <v>1976</v>
      </c>
      <c r="AE688" s="135"/>
    </row>
    <row r="689" spans="1:31" ht="12.5" customHeight="1" x14ac:dyDescent="0.35">
      <c r="A689" t="s">
        <v>396</v>
      </c>
      <c r="C689" t="s">
        <v>1977</v>
      </c>
      <c r="D689" t="s">
        <v>385</v>
      </c>
      <c r="E689" s="133">
        <v>45841</v>
      </c>
      <c r="F689" s="2">
        <v>1.1805555555555556E-3</v>
      </c>
      <c r="G689">
        <v>0</v>
      </c>
      <c r="H689" s="133">
        <v>45840</v>
      </c>
      <c r="I689" s="2">
        <v>0.50118055555555563</v>
      </c>
      <c r="J689">
        <v>12</v>
      </c>
      <c r="R689" t="s">
        <v>30</v>
      </c>
      <c r="W689">
        <v>1</v>
      </c>
      <c r="X689" t="s">
        <v>30</v>
      </c>
      <c r="AC689" t="s">
        <v>1978</v>
      </c>
      <c r="AE689" s="135"/>
    </row>
    <row r="690" spans="1:31" ht="12.5" customHeight="1" x14ac:dyDescent="0.35">
      <c r="A690" t="s">
        <v>396</v>
      </c>
      <c r="C690" t="s">
        <v>1979</v>
      </c>
      <c r="D690" t="s">
        <v>385</v>
      </c>
      <c r="E690" s="133">
        <v>45841</v>
      </c>
      <c r="F690" s="2">
        <v>1.2731481481481483E-3</v>
      </c>
      <c r="G690">
        <v>0</v>
      </c>
      <c r="H690" s="133">
        <v>45840</v>
      </c>
      <c r="I690" s="2">
        <v>0.50127314814814816</v>
      </c>
      <c r="J690">
        <v>12</v>
      </c>
      <c r="R690" t="s">
        <v>30</v>
      </c>
      <c r="W690">
        <v>1</v>
      </c>
      <c r="X690" t="s">
        <v>30</v>
      </c>
      <c r="AC690" t="s">
        <v>1980</v>
      </c>
      <c r="AE690" s="135"/>
    </row>
    <row r="691" spans="1:31" ht="12.5" customHeight="1" x14ac:dyDescent="0.35">
      <c r="A691" t="s">
        <v>396</v>
      </c>
      <c r="C691" t="s">
        <v>1981</v>
      </c>
      <c r="D691" t="s">
        <v>385</v>
      </c>
      <c r="E691" s="133">
        <v>45841</v>
      </c>
      <c r="F691" s="2">
        <v>1.3425925925925925E-3</v>
      </c>
      <c r="G691">
        <v>0</v>
      </c>
      <c r="H691" s="133">
        <v>45840</v>
      </c>
      <c r="I691" s="2">
        <v>0.50134259259259262</v>
      </c>
      <c r="J691">
        <v>12</v>
      </c>
      <c r="R691" t="s">
        <v>30</v>
      </c>
      <c r="W691">
        <v>1</v>
      </c>
      <c r="X691" t="s">
        <v>30</v>
      </c>
      <c r="AC691" t="s">
        <v>1982</v>
      </c>
      <c r="AE691" s="135"/>
    </row>
    <row r="692" spans="1:31" ht="12.5" customHeight="1" x14ac:dyDescent="0.35">
      <c r="A692" t="s">
        <v>396</v>
      </c>
      <c r="C692" t="s">
        <v>1983</v>
      </c>
      <c r="D692" t="s">
        <v>385</v>
      </c>
      <c r="E692" s="133">
        <v>45841</v>
      </c>
      <c r="F692" s="2">
        <v>1.4120370370370369E-3</v>
      </c>
      <c r="G692">
        <v>0</v>
      </c>
      <c r="H692" s="133">
        <v>45840</v>
      </c>
      <c r="I692" s="2">
        <v>0.50141203703703707</v>
      </c>
      <c r="J692">
        <v>12</v>
      </c>
      <c r="R692" t="s">
        <v>30</v>
      </c>
      <c r="W692">
        <v>1</v>
      </c>
      <c r="X692" t="s">
        <v>30</v>
      </c>
      <c r="AC692" t="s">
        <v>1984</v>
      </c>
      <c r="AE692" s="135"/>
    </row>
    <row r="693" spans="1:31" ht="12.5" customHeight="1" x14ac:dyDescent="0.35">
      <c r="A693" t="s">
        <v>396</v>
      </c>
      <c r="C693" t="s">
        <v>1985</v>
      </c>
      <c r="D693" t="s">
        <v>385</v>
      </c>
      <c r="E693" s="133">
        <v>45841</v>
      </c>
      <c r="F693" s="2">
        <v>1.5046296296296294E-3</v>
      </c>
      <c r="G693">
        <v>0</v>
      </c>
      <c r="H693" s="133">
        <v>45840</v>
      </c>
      <c r="I693" s="2">
        <v>0.50150462962962961</v>
      </c>
      <c r="J693">
        <v>12</v>
      </c>
      <c r="R693" t="s">
        <v>30</v>
      </c>
      <c r="W693">
        <v>1</v>
      </c>
      <c r="X693" t="s">
        <v>30</v>
      </c>
      <c r="AC693" t="s">
        <v>1986</v>
      </c>
      <c r="AE693" s="135"/>
    </row>
    <row r="694" spans="1:31" ht="12.5" customHeight="1" x14ac:dyDescent="0.35">
      <c r="A694" t="s">
        <v>396</v>
      </c>
      <c r="C694" t="s">
        <v>1987</v>
      </c>
      <c r="D694" t="s">
        <v>385</v>
      </c>
      <c r="E694" s="133">
        <v>45841</v>
      </c>
      <c r="F694" s="2">
        <v>1.5740740740740741E-3</v>
      </c>
      <c r="G694">
        <v>0</v>
      </c>
      <c r="H694" s="133">
        <v>45840</v>
      </c>
      <c r="I694" s="2">
        <v>0.50157407407407406</v>
      </c>
      <c r="J694">
        <v>12</v>
      </c>
      <c r="R694" t="s">
        <v>30</v>
      </c>
      <c r="W694">
        <v>1</v>
      </c>
      <c r="X694" t="s">
        <v>30</v>
      </c>
      <c r="AC694" t="s">
        <v>1988</v>
      </c>
      <c r="AE694" s="135"/>
    </row>
    <row r="695" spans="1:31" ht="12.5" customHeight="1" x14ac:dyDescent="0.35">
      <c r="A695" t="s">
        <v>396</v>
      </c>
      <c r="C695" t="s">
        <v>1989</v>
      </c>
      <c r="D695" t="s">
        <v>385</v>
      </c>
      <c r="E695" s="133">
        <v>45841</v>
      </c>
      <c r="F695" s="2">
        <v>1.6666666666666668E-3</v>
      </c>
      <c r="G695">
        <v>0</v>
      </c>
      <c r="H695" s="133">
        <v>45840</v>
      </c>
      <c r="I695" s="2">
        <v>0.50166666666666659</v>
      </c>
      <c r="J695">
        <v>12</v>
      </c>
      <c r="R695" t="s">
        <v>30</v>
      </c>
      <c r="W695">
        <v>1</v>
      </c>
      <c r="X695" t="s">
        <v>30</v>
      </c>
      <c r="AC695" t="s">
        <v>1990</v>
      </c>
      <c r="AE695" s="135"/>
    </row>
    <row r="696" spans="1:31" ht="12.5" customHeight="1" x14ac:dyDescent="0.35">
      <c r="A696" t="s">
        <v>396</v>
      </c>
      <c r="C696" t="s">
        <v>1991</v>
      </c>
      <c r="D696" t="s">
        <v>385</v>
      </c>
      <c r="E696" s="133">
        <v>45841</v>
      </c>
      <c r="F696" s="2">
        <v>1.7592592592592592E-3</v>
      </c>
      <c r="G696">
        <v>0</v>
      </c>
      <c r="H696" s="133">
        <v>45840</v>
      </c>
      <c r="I696" s="2">
        <v>0.50175925925925924</v>
      </c>
      <c r="J696">
        <v>12</v>
      </c>
      <c r="R696" t="s">
        <v>30</v>
      </c>
      <c r="W696">
        <v>1</v>
      </c>
      <c r="X696" t="s">
        <v>30</v>
      </c>
      <c r="AC696" t="s">
        <v>1992</v>
      </c>
      <c r="AE696" s="135"/>
    </row>
    <row r="697" spans="1:31" ht="12.5" customHeight="1" x14ac:dyDescent="0.35">
      <c r="A697" t="s">
        <v>396</v>
      </c>
      <c r="C697" t="s">
        <v>1993</v>
      </c>
      <c r="D697" t="s">
        <v>385</v>
      </c>
      <c r="E697" s="133">
        <v>45841</v>
      </c>
      <c r="F697" s="2">
        <v>1.8287037037037037E-3</v>
      </c>
      <c r="G697">
        <v>0</v>
      </c>
      <c r="H697" s="133">
        <v>45840</v>
      </c>
      <c r="I697" s="2">
        <v>0.50182870370370369</v>
      </c>
      <c r="J697">
        <v>12</v>
      </c>
      <c r="R697" t="s">
        <v>30</v>
      </c>
      <c r="W697">
        <v>1</v>
      </c>
      <c r="X697" t="s">
        <v>30</v>
      </c>
      <c r="AC697" t="s">
        <v>1994</v>
      </c>
      <c r="AE697" s="135"/>
    </row>
    <row r="698" spans="1:31" ht="12.5" customHeight="1" x14ac:dyDescent="0.35">
      <c r="A698" t="s">
        <v>396</v>
      </c>
      <c r="C698" t="s">
        <v>1995</v>
      </c>
      <c r="D698" t="s">
        <v>385</v>
      </c>
      <c r="E698" s="133">
        <v>45841</v>
      </c>
      <c r="F698" s="2">
        <v>1.9212962962962962E-3</v>
      </c>
      <c r="G698">
        <v>0</v>
      </c>
      <c r="H698" s="133">
        <v>45840</v>
      </c>
      <c r="I698" s="2">
        <v>0.50192129629629634</v>
      </c>
      <c r="J698">
        <v>12</v>
      </c>
      <c r="R698" t="s">
        <v>30</v>
      </c>
      <c r="W698">
        <v>1</v>
      </c>
      <c r="X698" t="s">
        <v>30</v>
      </c>
      <c r="AC698" t="s">
        <v>1996</v>
      </c>
      <c r="AE698" s="135"/>
    </row>
    <row r="699" spans="1:31" ht="12.5" customHeight="1" x14ac:dyDescent="0.35">
      <c r="A699" t="s">
        <v>396</v>
      </c>
      <c r="C699" t="s">
        <v>1997</v>
      </c>
      <c r="D699" t="s">
        <v>385</v>
      </c>
      <c r="E699" s="133">
        <v>45841</v>
      </c>
      <c r="F699" s="2">
        <v>2.0138888888888888E-3</v>
      </c>
      <c r="G699">
        <v>0</v>
      </c>
      <c r="H699" s="133">
        <v>45840</v>
      </c>
      <c r="I699" s="2">
        <v>0.50201388888888887</v>
      </c>
      <c r="J699">
        <v>12</v>
      </c>
      <c r="R699" t="s">
        <v>30</v>
      </c>
      <c r="W699">
        <v>1</v>
      </c>
      <c r="X699" t="s">
        <v>30</v>
      </c>
      <c r="AC699" t="s">
        <v>1998</v>
      </c>
      <c r="AE699" s="135"/>
    </row>
    <row r="700" spans="1:31" ht="12.5" customHeight="1" x14ac:dyDescent="0.35">
      <c r="A700" t="s">
        <v>396</v>
      </c>
      <c r="C700" t="s">
        <v>1999</v>
      </c>
      <c r="D700" t="s">
        <v>385</v>
      </c>
      <c r="E700" s="133">
        <v>45841</v>
      </c>
      <c r="F700" s="2">
        <v>2.0833333333333333E-3</v>
      </c>
      <c r="G700">
        <v>0</v>
      </c>
      <c r="H700" s="133">
        <v>45840</v>
      </c>
      <c r="I700" s="2">
        <v>0.50208333333333333</v>
      </c>
      <c r="J700">
        <v>12</v>
      </c>
      <c r="R700" t="s">
        <v>30</v>
      </c>
      <c r="W700">
        <v>1</v>
      </c>
      <c r="X700" t="s">
        <v>30</v>
      </c>
      <c r="AC700" t="s">
        <v>2000</v>
      </c>
      <c r="AE700" s="135"/>
    </row>
    <row r="701" spans="1:31" ht="12.5" customHeight="1" x14ac:dyDescent="0.35">
      <c r="A701" t="s">
        <v>396</v>
      </c>
      <c r="C701" t="s">
        <v>2001</v>
      </c>
      <c r="D701" t="s">
        <v>385</v>
      </c>
      <c r="E701" s="133">
        <v>45841</v>
      </c>
      <c r="F701" s="2">
        <v>2.1759259259259258E-3</v>
      </c>
      <c r="G701">
        <v>0</v>
      </c>
      <c r="H701" s="133">
        <v>45840</v>
      </c>
      <c r="I701" s="2">
        <v>0.50217592592592586</v>
      </c>
      <c r="J701">
        <v>12</v>
      </c>
      <c r="R701" t="s">
        <v>30</v>
      </c>
      <c r="W701">
        <v>1</v>
      </c>
      <c r="X701" t="s">
        <v>30</v>
      </c>
      <c r="AC701" t="s">
        <v>2002</v>
      </c>
      <c r="AE701" s="135"/>
    </row>
    <row r="702" spans="1:31" ht="12.5" customHeight="1" x14ac:dyDescent="0.35">
      <c r="A702" t="s">
        <v>396</v>
      </c>
      <c r="C702" t="s">
        <v>2003</v>
      </c>
      <c r="D702" t="s">
        <v>385</v>
      </c>
      <c r="E702" s="133">
        <v>45841</v>
      </c>
      <c r="F702" s="2">
        <v>2.3148148148148151E-3</v>
      </c>
      <c r="G702">
        <v>0</v>
      </c>
      <c r="H702" s="133">
        <v>45840</v>
      </c>
      <c r="I702" s="2">
        <v>0.50231481481481477</v>
      </c>
      <c r="J702">
        <v>12</v>
      </c>
      <c r="R702" t="s">
        <v>30</v>
      </c>
      <c r="W702">
        <v>1</v>
      </c>
      <c r="X702" t="s">
        <v>30</v>
      </c>
      <c r="AC702" t="s">
        <v>2004</v>
      </c>
      <c r="AE702" s="135"/>
    </row>
    <row r="703" spans="1:31" ht="12.5" customHeight="1" x14ac:dyDescent="0.35">
      <c r="A703" t="s">
        <v>396</v>
      </c>
      <c r="C703" t="s">
        <v>2005</v>
      </c>
      <c r="D703" t="s">
        <v>385</v>
      </c>
      <c r="E703" s="133">
        <v>45841</v>
      </c>
      <c r="F703" s="2">
        <v>2.4074074074074076E-3</v>
      </c>
      <c r="G703">
        <v>0</v>
      </c>
      <c r="H703" s="133">
        <v>45840</v>
      </c>
      <c r="I703" s="2">
        <v>0.50240740740740741</v>
      </c>
      <c r="J703">
        <v>12</v>
      </c>
      <c r="R703" t="s">
        <v>30</v>
      </c>
      <c r="W703">
        <v>1</v>
      </c>
      <c r="X703" t="s">
        <v>30</v>
      </c>
      <c r="AC703" t="s">
        <v>2006</v>
      </c>
      <c r="AE703" s="135"/>
    </row>
    <row r="704" spans="1:31" ht="12.5" customHeight="1" x14ac:dyDescent="0.35">
      <c r="A704" t="s">
        <v>396</v>
      </c>
      <c r="C704" t="s">
        <v>2007</v>
      </c>
      <c r="D704" t="s">
        <v>385</v>
      </c>
      <c r="E704" s="133">
        <v>45841</v>
      </c>
      <c r="F704" s="2">
        <v>2.5231481481481481E-3</v>
      </c>
      <c r="G704">
        <v>0</v>
      </c>
      <c r="H704" s="133">
        <v>45840</v>
      </c>
      <c r="I704" s="2">
        <v>0.50252314814814814</v>
      </c>
      <c r="J704">
        <v>12</v>
      </c>
      <c r="R704" t="s">
        <v>30</v>
      </c>
      <c r="W704">
        <v>1</v>
      </c>
      <c r="X704" t="s">
        <v>30</v>
      </c>
      <c r="AC704" t="s">
        <v>2008</v>
      </c>
      <c r="AE704" s="135"/>
    </row>
    <row r="705" spans="1:31" ht="12.5" customHeight="1" x14ac:dyDescent="0.35">
      <c r="A705" t="s">
        <v>396</v>
      </c>
      <c r="C705" t="s">
        <v>2009</v>
      </c>
      <c r="D705" t="s">
        <v>385</v>
      </c>
      <c r="E705" s="133">
        <v>45841</v>
      </c>
      <c r="F705" s="2">
        <v>2.6388888888888885E-3</v>
      </c>
      <c r="G705">
        <v>0</v>
      </c>
      <c r="H705" s="133">
        <v>45840</v>
      </c>
      <c r="I705" s="2">
        <v>0.50263888888888886</v>
      </c>
      <c r="J705">
        <v>12</v>
      </c>
      <c r="R705" t="s">
        <v>30</v>
      </c>
      <c r="W705">
        <v>1</v>
      </c>
      <c r="X705" t="s">
        <v>30</v>
      </c>
      <c r="AC705" t="s">
        <v>2010</v>
      </c>
      <c r="AE705" s="135"/>
    </row>
    <row r="706" spans="1:31" ht="12.5" customHeight="1" x14ac:dyDescent="0.35">
      <c r="A706" t="s">
        <v>396</v>
      </c>
      <c r="C706" t="s">
        <v>2011</v>
      </c>
      <c r="D706" t="s">
        <v>385</v>
      </c>
      <c r="E706" s="133">
        <v>45841</v>
      </c>
      <c r="F706" s="2">
        <v>2.7083333333333334E-3</v>
      </c>
      <c r="G706">
        <v>0</v>
      </c>
      <c r="H706" s="133">
        <v>45840</v>
      </c>
      <c r="I706" s="2">
        <v>0.50270833333333331</v>
      </c>
      <c r="J706">
        <v>12</v>
      </c>
      <c r="R706" t="s">
        <v>30</v>
      </c>
      <c r="W706">
        <v>1</v>
      </c>
      <c r="X706" t="s">
        <v>30</v>
      </c>
      <c r="AC706" t="s">
        <v>2012</v>
      </c>
      <c r="AE706" s="135"/>
    </row>
    <row r="707" spans="1:31" ht="12.5" customHeight="1" x14ac:dyDescent="0.35">
      <c r="A707" t="s">
        <v>396</v>
      </c>
      <c r="C707" t="s">
        <v>2013</v>
      </c>
      <c r="D707" t="s">
        <v>385</v>
      </c>
      <c r="E707" s="133">
        <v>45841</v>
      </c>
      <c r="F707" s="2">
        <v>2.8009259259259259E-3</v>
      </c>
      <c r="G707">
        <v>0</v>
      </c>
      <c r="H707" s="133">
        <v>45840</v>
      </c>
      <c r="I707" s="2">
        <v>0.50280092592592596</v>
      </c>
      <c r="J707">
        <v>12</v>
      </c>
      <c r="R707" t="s">
        <v>30</v>
      </c>
      <c r="W707">
        <v>1</v>
      </c>
      <c r="X707" t="s">
        <v>30</v>
      </c>
      <c r="AC707" t="s">
        <v>2014</v>
      </c>
      <c r="AE707" s="135"/>
    </row>
    <row r="708" spans="1:31" ht="12.5" customHeight="1" x14ac:dyDescent="0.35">
      <c r="A708" t="s">
        <v>396</v>
      </c>
      <c r="C708" t="s">
        <v>2015</v>
      </c>
      <c r="D708" t="s">
        <v>385</v>
      </c>
      <c r="E708" s="133">
        <v>45841</v>
      </c>
      <c r="F708" s="2">
        <v>2.8703703703703708E-3</v>
      </c>
      <c r="G708">
        <v>0</v>
      </c>
      <c r="H708" s="133">
        <v>45840</v>
      </c>
      <c r="I708" s="2">
        <v>0.50287037037037041</v>
      </c>
      <c r="J708">
        <v>12</v>
      </c>
      <c r="R708" t="s">
        <v>30</v>
      </c>
      <c r="W708">
        <v>1</v>
      </c>
      <c r="X708" t="s">
        <v>30</v>
      </c>
      <c r="AC708" t="s">
        <v>2016</v>
      </c>
      <c r="AE708" s="135"/>
    </row>
    <row r="709" spans="1:31" ht="12.5" customHeight="1" x14ac:dyDescent="0.35">
      <c r="A709" t="s">
        <v>396</v>
      </c>
      <c r="C709" t="s">
        <v>2017</v>
      </c>
      <c r="D709" t="s">
        <v>385</v>
      </c>
      <c r="E709" s="133">
        <v>45841</v>
      </c>
      <c r="F709" s="2">
        <v>2.9861111111111113E-3</v>
      </c>
      <c r="G709">
        <v>0</v>
      </c>
      <c r="H709" s="133">
        <v>45840</v>
      </c>
      <c r="I709" s="2">
        <v>0.50298611111111113</v>
      </c>
      <c r="J709">
        <v>12</v>
      </c>
      <c r="R709" t="s">
        <v>30</v>
      </c>
      <c r="W709">
        <v>1</v>
      </c>
      <c r="X709" t="s">
        <v>30</v>
      </c>
      <c r="AC709" t="s">
        <v>2018</v>
      </c>
      <c r="AE709" s="135"/>
    </row>
    <row r="710" spans="1:31" ht="12.5" customHeight="1" x14ac:dyDescent="0.35">
      <c r="A710" t="s">
        <v>396</v>
      </c>
      <c r="C710" t="s">
        <v>2019</v>
      </c>
      <c r="D710" t="s">
        <v>385</v>
      </c>
      <c r="E710" s="133">
        <v>45841</v>
      </c>
      <c r="F710" s="2">
        <v>3.1018518518518522E-3</v>
      </c>
      <c r="G710">
        <v>0</v>
      </c>
      <c r="H710" s="133">
        <v>45840</v>
      </c>
      <c r="I710" s="2">
        <v>0.50310185185185186</v>
      </c>
      <c r="J710">
        <v>12</v>
      </c>
      <c r="R710" t="s">
        <v>30</v>
      </c>
      <c r="W710">
        <v>1</v>
      </c>
      <c r="X710" t="s">
        <v>30</v>
      </c>
      <c r="AC710" t="s">
        <v>2020</v>
      </c>
      <c r="AE710" s="135"/>
    </row>
    <row r="711" spans="1:31" ht="12.5" customHeight="1" x14ac:dyDescent="0.35">
      <c r="A711" t="s">
        <v>396</v>
      </c>
      <c r="C711" t="s">
        <v>2021</v>
      </c>
      <c r="D711" t="s">
        <v>385</v>
      </c>
      <c r="E711" s="133">
        <v>45841</v>
      </c>
      <c r="F711" s="2">
        <v>3.3101851851851851E-3</v>
      </c>
      <c r="G711">
        <v>0</v>
      </c>
      <c r="H711" s="133">
        <v>45840</v>
      </c>
      <c r="I711" s="2">
        <v>0.50331018518518522</v>
      </c>
      <c r="J711">
        <v>12</v>
      </c>
      <c r="R711" t="s">
        <v>30</v>
      </c>
      <c r="W711">
        <v>1</v>
      </c>
      <c r="X711" t="s">
        <v>30</v>
      </c>
      <c r="AC711" t="s">
        <v>2022</v>
      </c>
      <c r="AE711" s="135"/>
    </row>
    <row r="712" spans="1:31" ht="12.5" customHeight="1" x14ac:dyDescent="0.35">
      <c r="A712" t="s">
        <v>396</v>
      </c>
      <c r="C712" t="s">
        <v>2023</v>
      </c>
      <c r="D712" t="s">
        <v>385</v>
      </c>
      <c r="E712" s="133">
        <v>45841</v>
      </c>
      <c r="F712" s="2">
        <v>3.425925925925926E-3</v>
      </c>
      <c r="G712">
        <v>0</v>
      </c>
      <c r="H712" s="133">
        <v>45840</v>
      </c>
      <c r="I712" s="2">
        <v>0.50342592592592594</v>
      </c>
      <c r="J712">
        <v>12</v>
      </c>
      <c r="R712" t="s">
        <v>30</v>
      </c>
      <c r="W712">
        <v>1</v>
      </c>
      <c r="X712" t="s">
        <v>30</v>
      </c>
      <c r="AC712" t="s">
        <v>2024</v>
      </c>
      <c r="AE712" s="135"/>
    </row>
    <row r="713" spans="1:31" ht="12.5" customHeight="1" x14ac:dyDescent="0.35">
      <c r="A713" t="s">
        <v>396</v>
      </c>
      <c r="C713" t="s">
        <v>2025</v>
      </c>
      <c r="D713" t="s">
        <v>385</v>
      </c>
      <c r="E713" s="133">
        <v>45841</v>
      </c>
      <c r="F713" s="2">
        <v>3.5185185185185185E-3</v>
      </c>
      <c r="G713">
        <v>0</v>
      </c>
      <c r="H713" s="133">
        <v>45840</v>
      </c>
      <c r="I713" s="2">
        <v>0.50351851851851859</v>
      </c>
      <c r="J713">
        <v>12</v>
      </c>
      <c r="R713" t="s">
        <v>30</v>
      </c>
      <c r="W713">
        <v>1</v>
      </c>
      <c r="X713" t="s">
        <v>30</v>
      </c>
      <c r="AC713" t="s">
        <v>2026</v>
      </c>
      <c r="AE713" s="135"/>
    </row>
    <row r="714" spans="1:31" ht="12.5" customHeight="1" x14ac:dyDescent="0.35">
      <c r="A714" t="s">
        <v>396</v>
      </c>
      <c r="C714" t="s">
        <v>2027</v>
      </c>
      <c r="D714" t="s">
        <v>385</v>
      </c>
      <c r="E714" s="133">
        <v>45841</v>
      </c>
      <c r="F714" s="2">
        <v>3.5879629629629629E-3</v>
      </c>
      <c r="G714">
        <v>0</v>
      </c>
      <c r="H714" s="133">
        <v>45840</v>
      </c>
      <c r="I714" s="2">
        <v>0.50358796296296293</v>
      </c>
      <c r="J714">
        <v>12</v>
      </c>
      <c r="R714" t="s">
        <v>30</v>
      </c>
      <c r="W714">
        <v>1</v>
      </c>
      <c r="X714" t="s">
        <v>30</v>
      </c>
      <c r="AC714" t="s">
        <v>2028</v>
      </c>
      <c r="AE714" s="135"/>
    </row>
    <row r="715" spans="1:31" ht="12.5" customHeight="1" x14ac:dyDescent="0.35">
      <c r="A715" t="s">
        <v>396</v>
      </c>
      <c r="C715" t="s">
        <v>2029</v>
      </c>
      <c r="D715" t="s">
        <v>385</v>
      </c>
      <c r="E715" s="133">
        <v>45841</v>
      </c>
      <c r="F715" s="2">
        <v>3.7037037037037034E-3</v>
      </c>
      <c r="G715">
        <v>0</v>
      </c>
      <c r="H715" s="133">
        <v>45840</v>
      </c>
      <c r="I715" s="2">
        <v>0.50370370370370365</v>
      </c>
      <c r="J715">
        <v>12</v>
      </c>
      <c r="R715" t="s">
        <v>30</v>
      </c>
      <c r="W715">
        <v>1</v>
      </c>
      <c r="X715" t="s">
        <v>30</v>
      </c>
      <c r="AC715" t="s">
        <v>2030</v>
      </c>
      <c r="AE715" s="135"/>
    </row>
    <row r="716" spans="1:31" ht="12.5" customHeight="1" x14ac:dyDescent="0.35">
      <c r="A716" t="s">
        <v>396</v>
      </c>
      <c r="C716" t="s">
        <v>2031</v>
      </c>
      <c r="D716" t="s">
        <v>385</v>
      </c>
      <c r="E716" s="133">
        <v>45841</v>
      </c>
      <c r="F716" s="2">
        <v>3.7731481481481483E-3</v>
      </c>
      <c r="G716">
        <v>0</v>
      </c>
      <c r="H716" s="133">
        <v>45840</v>
      </c>
      <c r="I716" s="2">
        <v>0.50377314814814811</v>
      </c>
      <c r="J716">
        <v>12</v>
      </c>
      <c r="R716" t="s">
        <v>30</v>
      </c>
      <c r="W716">
        <v>1</v>
      </c>
      <c r="X716" t="s">
        <v>30</v>
      </c>
      <c r="AC716" t="s">
        <v>2032</v>
      </c>
      <c r="AE716" s="135"/>
    </row>
    <row r="717" spans="1:31" ht="12.5" customHeight="1" x14ac:dyDescent="0.35">
      <c r="A717" t="s">
        <v>396</v>
      </c>
      <c r="C717" t="s">
        <v>2033</v>
      </c>
      <c r="D717" t="s">
        <v>385</v>
      </c>
      <c r="E717" s="133">
        <v>45841</v>
      </c>
      <c r="F717" s="2">
        <v>3.8888888888888883E-3</v>
      </c>
      <c r="G717">
        <v>0</v>
      </c>
      <c r="H717" s="133">
        <v>45840</v>
      </c>
      <c r="I717" s="2">
        <v>0.50388888888888894</v>
      </c>
      <c r="J717">
        <v>12</v>
      </c>
      <c r="R717" t="s">
        <v>30</v>
      </c>
      <c r="W717">
        <v>1</v>
      </c>
      <c r="X717" t="s">
        <v>30</v>
      </c>
      <c r="AC717" t="s">
        <v>2034</v>
      </c>
      <c r="AE717" s="135"/>
    </row>
    <row r="718" spans="1:31" ht="12.5" customHeight="1" x14ac:dyDescent="0.35">
      <c r="A718" t="s">
        <v>396</v>
      </c>
      <c r="C718" t="s">
        <v>2035</v>
      </c>
      <c r="D718" t="s">
        <v>385</v>
      </c>
      <c r="E718" s="133">
        <v>45841</v>
      </c>
      <c r="F718" s="2">
        <v>4.0046296296296297E-3</v>
      </c>
      <c r="G718">
        <v>0</v>
      </c>
      <c r="H718" s="133">
        <v>45840</v>
      </c>
      <c r="I718" s="2">
        <v>0.50400462962962966</v>
      </c>
      <c r="J718">
        <v>12</v>
      </c>
      <c r="R718" t="s">
        <v>30</v>
      </c>
      <c r="W718">
        <v>1</v>
      </c>
      <c r="X718" t="s">
        <v>30</v>
      </c>
      <c r="AC718" t="s">
        <v>2036</v>
      </c>
      <c r="AE718" s="135"/>
    </row>
    <row r="719" spans="1:31" ht="12.5" customHeight="1" x14ac:dyDescent="0.35">
      <c r="A719" t="s">
        <v>396</v>
      </c>
      <c r="C719" t="s">
        <v>2037</v>
      </c>
      <c r="D719" t="s">
        <v>385</v>
      </c>
      <c r="E719" s="133">
        <v>45841</v>
      </c>
      <c r="F719" s="2">
        <v>4.1898148148148146E-3</v>
      </c>
      <c r="G719">
        <v>0</v>
      </c>
      <c r="H719" s="133">
        <v>45840</v>
      </c>
      <c r="I719" s="2">
        <v>0.50418981481481484</v>
      </c>
      <c r="J719">
        <v>12</v>
      </c>
      <c r="R719" t="s">
        <v>30</v>
      </c>
      <c r="W719">
        <v>1</v>
      </c>
      <c r="X719" t="s">
        <v>30</v>
      </c>
      <c r="AC719" t="s">
        <v>2038</v>
      </c>
      <c r="AE719" s="135"/>
    </row>
    <row r="720" spans="1:31" ht="12.5" customHeight="1" x14ac:dyDescent="0.35">
      <c r="A720" t="s">
        <v>396</v>
      </c>
      <c r="C720" t="s">
        <v>2039</v>
      </c>
      <c r="D720" t="s">
        <v>385</v>
      </c>
      <c r="E720" s="133">
        <v>45841</v>
      </c>
      <c r="F720" s="2">
        <v>4.2824074074074075E-3</v>
      </c>
      <c r="G720">
        <v>0</v>
      </c>
      <c r="H720" s="133">
        <v>45840</v>
      </c>
      <c r="I720" s="2">
        <v>0.50428240740740737</v>
      </c>
      <c r="J720">
        <v>12</v>
      </c>
      <c r="R720" t="s">
        <v>30</v>
      </c>
      <c r="W720">
        <v>1</v>
      </c>
      <c r="X720" t="s">
        <v>30</v>
      </c>
      <c r="AC720" t="s">
        <v>2040</v>
      </c>
      <c r="AE720" s="135"/>
    </row>
    <row r="721" spans="1:31" ht="12.5" customHeight="1" x14ac:dyDescent="0.35">
      <c r="A721" t="s">
        <v>396</v>
      </c>
      <c r="C721" t="s">
        <v>2041</v>
      </c>
      <c r="D721" t="s">
        <v>385</v>
      </c>
      <c r="E721" s="133">
        <v>45841</v>
      </c>
      <c r="F721" s="2">
        <v>4.4675925925925933E-3</v>
      </c>
      <c r="G721">
        <v>0</v>
      </c>
      <c r="H721" s="133">
        <v>45840</v>
      </c>
      <c r="I721" s="2">
        <v>0.50446759259259266</v>
      </c>
      <c r="J721">
        <v>12</v>
      </c>
      <c r="R721" t="s">
        <v>30</v>
      </c>
      <c r="W721">
        <v>1</v>
      </c>
      <c r="X721" t="s">
        <v>30</v>
      </c>
      <c r="AC721" t="s">
        <v>2042</v>
      </c>
      <c r="AE721" s="135"/>
    </row>
    <row r="722" spans="1:31" ht="12.5" customHeight="1" x14ac:dyDescent="0.35">
      <c r="A722" t="s">
        <v>396</v>
      </c>
      <c r="C722" t="s">
        <v>2043</v>
      </c>
      <c r="D722" t="s">
        <v>385</v>
      </c>
      <c r="E722" s="133">
        <v>45841</v>
      </c>
      <c r="F722" s="2">
        <v>4.5370370370370365E-3</v>
      </c>
      <c r="G722">
        <v>0</v>
      </c>
      <c r="H722" s="133">
        <v>45840</v>
      </c>
      <c r="I722" s="2">
        <v>0.50453703703703701</v>
      </c>
      <c r="J722">
        <v>12</v>
      </c>
      <c r="R722" t="s">
        <v>30</v>
      </c>
      <c r="W722">
        <v>1</v>
      </c>
      <c r="X722" t="s">
        <v>30</v>
      </c>
      <c r="AC722" t="s">
        <v>2044</v>
      </c>
      <c r="AE722" s="135"/>
    </row>
    <row r="723" spans="1:31" ht="12.5" customHeight="1" x14ac:dyDescent="0.35">
      <c r="A723" t="s">
        <v>396</v>
      </c>
      <c r="C723" t="s">
        <v>2045</v>
      </c>
      <c r="D723" t="s">
        <v>385</v>
      </c>
      <c r="E723" s="133">
        <v>45841</v>
      </c>
      <c r="F723" s="2">
        <v>4.6527777777777774E-3</v>
      </c>
      <c r="G723">
        <v>0</v>
      </c>
      <c r="H723" s="133">
        <v>45840</v>
      </c>
      <c r="I723" s="2">
        <v>0.50465277777777773</v>
      </c>
      <c r="J723">
        <v>12</v>
      </c>
      <c r="R723" t="s">
        <v>30</v>
      </c>
      <c r="W723">
        <v>1</v>
      </c>
      <c r="X723" t="s">
        <v>30</v>
      </c>
      <c r="AC723" t="s">
        <v>2046</v>
      </c>
      <c r="AE723" s="135"/>
    </row>
    <row r="724" spans="1:31" ht="12.5" customHeight="1" x14ac:dyDescent="0.35">
      <c r="A724" t="s">
        <v>396</v>
      </c>
      <c r="C724" t="s">
        <v>2047</v>
      </c>
      <c r="D724" t="s">
        <v>385</v>
      </c>
      <c r="E724" s="133">
        <v>45841</v>
      </c>
      <c r="F724" s="2">
        <v>4.8148148148148152E-3</v>
      </c>
      <c r="G724">
        <v>0</v>
      </c>
      <c r="H724" s="133">
        <v>45840</v>
      </c>
      <c r="I724" s="2">
        <v>0.50481481481481483</v>
      </c>
      <c r="J724">
        <v>12</v>
      </c>
      <c r="R724" t="s">
        <v>30</v>
      </c>
      <c r="W724">
        <v>1</v>
      </c>
      <c r="X724" t="s">
        <v>30</v>
      </c>
      <c r="AC724" t="s">
        <v>2048</v>
      </c>
      <c r="AE724" s="135"/>
    </row>
    <row r="725" spans="1:31" ht="12.5" customHeight="1" x14ac:dyDescent="0.35">
      <c r="A725" t="s">
        <v>396</v>
      </c>
      <c r="C725" t="s">
        <v>2049</v>
      </c>
      <c r="D725" t="s">
        <v>385</v>
      </c>
      <c r="E725" s="133">
        <v>45841</v>
      </c>
      <c r="F725" s="2">
        <v>4.9768518518518521E-3</v>
      </c>
      <c r="G725">
        <v>0</v>
      </c>
      <c r="H725" s="133">
        <v>45840</v>
      </c>
      <c r="I725" s="2">
        <v>0.50497685185185182</v>
      </c>
      <c r="J725">
        <v>12</v>
      </c>
      <c r="R725" t="s">
        <v>30</v>
      </c>
      <c r="W725">
        <v>1</v>
      </c>
      <c r="X725" t="s">
        <v>30</v>
      </c>
      <c r="AC725" t="s">
        <v>2050</v>
      </c>
      <c r="AE725" s="135"/>
    </row>
    <row r="726" spans="1:31" ht="12.5" customHeight="1" x14ac:dyDescent="0.35">
      <c r="A726" t="s">
        <v>396</v>
      </c>
      <c r="C726" t="s">
        <v>2051</v>
      </c>
      <c r="D726" t="s">
        <v>385</v>
      </c>
      <c r="E726" s="133">
        <v>45841</v>
      </c>
      <c r="F726" s="2">
        <v>5.138888888888889E-3</v>
      </c>
      <c r="G726">
        <v>0</v>
      </c>
      <c r="H726" s="133">
        <v>45840</v>
      </c>
      <c r="I726" s="2">
        <v>0.50513888888888892</v>
      </c>
      <c r="J726">
        <v>12</v>
      </c>
      <c r="R726" t="s">
        <v>30</v>
      </c>
      <c r="W726">
        <v>1</v>
      </c>
      <c r="X726" t="s">
        <v>30</v>
      </c>
      <c r="AC726" t="s">
        <v>2052</v>
      </c>
      <c r="AE726" s="135"/>
    </row>
    <row r="727" spans="1:31" ht="12.5" customHeight="1" x14ac:dyDescent="0.35">
      <c r="A727" t="s">
        <v>396</v>
      </c>
      <c r="C727" t="s">
        <v>2053</v>
      </c>
      <c r="D727" t="s">
        <v>385</v>
      </c>
      <c r="E727" s="133">
        <v>45841</v>
      </c>
      <c r="F727" s="2">
        <v>5.3009259259259251E-3</v>
      </c>
      <c r="G727">
        <v>0</v>
      </c>
      <c r="H727" s="133">
        <v>45840</v>
      </c>
      <c r="I727" s="2">
        <v>0.5053009259259259</v>
      </c>
      <c r="J727">
        <v>12</v>
      </c>
      <c r="R727" t="s">
        <v>30</v>
      </c>
      <c r="W727">
        <v>1</v>
      </c>
      <c r="X727" t="s">
        <v>30</v>
      </c>
      <c r="AC727" t="s">
        <v>2054</v>
      </c>
      <c r="AE727" s="135"/>
    </row>
    <row r="728" spans="1:31" ht="12.5" customHeight="1" x14ac:dyDescent="0.35">
      <c r="A728" t="s">
        <v>396</v>
      </c>
      <c r="C728" t="s">
        <v>2055</v>
      </c>
      <c r="D728" t="s">
        <v>385</v>
      </c>
      <c r="E728" s="133">
        <v>45841</v>
      </c>
      <c r="F728" s="2">
        <v>5.4166666666666669E-3</v>
      </c>
      <c r="G728">
        <v>0</v>
      </c>
      <c r="H728" s="133">
        <v>45840</v>
      </c>
      <c r="I728" s="2">
        <v>0.50541666666666674</v>
      </c>
      <c r="J728">
        <v>12</v>
      </c>
      <c r="R728" t="s">
        <v>30</v>
      </c>
      <c r="W728">
        <v>1</v>
      </c>
      <c r="X728" t="s">
        <v>30</v>
      </c>
      <c r="AC728" t="s">
        <v>2056</v>
      </c>
      <c r="AE728" s="135"/>
    </row>
    <row r="729" spans="1:31" ht="12.5" customHeight="1" x14ac:dyDescent="0.35">
      <c r="A729" t="s">
        <v>396</v>
      </c>
      <c r="C729" t="s">
        <v>2057</v>
      </c>
      <c r="D729" t="s">
        <v>385</v>
      </c>
      <c r="E729" s="133">
        <v>45841</v>
      </c>
      <c r="F729" s="2">
        <v>5.7407407407407416E-3</v>
      </c>
      <c r="G729">
        <v>0</v>
      </c>
      <c r="H729" s="133">
        <v>45840</v>
      </c>
      <c r="I729" s="2">
        <v>0.50574074074074071</v>
      </c>
      <c r="J729">
        <v>12</v>
      </c>
      <c r="R729" t="s">
        <v>30</v>
      </c>
      <c r="W729">
        <v>1</v>
      </c>
      <c r="X729" t="s">
        <v>30</v>
      </c>
      <c r="AC729" t="s">
        <v>2058</v>
      </c>
      <c r="AE729" s="135"/>
    </row>
    <row r="730" spans="1:31" ht="12.5" customHeight="1" x14ac:dyDescent="0.35">
      <c r="A730" t="s">
        <v>396</v>
      </c>
      <c r="C730" t="s">
        <v>2059</v>
      </c>
      <c r="D730" t="s">
        <v>385</v>
      </c>
      <c r="E730" s="133">
        <v>45841</v>
      </c>
      <c r="F730" s="2">
        <v>5.8333333333333336E-3</v>
      </c>
      <c r="G730">
        <v>0</v>
      </c>
      <c r="H730" s="133">
        <v>45840</v>
      </c>
      <c r="I730" s="2">
        <v>0.50583333333333336</v>
      </c>
      <c r="J730">
        <v>12</v>
      </c>
      <c r="R730" t="s">
        <v>30</v>
      </c>
      <c r="W730">
        <v>1</v>
      </c>
      <c r="X730" t="s">
        <v>30</v>
      </c>
      <c r="AC730" t="s">
        <v>2060</v>
      </c>
      <c r="AE730" s="135"/>
    </row>
    <row r="731" spans="1:31" ht="12.5" customHeight="1" x14ac:dyDescent="0.35">
      <c r="A731" t="s">
        <v>396</v>
      </c>
      <c r="C731" t="s">
        <v>2061</v>
      </c>
      <c r="D731" t="s">
        <v>385</v>
      </c>
      <c r="E731" s="133">
        <v>45841</v>
      </c>
      <c r="F731" s="2">
        <v>5.9490740740740745E-3</v>
      </c>
      <c r="G731">
        <v>0</v>
      </c>
      <c r="H731" s="133">
        <v>45840</v>
      </c>
      <c r="I731" s="2">
        <v>0.50594907407407408</v>
      </c>
      <c r="J731">
        <v>12</v>
      </c>
      <c r="R731" t="s">
        <v>30</v>
      </c>
      <c r="W731">
        <v>1</v>
      </c>
      <c r="X731" t="s">
        <v>30</v>
      </c>
      <c r="AC731" t="s">
        <v>2062</v>
      </c>
      <c r="AE731" s="135"/>
    </row>
    <row r="732" spans="1:31" ht="12.5" customHeight="1" x14ac:dyDescent="0.35">
      <c r="A732" t="s">
        <v>396</v>
      </c>
      <c r="C732" t="s">
        <v>2063</v>
      </c>
      <c r="D732" t="s">
        <v>385</v>
      </c>
      <c r="E732" s="133">
        <v>45841</v>
      </c>
      <c r="F732" s="2">
        <v>6.0416666666666665E-3</v>
      </c>
      <c r="G732">
        <v>0</v>
      </c>
      <c r="H732" s="133">
        <v>45840</v>
      </c>
      <c r="I732" s="2">
        <v>0.50604166666666661</v>
      </c>
      <c r="J732">
        <v>12</v>
      </c>
      <c r="R732" t="s">
        <v>30</v>
      </c>
      <c r="W732">
        <v>1</v>
      </c>
      <c r="X732" t="s">
        <v>30</v>
      </c>
      <c r="AC732" t="s">
        <v>2064</v>
      </c>
      <c r="AE732" s="135"/>
    </row>
    <row r="733" spans="1:31" ht="12.5" customHeight="1" x14ac:dyDescent="0.35">
      <c r="A733" t="s">
        <v>396</v>
      </c>
      <c r="C733" t="s">
        <v>2065</v>
      </c>
      <c r="D733" t="s">
        <v>385</v>
      </c>
      <c r="E733" s="133">
        <v>45841</v>
      </c>
      <c r="F733" s="2">
        <v>6.1342592592592594E-3</v>
      </c>
      <c r="G733">
        <v>0</v>
      </c>
      <c r="H733" s="133">
        <v>45840</v>
      </c>
      <c r="I733" s="2">
        <v>0.50613425925925926</v>
      </c>
      <c r="J733">
        <v>12</v>
      </c>
      <c r="R733" t="s">
        <v>30</v>
      </c>
      <c r="W733">
        <v>1</v>
      </c>
      <c r="X733" t="s">
        <v>30</v>
      </c>
      <c r="AC733" t="s">
        <v>2066</v>
      </c>
      <c r="AE733" s="135"/>
    </row>
    <row r="734" spans="1:31" ht="12.5" customHeight="1" x14ac:dyDescent="0.35">
      <c r="A734" t="s">
        <v>396</v>
      </c>
      <c r="C734" t="s">
        <v>2067</v>
      </c>
      <c r="D734" t="s">
        <v>385</v>
      </c>
      <c r="E734" s="133">
        <v>45841</v>
      </c>
      <c r="F734" s="2">
        <v>6.2037037037037043E-3</v>
      </c>
      <c r="G734">
        <v>0</v>
      </c>
      <c r="H734" s="133">
        <v>45840</v>
      </c>
      <c r="I734" s="2">
        <v>0.50620370370370371</v>
      </c>
      <c r="J734">
        <v>12</v>
      </c>
      <c r="R734" t="s">
        <v>30</v>
      </c>
      <c r="W734">
        <v>1</v>
      </c>
      <c r="X734" t="s">
        <v>30</v>
      </c>
      <c r="AC734" t="s">
        <v>2068</v>
      </c>
      <c r="AE734" s="135"/>
    </row>
    <row r="735" spans="1:31" ht="12.5" customHeight="1" x14ac:dyDescent="0.35">
      <c r="A735" t="s">
        <v>396</v>
      </c>
      <c r="C735" t="s">
        <v>2069</v>
      </c>
      <c r="D735" t="s">
        <v>385</v>
      </c>
      <c r="E735" s="133">
        <v>45841</v>
      </c>
      <c r="F735" s="2">
        <v>6.2731481481481484E-3</v>
      </c>
      <c r="G735">
        <v>0</v>
      </c>
      <c r="H735" s="133">
        <v>45840</v>
      </c>
      <c r="I735" s="2">
        <v>0.50627314814814817</v>
      </c>
      <c r="J735">
        <v>12</v>
      </c>
      <c r="R735" t="s">
        <v>30</v>
      </c>
      <c r="W735">
        <v>1</v>
      </c>
      <c r="X735" t="s">
        <v>30</v>
      </c>
      <c r="AC735" t="s">
        <v>2070</v>
      </c>
      <c r="AE735" s="135"/>
    </row>
    <row r="736" spans="1:31" ht="12.5" customHeight="1" x14ac:dyDescent="0.35">
      <c r="A736" t="s">
        <v>396</v>
      </c>
      <c r="C736" t="s">
        <v>2071</v>
      </c>
      <c r="D736" t="s">
        <v>385</v>
      </c>
      <c r="E736" s="133">
        <v>45841</v>
      </c>
      <c r="F736" s="2">
        <v>6.3657407407407404E-3</v>
      </c>
      <c r="G736">
        <v>0</v>
      </c>
      <c r="H736" s="133">
        <v>45840</v>
      </c>
      <c r="I736" s="2">
        <v>0.50636574074074081</v>
      </c>
      <c r="J736">
        <v>12</v>
      </c>
      <c r="R736" t="s">
        <v>30</v>
      </c>
      <c r="W736">
        <v>1</v>
      </c>
      <c r="X736" t="s">
        <v>30</v>
      </c>
      <c r="AC736" t="s">
        <v>2072</v>
      </c>
      <c r="AE736" s="135"/>
    </row>
    <row r="737" spans="1:31" ht="12.5" customHeight="1" x14ac:dyDescent="0.35">
      <c r="A737" t="s">
        <v>396</v>
      </c>
      <c r="C737" t="s">
        <v>2073</v>
      </c>
      <c r="D737" t="s">
        <v>385</v>
      </c>
      <c r="E737" s="133">
        <v>45841</v>
      </c>
      <c r="F737" s="2">
        <v>6.4351851851851861E-3</v>
      </c>
      <c r="G737">
        <v>0</v>
      </c>
      <c r="H737" s="133">
        <v>45840</v>
      </c>
      <c r="I737" s="2">
        <v>0.50643518518518515</v>
      </c>
      <c r="J737">
        <v>12</v>
      </c>
      <c r="R737" t="s">
        <v>30</v>
      </c>
      <c r="W737">
        <v>1</v>
      </c>
      <c r="X737" t="s">
        <v>30</v>
      </c>
      <c r="AC737" t="s">
        <v>2074</v>
      </c>
      <c r="AE737" s="135"/>
    </row>
    <row r="738" spans="1:31" ht="12.5" customHeight="1" x14ac:dyDescent="0.35">
      <c r="A738" t="s">
        <v>396</v>
      </c>
      <c r="C738" t="s">
        <v>2075</v>
      </c>
      <c r="D738" t="s">
        <v>385</v>
      </c>
      <c r="E738" s="133">
        <v>45841</v>
      </c>
      <c r="F738" s="2">
        <v>6.5277777777777782E-3</v>
      </c>
      <c r="G738">
        <v>0</v>
      </c>
      <c r="H738" s="133">
        <v>45840</v>
      </c>
      <c r="I738" s="2">
        <v>0.5065277777777778</v>
      </c>
      <c r="J738">
        <v>12</v>
      </c>
      <c r="R738" t="s">
        <v>30</v>
      </c>
      <c r="W738">
        <v>1</v>
      </c>
      <c r="X738" t="s">
        <v>30</v>
      </c>
      <c r="AC738" t="s">
        <v>2076</v>
      </c>
      <c r="AE738" s="135"/>
    </row>
    <row r="739" spans="1:31" ht="12.5" customHeight="1" x14ac:dyDescent="0.35">
      <c r="A739" t="s">
        <v>396</v>
      </c>
      <c r="C739" t="s">
        <v>2077</v>
      </c>
      <c r="D739" t="s">
        <v>385</v>
      </c>
      <c r="E739" s="133">
        <v>45841</v>
      </c>
      <c r="F739" s="2">
        <v>6.5972222222222222E-3</v>
      </c>
      <c r="G739">
        <v>0</v>
      </c>
      <c r="H739" s="133">
        <v>45840</v>
      </c>
      <c r="I739" s="2">
        <v>0.50659722222222225</v>
      </c>
      <c r="J739">
        <v>12</v>
      </c>
      <c r="R739" t="s">
        <v>30</v>
      </c>
      <c r="W739">
        <v>1</v>
      </c>
      <c r="X739" t="s">
        <v>30</v>
      </c>
      <c r="AC739" t="s">
        <v>2078</v>
      </c>
      <c r="AE739" s="135"/>
    </row>
    <row r="740" spans="1:31" ht="12.5" customHeight="1" x14ac:dyDescent="0.35">
      <c r="A740" t="s">
        <v>396</v>
      </c>
      <c r="C740" t="s">
        <v>2079</v>
      </c>
      <c r="D740" t="s">
        <v>385</v>
      </c>
      <c r="E740" s="133">
        <v>45841</v>
      </c>
      <c r="F740" s="2">
        <v>6.6666666666666671E-3</v>
      </c>
      <c r="G740">
        <v>0</v>
      </c>
      <c r="H740" s="133">
        <v>45840</v>
      </c>
      <c r="I740" s="2">
        <v>0.50666666666666671</v>
      </c>
      <c r="J740">
        <v>12</v>
      </c>
      <c r="R740" t="s">
        <v>30</v>
      </c>
      <c r="W740">
        <v>1</v>
      </c>
      <c r="X740" t="s">
        <v>30</v>
      </c>
      <c r="AC740" t="s">
        <v>2080</v>
      </c>
      <c r="AE740" s="135"/>
    </row>
    <row r="741" spans="1:31" ht="12.5" customHeight="1" x14ac:dyDescent="0.35">
      <c r="A741" t="s">
        <v>396</v>
      </c>
      <c r="C741" t="s">
        <v>2081</v>
      </c>
      <c r="D741" t="s">
        <v>385</v>
      </c>
      <c r="E741" s="133">
        <v>45841</v>
      </c>
      <c r="F741" s="2">
        <v>6.7592592592592591E-3</v>
      </c>
      <c r="G741">
        <v>0</v>
      </c>
      <c r="H741" s="133">
        <v>45840</v>
      </c>
      <c r="I741" s="2">
        <v>0.50675925925925924</v>
      </c>
      <c r="J741">
        <v>12</v>
      </c>
      <c r="R741" t="s">
        <v>30</v>
      </c>
      <c r="W741">
        <v>1</v>
      </c>
      <c r="X741" t="s">
        <v>30</v>
      </c>
      <c r="AC741" t="s">
        <v>2082</v>
      </c>
      <c r="AE741" s="135"/>
    </row>
    <row r="742" spans="1:31" ht="12.5" customHeight="1" x14ac:dyDescent="0.35">
      <c r="A742" t="s">
        <v>396</v>
      </c>
      <c r="C742" t="s">
        <v>2083</v>
      </c>
      <c r="D742" t="s">
        <v>385</v>
      </c>
      <c r="E742" s="133">
        <v>45841</v>
      </c>
      <c r="F742" s="2">
        <v>6.828703703703704E-3</v>
      </c>
      <c r="G742">
        <v>0</v>
      </c>
      <c r="H742" s="133">
        <v>45840</v>
      </c>
      <c r="I742" s="2">
        <v>0.5068287037037037</v>
      </c>
      <c r="J742">
        <v>12</v>
      </c>
      <c r="R742" t="s">
        <v>30</v>
      </c>
      <c r="W742">
        <v>1</v>
      </c>
      <c r="X742" t="s">
        <v>30</v>
      </c>
      <c r="AC742" t="s">
        <v>2084</v>
      </c>
      <c r="AE742" s="135"/>
    </row>
    <row r="743" spans="1:31" ht="12.5" customHeight="1" x14ac:dyDescent="0.35">
      <c r="A743" t="s">
        <v>396</v>
      </c>
      <c r="C743" t="s">
        <v>2085</v>
      </c>
      <c r="D743" t="s">
        <v>385</v>
      </c>
      <c r="E743" s="133">
        <v>45841</v>
      </c>
      <c r="F743" s="2">
        <v>6.8981481481481489E-3</v>
      </c>
      <c r="G743">
        <v>0</v>
      </c>
      <c r="H743" s="133">
        <v>45840</v>
      </c>
      <c r="I743" s="2">
        <v>0.50689814814814815</v>
      </c>
      <c r="J743">
        <v>12</v>
      </c>
      <c r="R743" t="s">
        <v>30</v>
      </c>
      <c r="W743">
        <v>1</v>
      </c>
      <c r="X743" t="s">
        <v>30</v>
      </c>
      <c r="AC743" t="s">
        <v>2086</v>
      </c>
      <c r="AE743" s="135"/>
    </row>
    <row r="744" spans="1:31" ht="12.5" customHeight="1" x14ac:dyDescent="0.35">
      <c r="A744" t="s">
        <v>396</v>
      </c>
      <c r="C744" t="s">
        <v>2087</v>
      </c>
      <c r="D744" t="s">
        <v>385</v>
      </c>
      <c r="E744" s="133">
        <v>45841</v>
      </c>
      <c r="F744" s="2">
        <v>6.9675925925925921E-3</v>
      </c>
      <c r="G744">
        <v>0</v>
      </c>
      <c r="H744" s="133">
        <v>45840</v>
      </c>
      <c r="I744" s="2">
        <v>0.50696759259259261</v>
      </c>
      <c r="J744">
        <v>12</v>
      </c>
      <c r="R744" t="s">
        <v>30</v>
      </c>
      <c r="W744">
        <v>1</v>
      </c>
      <c r="X744" t="s">
        <v>30</v>
      </c>
      <c r="AC744" t="s">
        <v>2088</v>
      </c>
      <c r="AE744" s="135"/>
    </row>
    <row r="745" spans="1:31" ht="12.5" customHeight="1" x14ac:dyDescent="0.35">
      <c r="A745" t="s">
        <v>396</v>
      </c>
      <c r="C745" t="s">
        <v>2089</v>
      </c>
      <c r="D745" t="s">
        <v>385</v>
      </c>
      <c r="E745" s="133">
        <v>45841</v>
      </c>
      <c r="F745" s="2">
        <v>7.0601851851851841E-3</v>
      </c>
      <c r="G745">
        <v>0</v>
      </c>
      <c r="H745" s="133">
        <v>45840</v>
      </c>
      <c r="I745" s="2">
        <v>0.50706018518518514</v>
      </c>
      <c r="J745">
        <v>12</v>
      </c>
      <c r="R745" t="s">
        <v>30</v>
      </c>
      <c r="W745">
        <v>1</v>
      </c>
      <c r="X745" t="s">
        <v>30</v>
      </c>
      <c r="AC745" t="s">
        <v>2090</v>
      </c>
      <c r="AE745" s="135"/>
    </row>
    <row r="746" spans="1:31" ht="12.5" customHeight="1" x14ac:dyDescent="0.35">
      <c r="A746" t="s">
        <v>396</v>
      </c>
      <c r="C746" t="s">
        <v>2091</v>
      </c>
      <c r="D746" t="s">
        <v>385</v>
      </c>
      <c r="E746" s="133">
        <v>45841</v>
      </c>
      <c r="F746" s="2">
        <v>7.1296296296296307E-3</v>
      </c>
      <c r="G746">
        <v>0</v>
      </c>
      <c r="H746" s="133">
        <v>45840</v>
      </c>
      <c r="I746" s="2">
        <v>0.5071296296296296</v>
      </c>
      <c r="J746">
        <v>12</v>
      </c>
      <c r="R746" t="s">
        <v>30</v>
      </c>
      <c r="W746">
        <v>1</v>
      </c>
      <c r="X746" t="s">
        <v>30</v>
      </c>
      <c r="AC746" t="s">
        <v>2092</v>
      </c>
      <c r="AE746" s="135"/>
    </row>
    <row r="747" spans="1:31" ht="12.5" customHeight="1" x14ac:dyDescent="0.35">
      <c r="A747" t="s">
        <v>396</v>
      </c>
      <c r="C747" t="s">
        <v>2093</v>
      </c>
      <c r="D747" t="s">
        <v>385</v>
      </c>
      <c r="E747" s="133">
        <v>45841</v>
      </c>
      <c r="F747" s="2">
        <v>7.1990740740740739E-3</v>
      </c>
      <c r="G747">
        <v>0</v>
      </c>
      <c r="H747" s="133">
        <v>45840</v>
      </c>
      <c r="I747" s="2">
        <v>0.50719907407407405</v>
      </c>
      <c r="J747">
        <v>12</v>
      </c>
      <c r="R747" t="s">
        <v>30</v>
      </c>
      <c r="W747">
        <v>1</v>
      </c>
      <c r="X747" t="s">
        <v>30</v>
      </c>
      <c r="AC747" t="s">
        <v>2094</v>
      </c>
      <c r="AE747" s="135"/>
    </row>
    <row r="748" spans="1:31" ht="12.5" customHeight="1" x14ac:dyDescent="0.35">
      <c r="A748" t="s">
        <v>396</v>
      </c>
      <c r="C748" t="s">
        <v>2095</v>
      </c>
      <c r="D748" t="s">
        <v>385</v>
      </c>
      <c r="E748" s="133">
        <v>45841</v>
      </c>
      <c r="F748" s="2">
        <v>7.2916666666666659E-3</v>
      </c>
      <c r="G748">
        <v>0</v>
      </c>
      <c r="H748" s="133">
        <v>45840</v>
      </c>
      <c r="I748" s="2">
        <v>0.5072916666666667</v>
      </c>
      <c r="J748">
        <v>12</v>
      </c>
      <c r="R748" t="s">
        <v>30</v>
      </c>
      <c r="W748">
        <v>1</v>
      </c>
      <c r="X748" t="s">
        <v>30</v>
      </c>
      <c r="AC748" t="s">
        <v>2096</v>
      </c>
      <c r="AE748" s="135"/>
    </row>
    <row r="749" spans="1:31" ht="12.5" customHeight="1" x14ac:dyDescent="0.35">
      <c r="A749" t="s">
        <v>396</v>
      </c>
      <c r="C749" t="s">
        <v>2097</v>
      </c>
      <c r="D749" t="s">
        <v>385</v>
      </c>
      <c r="E749" s="133">
        <v>45841</v>
      </c>
      <c r="F749" s="2">
        <v>7.3611111111111108E-3</v>
      </c>
      <c r="G749">
        <v>0</v>
      </c>
      <c r="H749" s="133">
        <v>45840</v>
      </c>
      <c r="I749" s="2">
        <v>0.50736111111111104</v>
      </c>
      <c r="J749">
        <v>12</v>
      </c>
      <c r="R749" t="s">
        <v>30</v>
      </c>
      <c r="W749">
        <v>1</v>
      </c>
      <c r="X749" t="s">
        <v>30</v>
      </c>
      <c r="AC749" t="s">
        <v>2098</v>
      </c>
      <c r="AE749" s="135"/>
    </row>
    <row r="750" spans="1:31" ht="12.5" customHeight="1" x14ac:dyDescent="0.35">
      <c r="A750" t="s">
        <v>396</v>
      </c>
      <c r="C750" t="s">
        <v>2099</v>
      </c>
      <c r="D750" t="s">
        <v>385</v>
      </c>
      <c r="E750" s="133">
        <v>45841</v>
      </c>
      <c r="F750" s="2">
        <v>7.4537037037037028E-3</v>
      </c>
      <c r="G750">
        <v>0</v>
      </c>
      <c r="H750" s="133">
        <v>45840</v>
      </c>
      <c r="I750" s="2">
        <v>0.50745370370370368</v>
      </c>
      <c r="J750">
        <v>12</v>
      </c>
      <c r="R750" t="s">
        <v>30</v>
      </c>
      <c r="W750">
        <v>1</v>
      </c>
      <c r="X750" t="s">
        <v>30</v>
      </c>
      <c r="AC750" t="s">
        <v>2100</v>
      </c>
      <c r="AE750" s="135"/>
    </row>
    <row r="751" spans="1:31" ht="12.5" customHeight="1" x14ac:dyDescent="0.35">
      <c r="A751" t="s">
        <v>396</v>
      </c>
      <c r="C751" t="s">
        <v>2101</v>
      </c>
      <c r="D751" t="s">
        <v>385</v>
      </c>
      <c r="E751" s="133">
        <v>45841</v>
      </c>
      <c r="F751" s="2">
        <v>7.5694444444444446E-3</v>
      </c>
      <c r="G751">
        <v>0</v>
      </c>
      <c r="H751" s="133">
        <v>45840</v>
      </c>
      <c r="I751" s="2">
        <v>0.50756944444444441</v>
      </c>
      <c r="J751">
        <v>12</v>
      </c>
      <c r="R751" t="s">
        <v>30</v>
      </c>
      <c r="W751">
        <v>1</v>
      </c>
      <c r="X751" t="s">
        <v>30</v>
      </c>
      <c r="AC751" t="s">
        <v>2102</v>
      </c>
      <c r="AE751" s="135"/>
    </row>
    <row r="752" spans="1:31" ht="12.5" customHeight="1" x14ac:dyDescent="0.35">
      <c r="A752" t="s">
        <v>396</v>
      </c>
      <c r="C752" t="s">
        <v>2103</v>
      </c>
      <c r="D752" t="s">
        <v>385</v>
      </c>
      <c r="E752" s="133">
        <v>45841</v>
      </c>
      <c r="F752" s="2">
        <v>7.6851851851851847E-3</v>
      </c>
      <c r="G752">
        <v>0</v>
      </c>
      <c r="H752" s="133">
        <v>45840</v>
      </c>
      <c r="I752" s="2">
        <v>0.50768518518518524</v>
      </c>
      <c r="J752">
        <v>12</v>
      </c>
      <c r="R752" t="s">
        <v>30</v>
      </c>
      <c r="W752">
        <v>1</v>
      </c>
      <c r="X752" t="s">
        <v>30</v>
      </c>
      <c r="AC752" t="s">
        <v>2104</v>
      </c>
      <c r="AE752" s="135"/>
    </row>
    <row r="753" spans="1:31" ht="12.5" customHeight="1" x14ac:dyDescent="0.35">
      <c r="A753" t="s">
        <v>396</v>
      </c>
      <c r="C753" t="s">
        <v>2105</v>
      </c>
      <c r="D753" t="s">
        <v>385</v>
      </c>
      <c r="E753" s="133">
        <v>45841</v>
      </c>
      <c r="F753" s="2">
        <v>7.7546296296296287E-3</v>
      </c>
      <c r="G753">
        <v>0</v>
      </c>
      <c r="H753" s="133">
        <v>45840</v>
      </c>
      <c r="I753" s="2">
        <v>0.50775462962962969</v>
      </c>
      <c r="J753">
        <v>12</v>
      </c>
      <c r="R753" t="s">
        <v>30</v>
      </c>
      <c r="W753">
        <v>1</v>
      </c>
      <c r="X753" t="s">
        <v>30</v>
      </c>
      <c r="AC753" t="s">
        <v>2106</v>
      </c>
      <c r="AE753" s="135"/>
    </row>
    <row r="754" spans="1:31" ht="12.5" customHeight="1" x14ac:dyDescent="0.35">
      <c r="A754" t="s">
        <v>396</v>
      </c>
      <c r="C754" t="s">
        <v>2107</v>
      </c>
      <c r="D754" t="s">
        <v>385</v>
      </c>
      <c r="E754" s="133">
        <v>45841</v>
      </c>
      <c r="F754" s="2">
        <v>7.8240740740740753E-3</v>
      </c>
      <c r="G754">
        <v>0</v>
      </c>
      <c r="H754" s="133">
        <v>45840</v>
      </c>
      <c r="I754" s="2">
        <v>0.50782407407407404</v>
      </c>
      <c r="J754">
        <v>12</v>
      </c>
      <c r="R754" t="s">
        <v>30</v>
      </c>
      <c r="W754">
        <v>1</v>
      </c>
      <c r="X754" t="s">
        <v>30</v>
      </c>
      <c r="AC754" t="s">
        <v>2108</v>
      </c>
      <c r="AE754" s="135"/>
    </row>
    <row r="755" spans="1:31" ht="12.5" customHeight="1" x14ac:dyDescent="0.35">
      <c r="A755" t="s">
        <v>396</v>
      </c>
      <c r="C755" t="s">
        <v>2109</v>
      </c>
      <c r="D755" t="s">
        <v>385</v>
      </c>
      <c r="E755" s="133">
        <v>45841</v>
      </c>
      <c r="F755" s="2">
        <v>7.9166666666666673E-3</v>
      </c>
      <c r="G755">
        <v>0</v>
      </c>
      <c r="H755" s="133">
        <v>45840</v>
      </c>
      <c r="I755" s="2">
        <v>0.50791666666666668</v>
      </c>
      <c r="J755">
        <v>12</v>
      </c>
      <c r="R755" t="s">
        <v>30</v>
      </c>
      <c r="W755">
        <v>1</v>
      </c>
      <c r="X755" t="s">
        <v>30</v>
      </c>
      <c r="AC755" t="s">
        <v>2110</v>
      </c>
      <c r="AE755" s="135"/>
    </row>
    <row r="756" spans="1:31" ht="12.5" customHeight="1" x14ac:dyDescent="0.35">
      <c r="A756" t="s">
        <v>396</v>
      </c>
      <c r="C756" t="s">
        <v>2111</v>
      </c>
      <c r="D756" t="s">
        <v>385</v>
      </c>
      <c r="E756" s="133">
        <v>45841</v>
      </c>
      <c r="F756" s="2">
        <v>8.0092592592592594E-3</v>
      </c>
      <c r="G756">
        <v>0</v>
      </c>
      <c r="H756" s="133">
        <v>45840</v>
      </c>
      <c r="I756" s="2">
        <v>0.50800925925925922</v>
      </c>
      <c r="J756">
        <v>12</v>
      </c>
      <c r="R756" t="s">
        <v>30</v>
      </c>
      <c r="W756">
        <v>1</v>
      </c>
      <c r="X756" t="s">
        <v>30</v>
      </c>
      <c r="AC756" t="s">
        <v>2112</v>
      </c>
      <c r="AE756" s="135"/>
    </row>
    <row r="757" spans="1:31" ht="12.5" customHeight="1" x14ac:dyDescent="0.35">
      <c r="A757" t="s">
        <v>396</v>
      </c>
      <c r="C757" t="s">
        <v>2113</v>
      </c>
      <c r="D757" t="s">
        <v>385</v>
      </c>
      <c r="E757" s="133">
        <v>45841</v>
      </c>
      <c r="F757" s="2">
        <v>8.1018518518518514E-3</v>
      </c>
      <c r="G757">
        <v>0</v>
      </c>
      <c r="H757" s="133">
        <v>45840</v>
      </c>
      <c r="I757" s="2">
        <v>0.50810185185185186</v>
      </c>
      <c r="J757">
        <v>12</v>
      </c>
      <c r="R757" t="s">
        <v>30</v>
      </c>
      <c r="W757">
        <v>1</v>
      </c>
      <c r="X757" t="s">
        <v>30</v>
      </c>
      <c r="AC757" t="s">
        <v>2114</v>
      </c>
      <c r="AE757" s="135"/>
    </row>
    <row r="758" spans="1:31" ht="12.5" customHeight="1" x14ac:dyDescent="0.35">
      <c r="A758" t="s">
        <v>396</v>
      </c>
      <c r="C758" t="s">
        <v>2115</v>
      </c>
      <c r="D758" t="s">
        <v>385</v>
      </c>
      <c r="E758" s="133">
        <v>45841</v>
      </c>
      <c r="F758" s="2">
        <v>8.2638888888888883E-3</v>
      </c>
      <c r="G758">
        <v>0</v>
      </c>
      <c r="H758" s="133">
        <v>45840</v>
      </c>
      <c r="I758" s="2">
        <v>0.50826388888888896</v>
      </c>
      <c r="J758">
        <v>12</v>
      </c>
      <c r="R758" t="s">
        <v>30</v>
      </c>
      <c r="W758">
        <v>1</v>
      </c>
      <c r="X758" t="s">
        <v>30</v>
      </c>
      <c r="AC758" t="s">
        <v>2116</v>
      </c>
      <c r="AE758" s="135"/>
    </row>
    <row r="759" spans="1:31" ht="12.5" customHeight="1" x14ac:dyDescent="0.35">
      <c r="A759" t="s">
        <v>396</v>
      </c>
      <c r="C759" t="s">
        <v>2117</v>
      </c>
      <c r="D759" t="s">
        <v>385</v>
      </c>
      <c r="E759" s="133">
        <v>45841</v>
      </c>
      <c r="F759" s="2">
        <v>8.3333333333333332E-3</v>
      </c>
      <c r="G759">
        <v>0</v>
      </c>
      <c r="H759" s="133">
        <v>45840</v>
      </c>
      <c r="I759" s="2">
        <v>0.5083333333333333</v>
      </c>
      <c r="J759">
        <v>12</v>
      </c>
      <c r="R759" t="s">
        <v>30</v>
      </c>
      <c r="W759">
        <v>1</v>
      </c>
      <c r="X759" t="s">
        <v>30</v>
      </c>
      <c r="AC759" t="s">
        <v>2118</v>
      </c>
      <c r="AE759" s="135"/>
    </row>
    <row r="760" spans="1:31" ht="12.5" customHeight="1" x14ac:dyDescent="0.35">
      <c r="A760" t="s">
        <v>396</v>
      </c>
      <c r="C760" t="s">
        <v>2119</v>
      </c>
      <c r="D760" t="s">
        <v>385</v>
      </c>
      <c r="E760" s="133">
        <v>45841</v>
      </c>
      <c r="F760" s="2">
        <v>8.4027777777777781E-3</v>
      </c>
      <c r="G760">
        <v>0</v>
      </c>
      <c r="H760" s="133">
        <v>45840</v>
      </c>
      <c r="I760" s="2">
        <v>0.50840277777777776</v>
      </c>
      <c r="J760">
        <v>12</v>
      </c>
      <c r="R760" t="s">
        <v>30</v>
      </c>
      <c r="W760">
        <v>1</v>
      </c>
      <c r="X760" t="s">
        <v>30</v>
      </c>
      <c r="AC760" t="s">
        <v>2120</v>
      </c>
      <c r="AE760" s="135"/>
    </row>
    <row r="761" spans="1:31" ht="12.5" customHeight="1" x14ac:dyDescent="0.35">
      <c r="A761" t="s">
        <v>396</v>
      </c>
      <c r="C761" t="s">
        <v>2121</v>
      </c>
      <c r="D761" t="s">
        <v>385</v>
      </c>
      <c r="E761" s="133">
        <v>45841</v>
      </c>
      <c r="F761" s="2">
        <v>8.4722222222222213E-3</v>
      </c>
      <c r="G761">
        <v>0</v>
      </c>
      <c r="H761" s="133">
        <v>45840</v>
      </c>
      <c r="I761" s="2">
        <v>0.50847222222222221</v>
      </c>
      <c r="J761">
        <v>12</v>
      </c>
      <c r="R761" t="s">
        <v>30</v>
      </c>
      <c r="W761">
        <v>1</v>
      </c>
      <c r="X761" t="s">
        <v>30</v>
      </c>
      <c r="AC761" t="s">
        <v>2122</v>
      </c>
      <c r="AE761" s="135"/>
    </row>
    <row r="762" spans="1:31" ht="12.5" customHeight="1" x14ac:dyDescent="0.35">
      <c r="A762" t="s">
        <v>396</v>
      </c>
      <c r="C762" t="s">
        <v>2123</v>
      </c>
      <c r="D762" t="s">
        <v>385</v>
      </c>
      <c r="E762" s="133">
        <v>45841</v>
      </c>
      <c r="F762" s="2">
        <v>8.564814814814815E-3</v>
      </c>
      <c r="G762">
        <v>0</v>
      </c>
      <c r="H762" s="133">
        <v>45840</v>
      </c>
      <c r="I762" s="2">
        <v>0.50856481481481486</v>
      </c>
      <c r="J762">
        <v>12</v>
      </c>
      <c r="R762" t="s">
        <v>30</v>
      </c>
      <c r="W762">
        <v>1</v>
      </c>
      <c r="X762" t="s">
        <v>30</v>
      </c>
      <c r="AC762" t="s">
        <v>2124</v>
      </c>
      <c r="AE762" s="135"/>
    </row>
    <row r="763" spans="1:31" ht="12.5" customHeight="1" x14ac:dyDescent="0.35">
      <c r="A763" t="s">
        <v>396</v>
      </c>
      <c r="C763" t="s">
        <v>2125</v>
      </c>
      <c r="D763" t="s">
        <v>385</v>
      </c>
      <c r="E763" s="133">
        <v>45841</v>
      </c>
      <c r="F763" s="2">
        <v>8.6342592592592599E-3</v>
      </c>
      <c r="G763">
        <v>0</v>
      </c>
      <c r="H763" s="133">
        <v>45840</v>
      </c>
      <c r="I763" s="2">
        <v>0.50863425925925931</v>
      </c>
      <c r="J763">
        <v>12</v>
      </c>
      <c r="R763" t="s">
        <v>30</v>
      </c>
      <c r="W763">
        <v>1</v>
      </c>
      <c r="X763" t="s">
        <v>30</v>
      </c>
      <c r="AC763" t="s">
        <v>2126</v>
      </c>
      <c r="AE763" s="135"/>
    </row>
    <row r="764" spans="1:31" ht="12.5" customHeight="1" x14ac:dyDescent="0.35">
      <c r="A764" t="s">
        <v>396</v>
      </c>
      <c r="C764" t="s">
        <v>2127</v>
      </c>
      <c r="D764" t="s">
        <v>385</v>
      </c>
      <c r="E764" s="133">
        <v>45841</v>
      </c>
      <c r="F764" s="2">
        <v>8.7037037037037031E-3</v>
      </c>
      <c r="G764">
        <v>0</v>
      </c>
      <c r="H764" s="133">
        <v>45840</v>
      </c>
      <c r="I764" s="2">
        <v>0.50870370370370377</v>
      </c>
      <c r="J764">
        <v>12</v>
      </c>
      <c r="R764" t="s">
        <v>30</v>
      </c>
      <c r="W764">
        <v>1</v>
      </c>
      <c r="X764" t="s">
        <v>30</v>
      </c>
      <c r="AC764" t="s">
        <v>2128</v>
      </c>
      <c r="AE764" s="135"/>
    </row>
    <row r="765" spans="1:31" ht="12.5" customHeight="1" x14ac:dyDescent="0.35">
      <c r="A765" t="s">
        <v>396</v>
      </c>
      <c r="C765" t="s">
        <v>2129</v>
      </c>
      <c r="D765" t="s">
        <v>385</v>
      </c>
      <c r="E765" s="133">
        <v>45841</v>
      </c>
      <c r="F765" s="2">
        <v>8.773148148148148E-3</v>
      </c>
      <c r="G765">
        <v>0</v>
      </c>
      <c r="H765" s="133">
        <v>45840</v>
      </c>
      <c r="I765" s="2">
        <v>0.50877314814814811</v>
      </c>
      <c r="J765">
        <v>12</v>
      </c>
      <c r="R765" t="s">
        <v>30</v>
      </c>
      <c r="W765">
        <v>1</v>
      </c>
      <c r="X765" t="s">
        <v>30</v>
      </c>
      <c r="AC765" t="s">
        <v>2130</v>
      </c>
      <c r="AE765" s="135"/>
    </row>
    <row r="766" spans="1:31" ht="12.5" customHeight="1" x14ac:dyDescent="0.35">
      <c r="A766" t="s">
        <v>396</v>
      </c>
      <c r="C766" t="s">
        <v>2131</v>
      </c>
      <c r="D766" t="s">
        <v>385</v>
      </c>
      <c r="E766" s="133">
        <v>45841</v>
      </c>
      <c r="F766" s="2">
        <v>8.8657407407407417E-3</v>
      </c>
      <c r="G766">
        <v>0</v>
      </c>
      <c r="H766" s="133">
        <v>45840</v>
      </c>
      <c r="I766" s="2">
        <v>0.50886574074074076</v>
      </c>
      <c r="J766">
        <v>12</v>
      </c>
      <c r="R766" t="s">
        <v>30</v>
      </c>
      <c r="W766">
        <v>1</v>
      </c>
      <c r="X766" t="s">
        <v>30</v>
      </c>
      <c r="AC766" t="s">
        <v>2132</v>
      </c>
      <c r="AE766" s="135"/>
    </row>
    <row r="767" spans="1:31" ht="12.5" customHeight="1" x14ac:dyDescent="0.35">
      <c r="A767" t="s">
        <v>396</v>
      </c>
      <c r="C767" t="s">
        <v>2133</v>
      </c>
      <c r="D767" t="s">
        <v>385</v>
      </c>
      <c r="E767" s="133">
        <v>45841</v>
      </c>
      <c r="F767" s="2">
        <v>8.9351851851851866E-3</v>
      </c>
      <c r="G767">
        <v>0</v>
      </c>
      <c r="H767" s="133">
        <v>45840</v>
      </c>
      <c r="I767" s="2">
        <v>0.50893518518518521</v>
      </c>
      <c r="J767">
        <v>12</v>
      </c>
      <c r="R767" t="s">
        <v>30</v>
      </c>
      <c r="W767">
        <v>1</v>
      </c>
      <c r="X767" t="s">
        <v>30</v>
      </c>
      <c r="AC767" t="s">
        <v>2134</v>
      </c>
      <c r="AE767" s="135"/>
    </row>
    <row r="768" spans="1:31" ht="12.5" customHeight="1" x14ac:dyDescent="0.35">
      <c r="A768" t="s">
        <v>396</v>
      </c>
      <c r="C768" t="s">
        <v>2135</v>
      </c>
      <c r="D768" t="s">
        <v>385</v>
      </c>
      <c r="E768" s="133">
        <v>45841</v>
      </c>
      <c r="F768" s="2">
        <v>9.0046296296296298E-3</v>
      </c>
      <c r="G768">
        <v>0</v>
      </c>
      <c r="H768" s="133">
        <v>45840</v>
      </c>
      <c r="I768" s="2">
        <v>0.50900462962962967</v>
      </c>
      <c r="J768">
        <v>12</v>
      </c>
      <c r="R768" t="s">
        <v>30</v>
      </c>
      <c r="W768">
        <v>1</v>
      </c>
      <c r="X768" t="s">
        <v>30</v>
      </c>
      <c r="AC768" t="s">
        <v>2136</v>
      </c>
      <c r="AE768" s="135"/>
    </row>
    <row r="769" spans="1:31" ht="12.5" customHeight="1" x14ac:dyDescent="0.35">
      <c r="A769" t="s">
        <v>396</v>
      </c>
      <c r="C769" t="s">
        <v>2137</v>
      </c>
      <c r="D769" t="s">
        <v>385</v>
      </c>
      <c r="E769" s="133">
        <v>45841</v>
      </c>
      <c r="F769" s="2">
        <v>9.0740740740740729E-3</v>
      </c>
      <c r="G769">
        <v>0</v>
      </c>
      <c r="H769" s="133">
        <v>45840</v>
      </c>
      <c r="I769" s="2">
        <v>0.50907407407407412</v>
      </c>
      <c r="J769">
        <v>12</v>
      </c>
      <c r="R769" t="s">
        <v>30</v>
      </c>
      <c r="W769">
        <v>1</v>
      </c>
      <c r="X769" t="s">
        <v>30</v>
      </c>
      <c r="AC769" t="s">
        <v>2138</v>
      </c>
      <c r="AE769" s="135"/>
    </row>
    <row r="770" spans="1:31" ht="12.5" customHeight="1" x14ac:dyDescent="0.35">
      <c r="A770" t="s">
        <v>396</v>
      </c>
      <c r="C770" t="s">
        <v>2139</v>
      </c>
      <c r="D770" t="s">
        <v>385</v>
      </c>
      <c r="E770" s="133">
        <v>45841</v>
      </c>
      <c r="F770" s="2">
        <v>9.1666666666666667E-3</v>
      </c>
      <c r="G770">
        <v>0</v>
      </c>
      <c r="H770" s="133">
        <v>45840</v>
      </c>
      <c r="I770" s="2">
        <v>0.50916666666666666</v>
      </c>
      <c r="J770">
        <v>12</v>
      </c>
      <c r="R770" t="s">
        <v>30</v>
      </c>
      <c r="W770">
        <v>1</v>
      </c>
      <c r="X770" t="s">
        <v>30</v>
      </c>
      <c r="AC770" t="s">
        <v>2140</v>
      </c>
      <c r="AE770" s="135"/>
    </row>
    <row r="771" spans="1:31" ht="12.5" customHeight="1" x14ac:dyDescent="0.35">
      <c r="A771" t="s">
        <v>396</v>
      </c>
      <c r="C771" t="s">
        <v>2141</v>
      </c>
      <c r="D771" t="s">
        <v>385</v>
      </c>
      <c r="E771" s="133">
        <v>45841</v>
      </c>
      <c r="F771" s="2">
        <v>9.2361111111111116E-3</v>
      </c>
      <c r="G771">
        <v>0</v>
      </c>
      <c r="H771" s="133">
        <v>45840</v>
      </c>
      <c r="I771" s="2">
        <v>0.50923611111111111</v>
      </c>
      <c r="J771">
        <v>12</v>
      </c>
      <c r="R771" t="s">
        <v>30</v>
      </c>
      <c r="W771">
        <v>1</v>
      </c>
      <c r="X771" t="s">
        <v>30</v>
      </c>
      <c r="AC771" t="s">
        <v>2142</v>
      </c>
      <c r="AE771" s="135"/>
    </row>
    <row r="772" spans="1:31" ht="12.5" customHeight="1" x14ac:dyDescent="0.35">
      <c r="A772" t="s">
        <v>396</v>
      </c>
      <c r="C772" t="s">
        <v>2143</v>
      </c>
      <c r="D772" t="s">
        <v>385</v>
      </c>
      <c r="E772" s="133">
        <v>45841</v>
      </c>
      <c r="F772" s="2">
        <v>9.3055555555555548E-3</v>
      </c>
      <c r="G772">
        <v>0</v>
      </c>
      <c r="H772" s="133">
        <v>45840</v>
      </c>
      <c r="I772" s="2">
        <v>0.50930555555555557</v>
      </c>
      <c r="J772">
        <v>12</v>
      </c>
      <c r="R772" t="s">
        <v>30</v>
      </c>
      <c r="W772">
        <v>1</v>
      </c>
      <c r="X772" t="s">
        <v>30</v>
      </c>
      <c r="AC772" t="s">
        <v>2144</v>
      </c>
      <c r="AE772" s="135"/>
    </row>
    <row r="773" spans="1:31" ht="12.5" customHeight="1" x14ac:dyDescent="0.35">
      <c r="A773" t="s">
        <v>396</v>
      </c>
      <c r="C773" t="s">
        <v>2145</v>
      </c>
      <c r="D773" t="s">
        <v>385</v>
      </c>
      <c r="E773" s="133">
        <v>45841</v>
      </c>
      <c r="F773" s="2">
        <v>9.3749999999999997E-3</v>
      </c>
      <c r="G773">
        <v>0</v>
      </c>
      <c r="H773" s="133">
        <v>45840</v>
      </c>
      <c r="I773" s="2">
        <v>0.50937500000000002</v>
      </c>
      <c r="J773">
        <v>12</v>
      </c>
      <c r="R773" t="s">
        <v>30</v>
      </c>
      <c r="W773">
        <v>1</v>
      </c>
      <c r="X773" t="s">
        <v>30</v>
      </c>
      <c r="AC773" t="s">
        <v>2146</v>
      </c>
      <c r="AE773" s="135"/>
    </row>
    <row r="774" spans="1:31" ht="12.5" customHeight="1" x14ac:dyDescent="0.35">
      <c r="A774" t="s">
        <v>396</v>
      </c>
      <c r="C774" t="s">
        <v>2147</v>
      </c>
      <c r="D774" t="s">
        <v>385</v>
      </c>
      <c r="E774" s="133">
        <v>45841</v>
      </c>
      <c r="F774" s="2">
        <v>9.4675925925925917E-3</v>
      </c>
      <c r="G774">
        <v>0</v>
      </c>
      <c r="H774" s="133">
        <v>45840</v>
      </c>
      <c r="I774" s="2">
        <v>0.50946759259259256</v>
      </c>
      <c r="J774">
        <v>12</v>
      </c>
      <c r="R774" t="s">
        <v>30</v>
      </c>
      <c r="W774">
        <v>1</v>
      </c>
      <c r="X774" t="s">
        <v>30</v>
      </c>
      <c r="AC774" t="s">
        <v>2148</v>
      </c>
      <c r="AE774" s="135"/>
    </row>
    <row r="775" spans="1:31" ht="12.5" customHeight="1" x14ac:dyDescent="0.35">
      <c r="A775" t="s">
        <v>396</v>
      </c>
      <c r="C775" t="s">
        <v>2149</v>
      </c>
      <c r="D775" t="s">
        <v>385</v>
      </c>
      <c r="E775" s="133">
        <v>45841</v>
      </c>
      <c r="F775" s="2">
        <v>9.5370370370370366E-3</v>
      </c>
      <c r="G775">
        <v>0</v>
      </c>
      <c r="H775" s="133">
        <v>45840</v>
      </c>
      <c r="I775" s="2">
        <v>0.50953703703703701</v>
      </c>
      <c r="J775">
        <v>12</v>
      </c>
      <c r="R775" t="s">
        <v>30</v>
      </c>
      <c r="W775">
        <v>1</v>
      </c>
      <c r="X775" t="s">
        <v>30</v>
      </c>
      <c r="AC775" t="s">
        <v>2150</v>
      </c>
      <c r="AE775" s="135"/>
    </row>
    <row r="776" spans="1:31" ht="12.5" customHeight="1" x14ac:dyDescent="0.35">
      <c r="A776" t="s">
        <v>396</v>
      </c>
      <c r="C776" t="s">
        <v>2151</v>
      </c>
      <c r="D776" t="s">
        <v>385</v>
      </c>
      <c r="E776" s="133">
        <v>45841</v>
      </c>
      <c r="F776" s="2">
        <v>9.6064814814814815E-3</v>
      </c>
      <c r="G776">
        <v>0</v>
      </c>
      <c r="H776" s="133">
        <v>45840</v>
      </c>
      <c r="I776" s="2">
        <v>0.50960648148148147</v>
      </c>
      <c r="J776">
        <v>12</v>
      </c>
      <c r="R776" t="s">
        <v>30</v>
      </c>
      <c r="W776">
        <v>1</v>
      </c>
      <c r="X776" t="s">
        <v>30</v>
      </c>
      <c r="AC776" t="s">
        <v>2152</v>
      </c>
      <c r="AE776" s="135"/>
    </row>
    <row r="777" spans="1:31" ht="12.5" customHeight="1" x14ac:dyDescent="0.35">
      <c r="A777" t="s">
        <v>396</v>
      </c>
      <c r="C777" t="s">
        <v>2153</v>
      </c>
      <c r="D777" t="s">
        <v>385</v>
      </c>
      <c r="E777" s="133">
        <v>45841</v>
      </c>
      <c r="F777" s="2">
        <v>9.6990740740740735E-3</v>
      </c>
      <c r="G777">
        <v>0</v>
      </c>
      <c r="H777" s="133">
        <v>45840</v>
      </c>
      <c r="I777" s="2">
        <v>0.50969907407407411</v>
      </c>
      <c r="J777">
        <v>12</v>
      </c>
      <c r="R777" t="s">
        <v>30</v>
      </c>
      <c r="W777">
        <v>1</v>
      </c>
      <c r="X777" t="s">
        <v>30</v>
      </c>
      <c r="AC777" t="s">
        <v>2154</v>
      </c>
      <c r="AE777" s="135"/>
    </row>
    <row r="778" spans="1:31" ht="12.5" customHeight="1" x14ac:dyDescent="0.35">
      <c r="A778" t="s">
        <v>396</v>
      </c>
      <c r="C778" t="s">
        <v>2155</v>
      </c>
      <c r="D778" t="s">
        <v>385</v>
      </c>
      <c r="E778" s="133">
        <v>45841</v>
      </c>
      <c r="F778" s="2">
        <v>9.7685185185185184E-3</v>
      </c>
      <c r="G778">
        <v>0</v>
      </c>
      <c r="H778" s="133">
        <v>45840</v>
      </c>
      <c r="I778" s="2">
        <v>0.50976851851851845</v>
      </c>
      <c r="J778">
        <v>12</v>
      </c>
      <c r="R778" t="s">
        <v>30</v>
      </c>
      <c r="W778">
        <v>1</v>
      </c>
      <c r="X778" t="s">
        <v>30</v>
      </c>
      <c r="AC778" t="s">
        <v>2156</v>
      </c>
      <c r="AE778" s="135"/>
    </row>
    <row r="779" spans="1:31" ht="12.5" customHeight="1" x14ac:dyDescent="0.35">
      <c r="A779" t="s">
        <v>396</v>
      </c>
      <c r="C779" t="s">
        <v>2157</v>
      </c>
      <c r="D779" t="s">
        <v>385</v>
      </c>
      <c r="E779" s="133">
        <v>45841</v>
      </c>
      <c r="F779" s="2">
        <v>9.8379629629629633E-3</v>
      </c>
      <c r="G779">
        <v>0</v>
      </c>
      <c r="H779" s="133">
        <v>45840</v>
      </c>
      <c r="I779" s="2">
        <v>0.50983796296296291</v>
      </c>
      <c r="J779">
        <v>12</v>
      </c>
      <c r="R779" t="s">
        <v>30</v>
      </c>
      <c r="W779">
        <v>1</v>
      </c>
      <c r="X779" t="s">
        <v>30</v>
      </c>
      <c r="AC779" t="s">
        <v>2158</v>
      </c>
      <c r="AE779" s="135"/>
    </row>
    <row r="780" spans="1:31" ht="12.5" customHeight="1" x14ac:dyDescent="0.35">
      <c r="A780" t="s">
        <v>396</v>
      </c>
      <c r="C780" t="s">
        <v>2159</v>
      </c>
      <c r="D780" t="s">
        <v>385</v>
      </c>
      <c r="E780" s="133">
        <v>45841</v>
      </c>
      <c r="F780" s="2">
        <v>9.9074074074074082E-3</v>
      </c>
      <c r="G780">
        <v>0</v>
      </c>
      <c r="H780" s="133">
        <v>45840</v>
      </c>
      <c r="I780" s="2">
        <v>0.50990740740740736</v>
      </c>
      <c r="J780">
        <v>12</v>
      </c>
      <c r="R780" t="s">
        <v>30</v>
      </c>
      <c r="W780">
        <v>1</v>
      </c>
      <c r="X780" t="s">
        <v>30</v>
      </c>
      <c r="AC780" t="s">
        <v>2160</v>
      </c>
      <c r="AE780" s="135"/>
    </row>
    <row r="781" spans="1:31" ht="12.5" customHeight="1" x14ac:dyDescent="0.35">
      <c r="A781" t="s">
        <v>396</v>
      </c>
      <c r="C781" t="s">
        <v>2161</v>
      </c>
      <c r="D781" t="s">
        <v>385</v>
      </c>
      <c r="E781" s="133">
        <v>45841</v>
      </c>
      <c r="F781" s="2">
        <v>0.01</v>
      </c>
      <c r="G781">
        <v>0</v>
      </c>
      <c r="H781" s="133">
        <v>45840</v>
      </c>
      <c r="I781" s="2">
        <v>0.51</v>
      </c>
      <c r="J781">
        <v>12</v>
      </c>
      <c r="R781" t="s">
        <v>30</v>
      </c>
      <c r="W781">
        <v>1</v>
      </c>
      <c r="X781" t="s">
        <v>30</v>
      </c>
      <c r="AC781" t="s">
        <v>2162</v>
      </c>
      <c r="AE781" s="135"/>
    </row>
    <row r="782" spans="1:31" ht="12.5" customHeight="1" x14ac:dyDescent="0.35">
      <c r="A782" t="s">
        <v>396</v>
      </c>
      <c r="C782" t="s">
        <v>2163</v>
      </c>
      <c r="D782" t="s">
        <v>385</v>
      </c>
      <c r="E782" s="133">
        <v>45841</v>
      </c>
      <c r="F782" s="2">
        <v>1.0069444444444445E-2</v>
      </c>
      <c r="G782">
        <v>0</v>
      </c>
      <c r="H782" s="133">
        <v>45840</v>
      </c>
      <c r="I782" s="2">
        <v>0.51006944444444446</v>
      </c>
      <c r="J782">
        <v>12</v>
      </c>
      <c r="R782" t="s">
        <v>30</v>
      </c>
      <c r="W782">
        <v>1</v>
      </c>
      <c r="X782" t="s">
        <v>30</v>
      </c>
      <c r="AC782" t="s">
        <v>2164</v>
      </c>
      <c r="AE782" s="135"/>
    </row>
    <row r="783" spans="1:31" ht="12.5" customHeight="1" x14ac:dyDescent="0.35">
      <c r="A783" t="s">
        <v>396</v>
      </c>
      <c r="C783" t="s">
        <v>2165</v>
      </c>
      <c r="D783" t="s">
        <v>385</v>
      </c>
      <c r="E783" s="133">
        <v>45841</v>
      </c>
      <c r="F783" s="2">
        <v>1.0138888888888888E-2</v>
      </c>
      <c r="G783">
        <v>0</v>
      </c>
      <c r="H783" s="133">
        <v>45840</v>
      </c>
      <c r="I783" s="2">
        <v>0.51013888888888892</v>
      </c>
      <c r="J783">
        <v>12</v>
      </c>
      <c r="R783" t="s">
        <v>30</v>
      </c>
      <c r="W783">
        <v>1</v>
      </c>
      <c r="X783" t="s">
        <v>30</v>
      </c>
      <c r="AC783" t="s">
        <v>2166</v>
      </c>
      <c r="AE783" s="135"/>
    </row>
    <row r="784" spans="1:31" ht="12.5" customHeight="1" x14ac:dyDescent="0.35">
      <c r="A784" t="s">
        <v>396</v>
      </c>
      <c r="C784" t="s">
        <v>2167</v>
      </c>
      <c r="D784" t="s">
        <v>385</v>
      </c>
      <c r="E784" s="133">
        <v>45841</v>
      </c>
      <c r="F784" s="2">
        <v>1.0231481481481482E-2</v>
      </c>
      <c r="G784">
        <v>0</v>
      </c>
      <c r="H784" s="133">
        <v>45840</v>
      </c>
      <c r="I784" s="2">
        <v>0.51023148148148145</v>
      </c>
      <c r="J784">
        <v>12</v>
      </c>
      <c r="R784" t="s">
        <v>30</v>
      </c>
      <c r="W784">
        <v>1</v>
      </c>
      <c r="X784" t="s">
        <v>30</v>
      </c>
      <c r="AC784" t="s">
        <v>2168</v>
      </c>
      <c r="AE784" s="135"/>
    </row>
    <row r="785" spans="1:31" ht="12.5" customHeight="1" x14ac:dyDescent="0.35">
      <c r="A785" t="s">
        <v>396</v>
      </c>
      <c r="C785" t="s">
        <v>2169</v>
      </c>
      <c r="D785" t="s">
        <v>385</v>
      </c>
      <c r="E785" s="133">
        <v>45841</v>
      </c>
      <c r="F785" s="2">
        <v>1.0300925925925927E-2</v>
      </c>
      <c r="G785">
        <v>0</v>
      </c>
      <c r="H785" s="133">
        <v>45840</v>
      </c>
      <c r="I785" s="2">
        <v>0.51030092592592591</v>
      </c>
      <c r="J785">
        <v>12</v>
      </c>
      <c r="R785" t="s">
        <v>30</v>
      </c>
      <c r="W785">
        <v>1</v>
      </c>
      <c r="X785" t="s">
        <v>30</v>
      </c>
      <c r="AC785" t="s">
        <v>2170</v>
      </c>
      <c r="AE785" s="135"/>
    </row>
    <row r="786" spans="1:31" ht="12.5" customHeight="1" x14ac:dyDescent="0.35">
      <c r="A786" t="s">
        <v>396</v>
      </c>
      <c r="C786" t="s">
        <v>2171</v>
      </c>
      <c r="D786" t="s">
        <v>385</v>
      </c>
      <c r="E786" s="133">
        <v>45841</v>
      </c>
      <c r="F786" s="2">
        <v>1.037037037037037E-2</v>
      </c>
      <c r="G786">
        <v>0</v>
      </c>
      <c r="H786" s="133">
        <v>45840</v>
      </c>
      <c r="I786" s="2">
        <v>0.51037037037037036</v>
      </c>
      <c r="J786">
        <v>12</v>
      </c>
      <c r="R786" t="s">
        <v>30</v>
      </c>
      <c r="W786">
        <v>1</v>
      </c>
      <c r="X786" t="s">
        <v>30</v>
      </c>
      <c r="AC786" t="s">
        <v>2172</v>
      </c>
      <c r="AE786" s="135"/>
    </row>
    <row r="787" spans="1:31" ht="12.5" customHeight="1" x14ac:dyDescent="0.35">
      <c r="A787" t="s">
        <v>396</v>
      </c>
      <c r="C787" t="s">
        <v>2173</v>
      </c>
      <c r="D787" t="s">
        <v>385</v>
      </c>
      <c r="E787" s="133">
        <v>45841</v>
      </c>
      <c r="F787" s="2">
        <v>1.0439814814814813E-2</v>
      </c>
      <c r="G787">
        <v>0</v>
      </c>
      <c r="H787" s="133">
        <v>45840</v>
      </c>
      <c r="I787" s="2">
        <v>0.51043981481481482</v>
      </c>
      <c r="J787">
        <v>12</v>
      </c>
      <c r="R787" t="s">
        <v>30</v>
      </c>
      <c r="W787">
        <v>1</v>
      </c>
      <c r="X787" t="s">
        <v>30</v>
      </c>
      <c r="AC787" t="s">
        <v>2174</v>
      </c>
      <c r="AE787" s="135"/>
    </row>
    <row r="788" spans="1:31" ht="12.5" customHeight="1" x14ac:dyDescent="0.35">
      <c r="A788" t="s">
        <v>396</v>
      </c>
      <c r="C788" t="s">
        <v>2175</v>
      </c>
      <c r="D788" t="s">
        <v>385</v>
      </c>
      <c r="E788" s="133">
        <v>45841</v>
      </c>
      <c r="F788" s="2">
        <v>1.0532407407407407E-2</v>
      </c>
      <c r="G788">
        <v>0</v>
      </c>
      <c r="H788" s="133">
        <v>45840</v>
      </c>
      <c r="I788" s="2">
        <v>0.51053240740740746</v>
      </c>
      <c r="J788">
        <v>12</v>
      </c>
      <c r="R788" t="s">
        <v>30</v>
      </c>
      <c r="W788">
        <v>1</v>
      </c>
      <c r="X788" t="s">
        <v>30</v>
      </c>
      <c r="AC788" t="s">
        <v>2176</v>
      </c>
      <c r="AE788" s="135"/>
    </row>
    <row r="789" spans="1:31" ht="12.5" customHeight="1" x14ac:dyDescent="0.35">
      <c r="A789" t="s">
        <v>396</v>
      </c>
      <c r="C789" t="s">
        <v>2177</v>
      </c>
      <c r="D789" t="s">
        <v>385</v>
      </c>
      <c r="E789" s="133">
        <v>45841</v>
      </c>
      <c r="F789" s="2">
        <v>1.0601851851851854E-2</v>
      </c>
      <c r="G789">
        <v>0</v>
      </c>
      <c r="H789" s="133">
        <v>45840</v>
      </c>
      <c r="I789" s="2">
        <v>0.51060185185185192</v>
      </c>
      <c r="J789">
        <v>12</v>
      </c>
      <c r="R789" t="s">
        <v>30</v>
      </c>
      <c r="W789">
        <v>1</v>
      </c>
      <c r="X789" t="s">
        <v>30</v>
      </c>
      <c r="AC789" t="s">
        <v>2178</v>
      </c>
      <c r="AE789" s="135"/>
    </row>
    <row r="790" spans="1:31" ht="12.5" customHeight="1" x14ac:dyDescent="0.35">
      <c r="A790" t="s">
        <v>396</v>
      </c>
      <c r="C790" t="s">
        <v>2179</v>
      </c>
      <c r="D790" t="s">
        <v>385</v>
      </c>
      <c r="E790" s="133">
        <v>45841</v>
      </c>
      <c r="F790" s="2">
        <v>1.0671296296296297E-2</v>
      </c>
      <c r="G790">
        <v>0</v>
      </c>
      <c r="H790" s="133">
        <v>45840</v>
      </c>
      <c r="I790" s="2">
        <v>0.51067129629629626</v>
      </c>
      <c r="J790">
        <v>12</v>
      </c>
      <c r="R790" t="s">
        <v>30</v>
      </c>
      <c r="W790">
        <v>1</v>
      </c>
      <c r="X790" t="s">
        <v>30</v>
      </c>
      <c r="AC790" t="s">
        <v>2180</v>
      </c>
      <c r="AE790" s="135"/>
    </row>
    <row r="791" spans="1:31" ht="12.5" customHeight="1" x14ac:dyDescent="0.35">
      <c r="A791" t="s">
        <v>396</v>
      </c>
      <c r="C791" t="s">
        <v>2181</v>
      </c>
      <c r="D791" t="s">
        <v>385</v>
      </c>
      <c r="E791" s="133">
        <v>45841</v>
      </c>
      <c r="F791" s="2">
        <v>1.074074074074074E-2</v>
      </c>
      <c r="G791">
        <v>0</v>
      </c>
      <c r="H791" s="133">
        <v>45840</v>
      </c>
      <c r="I791" s="2">
        <v>0.51074074074074072</v>
      </c>
      <c r="J791">
        <v>12</v>
      </c>
      <c r="R791" t="s">
        <v>30</v>
      </c>
      <c r="W791">
        <v>1</v>
      </c>
      <c r="X791" t="s">
        <v>30</v>
      </c>
      <c r="AC791" t="s">
        <v>2182</v>
      </c>
      <c r="AE791" s="135"/>
    </row>
    <row r="792" spans="1:31" ht="12.5" customHeight="1" x14ac:dyDescent="0.35">
      <c r="A792" t="s">
        <v>396</v>
      </c>
      <c r="C792" t="s">
        <v>2183</v>
      </c>
      <c r="D792" t="s">
        <v>385</v>
      </c>
      <c r="E792" s="133">
        <v>45841</v>
      </c>
      <c r="F792" s="2">
        <v>1.0833333333333334E-2</v>
      </c>
      <c r="G792">
        <v>0</v>
      </c>
      <c r="H792" s="133">
        <v>45840</v>
      </c>
      <c r="I792" s="2">
        <v>0.51083333333333336</v>
      </c>
      <c r="J792">
        <v>12</v>
      </c>
      <c r="R792" t="s">
        <v>30</v>
      </c>
      <c r="W792">
        <v>1</v>
      </c>
      <c r="X792" t="s">
        <v>30</v>
      </c>
      <c r="AC792" t="s">
        <v>2184</v>
      </c>
      <c r="AE792" s="135"/>
    </row>
    <row r="793" spans="1:31" ht="12.5" customHeight="1" x14ac:dyDescent="0.35">
      <c r="A793" t="s">
        <v>396</v>
      </c>
      <c r="C793" t="s">
        <v>2185</v>
      </c>
      <c r="D793" t="s">
        <v>385</v>
      </c>
      <c r="E793" s="133">
        <v>45841</v>
      </c>
      <c r="F793" s="2">
        <v>1.0902777777777777E-2</v>
      </c>
      <c r="G793">
        <v>0</v>
      </c>
      <c r="H793" s="133">
        <v>45840</v>
      </c>
      <c r="I793" s="2">
        <v>0.51090277777777782</v>
      </c>
      <c r="J793">
        <v>12</v>
      </c>
      <c r="R793" t="s">
        <v>30</v>
      </c>
      <c r="W793">
        <v>1</v>
      </c>
      <c r="X793" t="s">
        <v>30</v>
      </c>
      <c r="AC793" t="s">
        <v>2186</v>
      </c>
      <c r="AE793" s="135"/>
    </row>
    <row r="794" spans="1:31" ht="12.5" customHeight="1" x14ac:dyDescent="0.35">
      <c r="A794" t="s">
        <v>396</v>
      </c>
      <c r="C794" t="s">
        <v>2187</v>
      </c>
      <c r="D794" t="s">
        <v>385</v>
      </c>
      <c r="E794" s="133">
        <v>45841</v>
      </c>
      <c r="F794" s="2">
        <v>1.0972222222222223E-2</v>
      </c>
      <c r="G794">
        <v>0</v>
      </c>
      <c r="H794" s="133">
        <v>45840</v>
      </c>
      <c r="I794" s="2">
        <v>0.51097222222222227</v>
      </c>
      <c r="J794">
        <v>12</v>
      </c>
      <c r="R794" t="s">
        <v>30</v>
      </c>
      <c r="W794">
        <v>1</v>
      </c>
      <c r="X794" t="s">
        <v>30</v>
      </c>
      <c r="AC794" t="s">
        <v>2188</v>
      </c>
      <c r="AE794" s="135"/>
    </row>
    <row r="795" spans="1:31" ht="12.5" customHeight="1" x14ac:dyDescent="0.35">
      <c r="A795" t="s">
        <v>396</v>
      </c>
      <c r="C795" t="s">
        <v>2189</v>
      </c>
      <c r="D795" t="s">
        <v>385</v>
      </c>
      <c r="E795" s="133">
        <v>45841</v>
      </c>
      <c r="F795" s="2">
        <v>1.1064814814814814E-2</v>
      </c>
      <c r="G795">
        <v>0</v>
      </c>
      <c r="H795" s="133">
        <v>45840</v>
      </c>
      <c r="I795" s="2">
        <v>0.51106481481481481</v>
      </c>
      <c r="J795">
        <v>12</v>
      </c>
      <c r="R795" t="s">
        <v>30</v>
      </c>
      <c r="W795">
        <v>1</v>
      </c>
      <c r="X795" t="s">
        <v>30</v>
      </c>
      <c r="AC795" t="s">
        <v>2190</v>
      </c>
      <c r="AE795" s="135"/>
    </row>
    <row r="796" spans="1:31" ht="12.5" customHeight="1" x14ac:dyDescent="0.35">
      <c r="A796" t="s">
        <v>396</v>
      </c>
      <c r="C796" t="s">
        <v>2191</v>
      </c>
      <c r="D796" t="s">
        <v>385</v>
      </c>
      <c r="E796" s="133">
        <v>45841</v>
      </c>
      <c r="F796" s="2">
        <v>1.113425925925926E-2</v>
      </c>
      <c r="G796">
        <v>0</v>
      </c>
      <c r="H796" s="133">
        <v>45840</v>
      </c>
      <c r="I796" s="2">
        <v>0.51113425925925926</v>
      </c>
      <c r="J796">
        <v>12</v>
      </c>
      <c r="R796" t="s">
        <v>30</v>
      </c>
      <c r="W796">
        <v>1</v>
      </c>
      <c r="X796" t="s">
        <v>30</v>
      </c>
      <c r="AC796" t="s">
        <v>2192</v>
      </c>
      <c r="AE796" s="135"/>
    </row>
    <row r="797" spans="1:31" ht="12.5" customHeight="1" x14ac:dyDescent="0.35">
      <c r="A797" t="s">
        <v>396</v>
      </c>
      <c r="C797" t="s">
        <v>2193</v>
      </c>
      <c r="D797" t="s">
        <v>385</v>
      </c>
      <c r="E797" s="133">
        <v>45841</v>
      </c>
      <c r="F797" s="2">
        <v>1.1203703703703704E-2</v>
      </c>
      <c r="G797">
        <v>0</v>
      </c>
      <c r="H797" s="133">
        <v>45840</v>
      </c>
      <c r="I797" s="2">
        <v>0.51120370370370372</v>
      </c>
      <c r="J797">
        <v>12</v>
      </c>
      <c r="R797" t="s">
        <v>30</v>
      </c>
      <c r="W797">
        <v>1</v>
      </c>
      <c r="X797" t="s">
        <v>30</v>
      </c>
      <c r="AC797" t="s">
        <v>2194</v>
      </c>
      <c r="AE797" s="135"/>
    </row>
    <row r="798" spans="1:31" ht="12.5" customHeight="1" x14ac:dyDescent="0.35">
      <c r="A798" t="s">
        <v>396</v>
      </c>
      <c r="C798" t="s">
        <v>2195</v>
      </c>
      <c r="D798" t="s">
        <v>385</v>
      </c>
      <c r="E798" s="133">
        <v>45841</v>
      </c>
      <c r="F798" s="2">
        <v>1.1296296296296296E-2</v>
      </c>
      <c r="G798">
        <v>0</v>
      </c>
      <c r="H798" s="133">
        <v>45840</v>
      </c>
      <c r="I798" s="2">
        <v>0.51129629629629625</v>
      </c>
      <c r="J798">
        <v>12</v>
      </c>
      <c r="R798" t="s">
        <v>30</v>
      </c>
      <c r="W798">
        <v>1</v>
      </c>
      <c r="X798" t="s">
        <v>30</v>
      </c>
      <c r="AC798" t="s">
        <v>2196</v>
      </c>
      <c r="AE798" s="135"/>
    </row>
    <row r="799" spans="1:31" ht="12.5" customHeight="1" x14ac:dyDescent="0.35">
      <c r="A799" t="s">
        <v>396</v>
      </c>
      <c r="C799" t="s">
        <v>2197</v>
      </c>
      <c r="D799" t="s">
        <v>385</v>
      </c>
      <c r="E799" s="133">
        <v>45841</v>
      </c>
      <c r="F799" s="2">
        <v>1.136574074074074E-2</v>
      </c>
      <c r="G799">
        <v>0</v>
      </c>
      <c r="H799" s="133">
        <v>45840</v>
      </c>
      <c r="I799" s="2">
        <v>0.5113657407407407</v>
      </c>
      <c r="J799">
        <v>12</v>
      </c>
      <c r="R799" t="s">
        <v>30</v>
      </c>
      <c r="W799">
        <v>1</v>
      </c>
      <c r="X799" t="s">
        <v>30</v>
      </c>
      <c r="AC799" t="s">
        <v>2198</v>
      </c>
      <c r="AE799" s="135"/>
    </row>
    <row r="800" spans="1:31" ht="12.5" customHeight="1" x14ac:dyDescent="0.35">
      <c r="A800" t="s">
        <v>396</v>
      </c>
      <c r="C800" t="s">
        <v>2199</v>
      </c>
      <c r="D800" t="s">
        <v>385</v>
      </c>
      <c r="E800" s="133">
        <v>45841</v>
      </c>
      <c r="F800" s="2">
        <v>1.1435185185185185E-2</v>
      </c>
      <c r="G800">
        <v>0</v>
      </c>
      <c r="H800" s="133">
        <v>45840</v>
      </c>
      <c r="I800" s="2">
        <v>0.51143518518518516</v>
      </c>
      <c r="J800">
        <v>12</v>
      </c>
      <c r="R800" t="s">
        <v>30</v>
      </c>
      <c r="W800">
        <v>1</v>
      </c>
      <c r="X800" t="s">
        <v>30</v>
      </c>
      <c r="AC800" t="s">
        <v>2200</v>
      </c>
      <c r="AE800" s="135"/>
    </row>
    <row r="801" spans="1:31" ht="12.5" customHeight="1" x14ac:dyDescent="0.35">
      <c r="A801" t="s">
        <v>396</v>
      </c>
      <c r="C801" t="s">
        <v>2201</v>
      </c>
      <c r="D801" t="s">
        <v>385</v>
      </c>
      <c r="E801" s="133">
        <v>45841</v>
      </c>
      <c r="F801" s="2">
        <v>1.1527777777777777E-2</v>
      </c>
      <c r="G801">
        <v>0</v>
      </c>
      <c r="H801" s="133">
        <v>45840</v>
      </c>
      <c r="I801" s="2">
        <v>0.5115277777777778</v>
      </c>
      <c r="J801">
        <v>12</v>
      </c>
      <c r="R801" t="s">
        <v>30</v>
      </c>
      <c r="W801">
        <v>1</v>
      </c>
      <c r="X801" t="s">
        <v>30</v>
      </c>
      <c r="AC801" t="s">
        <v>2202</v>
      </c>
      <c r="AE801" s="135"/>
    </row>
    <row r="802" spans="1:31" ht="12.5" customHeight="1" x14ac:dyDescent="0.35">
      <c r="A802" t="s">
        <v>396</v>
      </c>
      <c r="C802" t="s">
        <v>2203</v>
      </c>
      <c r="D802" t="s">
        <v>385</v>
      </c>
      <c r="E802" s="133">
        <v>45841</v>
      </c>
      <c r="F802" s="2">
        <v>1.1597222222222222E-2</v>
      </c>
      <c r="G802">
        <v>0</v>
      </c>
      <c r="H802" s="133">
        <v>45840</v>
      </c>
      <c r="I802" s="2">
        <v>0.51159722222222215</v>
      </c>
      <c r="J802">
        <v>12</v>
      </c>
      <c r="R802" t="s">
        <v>30</v>
      </c>
      <c r="W802">
        <v>1</v>
      </c>
      <c r="X802" t="s">
        <v>30</v>
      </c>
      <c r="AC802" t="s">
        <v>2204</v>
      </c>
      <c r="AE802" s="135"/>
    </row>
    <row r="803" spans="1:31" ht="12.5" customHeight="1" x14ac:dyDescent="0.35">
      <c r="A803" t="s">
        <v>396</v>
      </c>
      <c r="C803" t="s">
        <v>2205</v>
      </c>
      <c r="D803" t="s">
        <v>385</v>
      </c>
      <c r="E803" s="133">
        <v>45841</v>
      </c>
      <c r="F803" s="2">
        <v>1.1689814814814814E-2</v>
      </c>
      <c r="G803">
        <v>0</v>
      </c>
      <c r="H803" s="133">
        <v>45840</v>
      </c>
      <c r="I803" s="2">
        <v>0.51168981481481479</v>
      </c>
      <c r="J803">
        <v>12</v>
      </c>
      <c r="R803" t="s">
        <v>30</v>
      </c>
      <c r="W803">
        <v>1</v>
      </c>
      <c r="X803" t="s">
        <v>30</v>
      </c>
      <c r="AC803" t="s">
        <v>2206</v>
      </c>
      <c r="AE803" s="135"/>
    </row>
    <row r="804" spans="1:31" ht="12.5" customHeight="1" x14ac:dyDescent="0.35">
      <c r="A804" t="s">
        <v>396</v>
      </c>
      <c r="C804" t="s">
        <v>2207</v>
      </c>
      <c r="D804" t="s">
        <v>385</v>
      </c>
      <c r="E804" s="133">
        <v>45841</v>
      </c>
      <c r="F804" s="2">
        <v>1.1759259259259259E-2</v>
      </c>
      <c r="G804">
        <v>0</v>
      </c>
      <c r="H804" s="133">
        <v>45840</v>
      </c>
      <c r="I804" s="2">
        <v>0.51175925925925925</v>
      </c>
      <c r="J804">
        <v>12</v>
      </c>
      <c r="R804" t="s">
        <v>30</v>
      </c>
      <c r="W804">
        <v>1</v>
      </c>
      <c r="X804" t="s">
        <v>30</v>
      </c>
      <c r="AC804" t="s">
        <v>2208</v>
      </c>
      <c r="AE804" s="135"/>
    </row>
    <row r="805" spans="1:31" ht="12.5" customHeight="1" x14ac:dyDescent="0.35">
      <c r="A805" t="s">
        <v>396</v>
      </c>
      <c r="C805" t="s">
        <v>2209</v>
      </c>
      <c r="D805" t="s">
        <v>385</v>
      </c>
      <c r="E805" s="133">
        <v>45841</v>
      </c>
      <c r="F805" s="2">
        <v>1.1828703703703704E-2</v>
      </c>
      <c r="G805">
        <v>0</v>
      </c>
      <c r="H805" s="133">
        <v>45840</v>
      </c>
      <c r="I805" s="2">
        <v>0.5118287037037037</v>
      </c>
      <c r="J805">
        <v>12</v>
      </c>
      <c r="R805" t="s">
        <v>30</v>
      </c>
      <c r="W805">
        <v>1</v>
      </c>
      <c r="X805" t="s">
        <v>30</v>
      </c>
      <c r="AC805" t="s">
        <v>2210</v>
      </c>
      <c r="AE805" s="135"/>
    </row>
    <row r="806" spans="1:31" ht="12.5" customHeight="1" x14ac:dyDescent="0.35">
      <c r="A806" t="s">
        <v>396</v>
      </c>
      <c r="C806" t="s">
        <v>2211</v>
      </c>
      <c r="D806" t="s">
        <v>385</v>
      </c>
      <c r="E806" s="133">
        <v>45841</v>
      </c>
      <c r="F806" s="2">
        <v>1.1921296296296298E-2</v>
      </c>
      <c r="G806">
        <v>0</v>
      </c>
      <c r="H806" s="133">
        <v>45840</v>
      </c>
      <c r="I806" s="2">
        <v>0.51192129629629635</v>
      </c>
      <c r="J806">
        <v>12</v>
      </c>
      <c r="R806" t="s">
        <v>30</v>
      </c>
      <c r="W806">
        <v>1</v>
      </c>
      <c r="X806" t="s">
        <v>30</v>
      </c>
      <c r="AC806" t="s">
        <v>2212</v>
      </c>
      <c r="AE806" s="135"/>
    </row>
    <row r="807" spans="1:31" ht="12.5" customHeight="1" x14ac:dyDescent="0.35">
      <c r="A807" t="s">
        <v>396</v>
      </c>
      <c r="C807" t="s">
        <v>2213</v>
      </c>
      <c r="D807" t="s">
        <v>385</v>
      </c>
      <c r="E807" s="133">
        <v>45841</v>
      </c>
      <c r="F807" s="2">
        <v>1.1990740740740739E-2</v>
      </c>
      <c r="G807">
        <v>0</v>
      </c>
      <c r="H807" s="133">
        <v>45840</v>
      </c>
      <c r="I807" s="2">
        <v>0.5119907407407408</v>
      </c>
      <c r="J807">
        <v>12</v>
      </c>
      <c r="R807" t="s">
        <v>30</v>
      </c>
      <c r="W807">
        <v>1</v>
      </c>
      <c r="X807" t="s">
        <v>30</v>
      </c>
      <c r="AC807" t="s">
        <v>2214</v>
      </c>
      <c r="AE807" s="135"/>
    </row>
    <row r="808" spans="1:31" ht="12.5" customHeight="1" x14ac:dyDescent="0.35">
      <c r="A808" t="s">
        <v>396</v>
      </c>
      <c r="C808" t="s">
        <v>2215</v>
      </c>
      <c r="D808" t="s">
        <v>385</v>
      </c>
      <c r="E808" s="133">
        <v>45841</v>
      </c>
      <c r="F808" s="2">
        <v>1.2083333333333333E-2</v>
      </c>
      <c r="G808">
        <v>0</v>
      </c>
      <c r="H808" s="133">
        <v>45840</v>
      </c>
      <c r="I808" s="2">
        <v>0.51208333333333333</v>
      </c>
      <c r="J808">
        <v>12</v>
      </c>
      <c r="R808" t="s">
        <v>30</v>
      </c>
      <c r="W808">
        <v>1</v>
      </c>
      <c r="X808" t="s">
        <v>30</v>
      </c>
      <c r="AC808" t="s">
        <v>2216</v>
      </c>
      <c r="AE808" s="135"/>
    </row>
    <row r="809" spans="1:31" ht="12.5" customHeight="1" x14ac:dyDescent="0.35">
      <c r="A809" t="s">
        <v>396</v>
      </c>
      <c r="C809" t="s">
        <v>2217</v>
      </c>
      <c r="D809" t="s">
        <v>385</v>
      </c>
      <c r="E809" s="133">
        <v>45841</v>
      </c>
      <c r="F809" s="2">
        <v>1.2152777777777778E-2</v>
      </c>
      <c r="G809">
        <v>0</v>
      </c>
      <c r="H809" s="133">
        <v>45840</v>
      </c>
      <c r="I809" s="2">
        <v>0.51215277777777779</v>
      </c>
      <c r="J809">
        <v>12</v>
      </c>
      <c r="R809" t="s">
        <v>30</v>
      </c>
      <c r="W809">
        <v>1</v>
      </c>
      <c r="X809" t="s">
        <v>30</v>
      </c>
      <c r="AC809" t="s">
        <v>2218</v>
      </c>
      <c r="AE809" s="135"/>
    </row>
    <row r="810" spans="1:31" ht="12.5" customHeight="1" x14ac:dyDescent="0.35">
      <c r="A810" t="s">
        <v>396</v>
      </c>
      <c r="C810" t="s">
        <v>2219</v>
      </c>
      <c r="D810" t="s">
        <v>385</v>
      </c>
      <c r="E810" s="133">
        <v>45841</v>
      </c>
      <c r="F810" s="2">
        <v>1.224537037037037E-2</v>
      </c>
      <c r="G810">
        <v>0</v>
      </c>
      <c r="H810" s="133">
        <v>45840</v>
      </c>
      <c r="I810" s="2">
        <v>0.51224537037037032</v>
      </c>
      <c r="J810">
        <v>12</v>
      </c>
      <c r="R810" t="s">
        <v>30</v>
      </c>
      <c r="W810">
        <v>1</v>
      </c>
      <c r="X810" t="s">
        <v>30</v>
      </c>
      <c r="AC810" t="s">
        <v>2220</v>
      </c>
      <c r="AE810" s="135"/>
    </row>
    <row r="811" spans="1:31" ht="12.5" customHeight="1" x14ac:dyDescent="0.35">
      <c r="A811" t="s">
        <v>396</v>
      </c>
      <c r="C811" t="s">
        <v>2221</v>
      </c>
      <c r="D811" t="s">
        <v>385</v>
      </c>
      <c r="E811" s="133">
        <v>45841</v>
      </c>
      <c r="F811" s="2">
        <v>1.2314814814814815E-2</v>
      </c>
      <c r="G811">
        <v>0</v>
      </c>
      <c r="H811" s="133">
        <v>45840</v>
      </c>
      <c r="I811" s="2">
        <v>0.51231481481481478</v>
      </c>
      <c r="J811">
        <v>12</v>
      </c>
      <c r="R811" t="s">
        <v>30</v>
      </c>
      <c r="W811">
        <v>1</v>
      </c>
      <c r="X811" t="s">
        <v>30</v>
      </c>
      <c r="AC811" t="s">
        <v>2222</v>
      </c>
      <c r="AE811" s="135"/>
    </row>
    <row r="812" spans="1:31" ht="12.5" customHeight="1" x14ac:dyDescent="0.35">
      <c r="A812" t="s">
        <v>396</v>
      </c>
      <c r="C812" t="s">
        <v>2223</v>
      </c>
      <c r="D812" t="s">
        <v>385</v>
      </c>
      <c r="E812" s="133">
        <v>45841</v>
      </c>
      <c r="F812" s="2">
        <v>1.2407407407407409E-2</v>
      </c>
      <c r="G812">
        <v>0</v>
      </c>
      <c r="H812" s="133">
        <v>45840</v>
      </c>
      <c r="I812" s="2">
        <v>0.51240740740740742</v>
      </c>
      <c r="J812">
        <v>12</v>
      </c>
      <c r="R812" t="s">
        <v>30</v>
      </c>
      <c r="W812">
        <v>1</v>
      </c>
      <c r="X812" t="s">
        <v>30</v>
      </c>
      <c r="AC812" t="s">
        <v>2224</v>
      </c>
      <c r="AE812" s="135"/>
    </row>
    <row r="813" spans="1:31" ht="12.5" customHeight="1" x14ac:dyDescent="0.35">
      <c r="A813" t="s">
        <v>396</v>
      </c>
      <c r="C813" t="s">
        <v>2225</v>
      </c>
      <c r="D813" t="s">
        <v>385</v>
      </c>
      <c r="E813" s="133">
        <v>45841</v>
      </c>
      <c r="F813" s="2">
        <v>1.2499999999999999E-2</v>
      </c>
      <c r="G813">
        <v>0</v>
      </c>
      <c r="H813" s="133">
        <v>45840</v>
      </c>
      <c r="I813" s="2">
        <v>0.51250000000000007</v>
      </c>
      <c r="J813">
        <v>12</v>
      </c>
      <c r="R813" t="s">
        <v>30</v>
      </c>
      <c r="W813">
        <v>1</v>
      </c>
      <c r="X813" t="s">
        <v>30</v>
      </c>
      <c r="AC813" t="s">
        <v>2226</v>
      </c>
      <c r="AE813" s="135"/>
    </row>
    <row r="814" spans="1:31" ht="12.5" customHeight="1" x14ac:dyDescent="0.35">
      <c r="A814" t="s">
        <v>396</v>
      </c>
      <c r="C814" t="s">
        <v>2227</v>
      </c>
      <c r="D814" t="s">
        <v>385</v>
      </c>
      <c r="E814" s="133">
        <v>45841</v>
      </c>
      <c r="F814" s="2">
        <v>1.2592592592592593E-2</v>
      </c>
      <c r="G814">
        <v>0</v>
      </c>
      <c r="H814" s="133">
        <v>45840</v>
      </c>
      <c r="I814" s="2">
        <v>0.5125925925925926</v>
      </c>
      <c r="J814">
        <v>12</v>
      </c>
      <c r="R814" t="s">
        <v>30</v>
      </c>
      <c r="W814">
        <v>1</v>
      </c>
      <c r="X814" t="s">
        <v>30</v>
      </c>
      <c r="AC814" t="s">
        <v>2228</v>
      </c>
      <c r="AE814" s="135"/>
    </row>
    <row r="815" spans="1:31" ht="12.5" customHeight="1" x14ac:dyDescent="0.35">
      <c r="A815" t="s">
        <v>396</v>
      </c>
      <c r="C815" t="s">
        <v>2229</v>
      </c>
      <c r="D815" t="s">
        <v>385</v>
      </c>
      <c r="E815" s="133">
        <v>45841</v>
      </c>
      <c r="F815" s="2">
        <v>1.2662037037037039E-2</v>
      </c>
      <c r="G815">
        <v>0</v>
      </c>
      <c r="H815" s="133">
        <v>45840</v>
      </c>
      <c r="I815" s="2">
        <v>0.51266203703703705</v>
      </c>
      <c r="J815">
        <v>12</v>
      </c>
      <c r="R815" t="s">
        <v>30</v>
      </c>
      <c r="W815">
        <v>1</v>
      </c>
      <c r="X815" t="s">
        <v>30</v>
      </c>
      <c r="AC815" t="s">
        <v>2230</v>
      </c>
      <c r="AE815" s="135"/>
    </row>
    <row r="816" spans="1:31" ht="12.5" customHeight="1" x14ac:dyDescent="0.35">
      <c r="A816" t="s">
        <v>396</v>
      </c>
      <c r="C816" t="s">
        <v>2231</v>
      </c>
      <c r="D816" t="s">
        <v>385</v>
      </c>
      <c r="E816" s="133">
        <v>45841</v>
      </c>
      <c r="F816" s="2">
        <v>1.2731481481481481E-2</v>
      </c>
      <c r="G816">
        <v>0</v>
      </c>
      <c r="H816" s="133">
        <v>45840</v>
      </c>
      <c r="I816" s="2">
        <v>0.51273148148148151</v>
      </c>
      <c r="J816">
        <v>12</v>
      </c>
      <c r="R816" t="s">
        <v>30</v>
      </c>
      <c r="W816">
        <v>1</v>
      </c>
      <c r="X816" t="s">
        <v>30</v>
      </c>
      <c r="AC816" t="s">
        <v>2232</v>
      </c>
      <c r="AE816" s="135"/>
    </row>
    <row r="817" spans="1:31" ht="12.5" customHeight="1" x14ac:dyDescent="0.35">
      <c r="A817" t="s">
        <v>396</v>
      </c>
      <c r="C817" t="s">
        <v>2233</v>
      </c>
      <c r="D817" t="s">
        <v>385</v>
      </c>
      <c r="E817" s="133">
        <v>45841</v>
      </c>
      <c r="F817" s="2">
        <v>1.2824074074074073E-2</v>
      </c>
      <c r="G817">
        <v>0</v>
      </c>
      <c r="H817" s="133">
        <v>45840</v>
      </c>
      <c r="I817" s="2">
        <v>0.51282407407407404</v>
      </c>
      <c r="J817">
        <v>12</v>
      </c>
      <c r="R817" t="s">
        <v>30</v>
      </c>
      <c r="W817">
        <v>1</v>
      </c>
      <c r="X817" t="s">
        <v>30</v>
      </c>
      <c r="AC817" t="s">
        <v>2234</v>
      </c>
      <c r="AE817" s="135"/>
    </row>
    <row r="818" spans="1:31" ht="12.5" customHeight="1" x14ac:dyDescent="0.35">
      <c r="A818" t="s">
        <v>396</v>
      </c>
      <c r="C818" t="s">
        <v>2235</v>
      </c>
      <c r="D818" t="s">
        <v>385</v>
      </c>
      <c r="E818" s="133">
        <v>45841</v>
      </c>
      <c r="F818" s="2">
        <v>1.2893518518518519E-2</v>
      </c>
      <c r="G818">
        <v>0</v>
      </c>
      <c r="H818" s="133">
        <v>45840</v>
      </c>
      <c r="I818" s="2">
        <v>0.5128935185185185</v>
      </c>
      <c r="J818">
        <v>12</v>
      </c>
      <c r="R818" t="s">
        <v>30</v>
      </c>
      <c r="W818">
        <v>1</v>
      </c>
      <c r="X818" t="s">
        <v>30</v>
      </c>
      <c r="AC818" t="s">
        <v>2236</v>
      </c>
      <c r="AE818" s="135"/>
    </row>
    <row r="819" spans="1:31" ht="12.5" customHeight="1" x14ac:dyDescent="0.35">
      <c r="A819" t="s">
        <v>396</v>
      </c>
      <c r="C819" t="s">
        <v>2237</v>
      </c>
      <c r="D819" t="s">
        <v>385</v>
      </c>
      <c r="E819" s="133">
        <v>45841</v>
      </c>
      <c r="F819" s="2">
        <v>1.2962962962962963E-2</v>
      </c>
      <c r="G819">
        <v>0</v>
      </c>
      <c r="H819" s="133">
        <v>45840</v>
      </c>
      <c r="I819" s="2">
        <v>0.51296296296296295</v>
      </c>
      <c r="J819">
        <v>12</v>
      </c>
      <c r="R819" t="s">
        <v>30</v>
      </c>
      <c r="W819">
        <v>1</v>
      </c>
      <c r="X819" t="s">
        <v>30</v>
      </c>
      <c r="AC819" t="s">
        <v>2238</v>
      </c>
      <c r="AE819" s="135"/>
    </row>
    <row r="820" spans="1:31" ht="12.5" customHeight="1" x14ac:dyDescent="0.35">
      <c r="A820" t="s">
        <v>396</v>
      </c>
      <c r="C820" t="s">
        <v>2239</v>
      </c>
      <c r="D820" t="s">
        <v>385</v>
      </c>
      <c r="E820" s="133">
        <v>45841</v>
      </c>
      <c r="F820" s="2">
        <v>1.3032407407407407E-2</v>
      </c>
      <c r="G820">
        <v>0</v>
      </c>
      <c r="H820" s="133">
        <v>45840</v>
      </c>
      <c r="I820" s="2">
        <v>0.51303240740740741</v>
      </c>
      <c r="J820">
        <v>12</v>
      </c>
      <c r="R820" t="s">
        <v>30</v>
      </c>
      <c r="W820">
        <v>1</v>
      </c>
      <c r="X820" t="s">
        <v>30</v>
      </c>
      <c r="AC820" t="s">
        <v>2240</v>
      </c>
      <c r="AE820" s="135"/>
    </row>
    <row r="821" spans="1:31" ht="12.5" customHeight="1" x14ac:dyDescent="0.35">
      <c r="A821" t="s">
        <v>396</v>
      </c>
      <c r="C821" t="s">
        <v>2241</v>
      </c>
      <c r="D821" t="s">
        <v>385</v>
      </c>
      <c r="E821" s="133">
        <v>45841</v>
      </c>
      <c r="F821" s="2">
        <v>1.3125E-2</v>
      </c>
      <c r="G821">
        <v>0</v>
      </c>
      <c r="H821" s="133">
        <v>45840</v>
      </c>
      <c r="I821" s="2">
        <v>0.51312499999999994</v>
      </c>
      <c r="J821">
        <v>12</v>
      </c>
      <c r="R821" t="s">
        <v>30</v>
      </c>
      <c r="W821">
        <v>1</v>
      </c>
      <c r="X821" t="s">
        <v>30</v>
      </c>
      <c r="AC821" t="s">
        <v>2242</v>
      </c>
      <c r="AE821" s="135"/>
    </row>
    <row r="822" spans="1:31" ht="12.5" customHeight="1" x14ac:dyDescent="0.35">
      <c r="A822" t="s">
        <v>396</v>
      </c>
      <c r="C822" t="s">
        <v>2243</v>
      </c>
      <c r="D822" t="s">
        <v>385</v>
      </c>
      <c r="E822" s="133">
        <v>45841</v>
      </c>
      <c r="F822" s="2">
        <v>1.3194444444444444E-2</v>
      </c>
      <c r="G822">
        <v>0</v>
      </c>
      <c r="H822" s="133">
        <v>45840</v>
      </c>
      <c r="I822" s="2">
        <v>0.5131944444444444</v>
      </c>
      <c r="J822">
        <v>12</v>
      </c>
      <c r="R822" t="s">
        <v>30</v>
      </c>
      <c r="W822">
        <v>1</v>
      </c>
      <c r="X822" t="s">
        <v>30</v>
      </c>
      <c r="AC822" t="s">
        <v>2244</v>
      </c>
      <c r="AE822" s="135"/>
    </row>
    <row r="823" spans="1:31" ht="12.5" customHeight="1" x14ac:dyDescent="0.35">
      <c r="A823" t="s">
        <v>396</v>
      </c>
      <c r="C823" t="s">
        <v>2245</v>
      </c>
      <c r="D823" t="s">
        <v>385</v>
      </c>
      <c r="E823" s="133">
        <v>45841</v>
      </c>
      <c r="F823" s="2">
        <v>1.3263888888888889E-2</v>
      </c>
      <c r="G823">
        <v>0</v>
      </c>
      <c r="H823" s="133">
        <v>45840</v>
      </c>
      <c r="I823" s="2">
        <v>0.51326388888888885</v>
      </c>
      <c r="J823">
        <v>12</v>
      </c>
      <c r="R823" t="s">
        <v>30</v>
      </c>
      <c r="W823">
        <v>1</v>
      </c>
      <c r="X823" t="s">
        <v>30</v>
      </c>
      <c r="AC823" t="s">
        <v>2246</v>
      </c>
      <c r="AE823" s="135"/>
    </row>
    <row r="824" spans="1:31" ht="12.5" customHeight="1" x14ac:dyDescent="0.35">
      <c r="A824" t="s">
        <v>396</v>
      </c>
      <c r="C824" t="s">
        <v>2247</v>
      </c>
      <c r="D824" t="s">
        <v>385</v>
      </c>
      <c r="E824" s="133">
        <v>45841</v>
      </c>
      <c r="F824" s="2">
        <v>1.3333333333333334E-2</v>
      </c>
      <c r="G824">
        <v>0</v>
      </c>
      <c r="H824" s="133">
        <v>45840</v>
      </c>
      <c r="I824" s="2">
        <v>0.51333333333333331</v>
      </c>
      <c r="J824">
        <v>12</v>
      </c>
      <c r="R824" t="s">
        <v>30</v>
      </c>
      <c r="W824">
        <v>1</v>
      </c>
      <c r="X824" t="s">
        <v>30</v>
      </c>
      <c r="AC824" t="s">
        <v>2248</v>
      </c>
      <c r="AE824" s="135"/>
    </row>
    <row r="825" spans="1:31" ht="12.5" customHeight="1" x14ac:dyDescent="0.35">
      <c r="A825" t="s">
        <v>396</v>
      </c>
      <c r="C825" t="s">
        <v>2249</v>
      </c>
      <c r="D825" t="s">
        <v>385</v>
      </c>
      <c r="E825" s="133">
        <v>45841</v>
      </c>
      <c r="F825" s="2">
        <v>1.3425925925925924E-2</v>
      </c>
      <c r="G825">
        <v>0</v>
      </c>
      <c r="H825" s="133">
        <v>45840</v>
      </c>
      <c r="I825" s="2">
        <v>0.51342592592592595</v>
      </c>
      <c r="J825">
        <v>12</v>
      </c>
      <c r="R825" t="s">
        <v>30</v>
      </c>
      <c r="W825">
        <v>1</v>
      </c>
      <c r="X825" t="s">
        <v>30</v>
      </c>
      <c r="AC825" t="s">
        <v>2250</v>
      </c>
      <c r="AE825" s="135"/>
    </row>
    <row r="826" spans="1:31" ht="12.5" customHeight="1" x14ac:dyDescent="0.35">
      <c r="A826" t="s">
        <v>396</v>
      </c>
      <c r="C826" t="s">
        <v>2251</v>
      </c>
      <c r="D826" t="s">
        <v>385</v>
      </c>
      <c r="E826" s="133">
        <v>45841</v>
      </c>
      <c r="F826" s="2">
        <v>1.3495370370370371E-2</v>
      </c>
      <c r="G826">
        <v>0</v>
      </c>
      <c r="H826" s="133">
        <v>45840</v>
      </c>
      <c r="I826" s="2">
        <v>0.5134953703703703</v>
      </c>
      <c r="J826">
        <v>12</v>
      </c>
      <c r="R826" t="s">
        <v>30</v>
      </c>
      <c r="W826">
        <v>1</v>
      </c>
      <c r="X826" t="s">
        <v>30</v>
      </c>
      <c r="AC826" t="s">
        <v>2252</v>
      </c>
      <c r="AE826" s="135"/>
    </row>
    <row r="827" spans="1:31" ht="12.5" customHeight="1" x14ac:dyDescent="0.35">
      <c r="A827" t="s">
        <v>396</v>
      </c>
      <c r="C827" t="s">
        <v>2253</v>
      </c>
      <c r="D827" t="s">
        <v>385</v>
      </c>
      <c r="E827" s="133">
        <v>45841</v>
      </c>
      <c r="F827" s="2">
        <v>1.3564814814814816E-2</v>
      </c>
      <c r="G827">
        <v>0</v>
      </c>
      <c r="H827" s="133">
        <v>45840</v>
      </c>
      <c r="I827" s="2">
        <v>0.51356481481481475</v>
      </c>
      <c r="J827">
        <v>12</v>
      </c>
      <c r="R827" t="s">
        <v>30</v>
      </c>
      <c r="W827">
        <v>1</v>
      </c>
      <c r="X827" t="s">
        <v>30</v>
      </c>
      <c r="AC827" t="s">
        <v>2254</v>
      </c>
      <c r="AE827" s="135"/>
    </row>
    <row r="828" spans="1:31" ht="12.5" customHeight="1" x14ac:dyDescent="0.35">
      <c r="A828" t="s">
        <v>396</v>
      </c>
      <c r="C828" t="s">
        <v>2255</v>
      </c>
      <c r="D828" t="s">
        <v>385</v>
      </c>
      <c r="E828" s="133">
        <v>45841</v>
      </c>
      <c r="F828" s="2">
        <v>1.3634259259259257E-2</v>
      </c>
      <c r="G828">
        <v>0</v>
      </c>
      <c r="H828" s="133">
        <v>45840</v>
      </c>
      <c r="I828" s="2">
        <v>0.51363425925925921</v>
      </c>
      <c r="J828">
        <v>12</v>
      </c>
      <c r="R828" t="s">
        <v>30</v>
      </c>
      <c r="W828">
        <v>1</v>
      </c>
      <c r="X828" t="s">
        <v>30</v>
      </c>
      <c r="AC828" t="s">
        <v>2256</v>
      </c>
      <c r="AE828" s="135"/>
    </row>
    <row r="829" spans="1:31" ht="12.5" customHeight="1" x14ac:dyDescent="0.35">
      <c r="A829" t="s">
        <v>396</v>
      </c>
      <c r="C829" t="s">
        <v>2257</v>
      </c>
      <c r="D829" t="s">
        <v>385</v>
      </c>
      <c r="E829" s="133">
        <v>45841</v>
      </c>
      <c r="F829" s="2">
        <v>1.3726851851851851E-2</v>
      </c>
      <c r="G829">
        <v>0</v>
      </c>
      <c r="H829" s="133">
        <v>45840</v>
      </c>
      <c r="I829" s="2">
        <v>0.51372685185185185</v>
      </c>
      <c r="J829">
        <v>12</v>
      </c>
      <c r="R829" t="s">
        <v>30</v>
      </c>
      <c r="W829">
        <v>1</v>
      </c>
      <c r="X829" t="s">
        <v>30</v>
      </c>
      <c r="AC829" t="s">
        <v>2258</v>
      </c>
      <c r="AE829" s="135"/>
    </row>
    <row r="830" spans="1:31" ht="12.5" customHeight="1" x14ac:dyDescent="0.35">
      <c r="A830" t="s">
        <v>396</v>
      </c>
      <c r="C830" t="s">
        <v>2259</v>
      </c>
      <c r="D830" t="s">
        <v>385</v>
      </c>
      <c r="E830" s="133">
        <v>45841</v>
      </c>
      <c r="F830" s="2">
        <v>1.3796296296296298E-2</v>
      </c>
      <c r="G830">
        <v>0</v>
      </c>
      <c r="H830" s="133">
        <v>45840</v>
      </c>
      <c r="I830" s="2">
        <v>0.51379629629629631</v>
      </c>
      <c r="J830">
        <v>12</v>
      </c>
      <c r="R830" t="s">
        <v>30</v>
      </c>
      <c r="W830">
        <v>1</v>
      </c>
      <c r="X830" t="s">
        <v>30</v>
      </c>
      <c r="AC830" t="s">
        <v>2260</v>
      </c>
      <c r="AE830" s="135"/>
    </row>
    <row r="831" spans="1:31" ht="12.5" customHeight="1" x14ac:dyDescent="0.35">
      <c r="A831" t="s">
        <v>396</v>
      </c>
      <c r="C831" t="s">
        <v>2261</v>
      </c>
      <c r="D831" t="s">
        <v>385</v>
      </c>
      <c r="E831" s="133">
        <v>45841</v>
      </c>
      <c r="F831" s="2">
        <v>1.3865740740740739E-2</v>
      </c>
      <c r="G831">
        <v>0</v>
      </c>
      <c r="H831" s="133">
        <v>45840</v>
      </c>
      <c r="I831" s="2">
        <v>0.51386574074074076</v>
      </c>
      <c r="J831">
        <v>12</v>
      </c>
      <c r="R831" t="s">
        <v>30</v>
      </c>
      <c r="W831">
        <v>1</v>
      </c>
      <c r="X831" t="s">
        <v>30</v>
      </c>
      <c r="AC831" t="s">
        <v>2262</v>
      </c>
      <c r="AE831" s="135"/>
    </row>
    <row r="832" spans="1:31" ht="12.5" customHeight="1" x14ac:dyDescent="0.35">
      <c r="A832" t="s">
        <v>396</v>
      </c>
      <c r="C832" t="s">
        <v>2263</v>
      </c>
      <c r="D832" t="s">
        <v>385</v>
      </c>
      <c r="E832" s="133">
        <v>45841</v>
      </c>
      <c r="F832" s="2">
        <v>1.3958333333333335E-2</v>
      </c>
      <c r="G832">
        <v>0</v>
      </c>
      <c r="H832" s="133">
        <v>45840</v>
      </c>
      <c r="I832" s="2">
        <v>0.51395833333333341</v>
      </c>
      <c r="J832">
        <v>12</v>
      </c>
      <c r="R832" t="s">
        <v>30</v>
      </c>
      <c r="W832">
        <v>1</v>
      </c>
      <c r="X832" t="s">
        <v>30</v>
      </c>
      <c r="AC832" t="s">
        <v>2264</v>
      </c>
      <c r="AE832" s="135"/>
    </row>
    <row r="833" spans="1:31" ht="12.5" customHeight="1" x14ac:dyDescent="0.35">
      <c r="A833" t="s">
        <v>396</v>
      </c>
      <c r="C833" t="s">
        <v>2265</v>
      </c>
      <c r="D833" t="s">
        <v>385</v>
      </c>
      <c r="E833" s="133">
        <v>45841</v>
      </c>
      <c r="F833" s="2">
        <v>1.4027777777777778E-2</v>
      </c>
      <c r="G833">
        <v>0</v>
      </c>
      <c r="H833" s="133">
        <v>45840</v>
      </c>
      <c r="I833" s="2">
        <v>0.51402777777777775</v>
      </c>
      <c r="J833">
        <v>12</v>
      </c>
      <c r="R833" t="s">
        <v>30</v>
      </c>
      <c r="W833">
        <v>1</v>
      </c>
      <c r="X833" t="s">
        <v>30</v>
      </c>
      <c r="AC833" t="s">
        <v>2266</v>
      </c>
      <c r="AE833" s="135"/>
    </row>
    <row r="834" spans="1:31" ht="12.5" customHeight="1" x14ac:dyDescent="0.35">
      <c r="A834" t="s">
        <v>396</v>
      </c>
      <c r="C834" t="s">
        <v>2267</v>
      </c>
      <c r="D834" t="s">
        <v>385</v>
      </c>
      <c r="E834" s="133">
        <v>45841</v>
      </c>
      <c r="F834" s="2">
        <v>1.4097222222222221E-2</v>
      </c>
      <c r="G834">
        <v>0</v>
      </c>
      <c r="H834" s="133">
        <v>45840</v>
      </c>
      <c r="I834" s="2">
        <v>0.51409722222222221</v>
      </c>
      <c r="J834">
        <v>12</v>
      </c>
      <c r="R834" t="s">
        <v>30</v>
      </c>
      <c r="W834">
        <v>1</v>
      </c>
      <c r="X834" t="s">
        <v>30</v>
      </c>
      <c r="AC834" t="s">
        <v>2268</v>
      </c>
      <c r="AE834" s="135"/>
    </row>
    <row r="835" spans="1:31" ht="12.5" customHeight="1" x14ac:dyDescent="0.35">
      <c r="A835" t="s">
        <v>396</v>
      </c>
      <c r="C835" t="s">
        <v>2269</v>
      </c>
      <c r="D835" t="s">
        <v>385</v>
      </c>
      <c r="E835" s="133">
        <v>45841</v>
      </c>
      <c r="F835" s="2">
        <v>1.4166666666666666E-2</v>
      </c>
      <c r="G835">
        <v>0</v>
      </c>
      <c r="H835" s="133">
        <v>45840</v>
      </c>
      <c r="I835" s="2">
        <v>0.51416666666666666</v>
      </c>
      <c r="J835">
        <v>12</v>
      </c>
      <c r="R835" t="s">
        <v>30</v>
      </c>
      <c r="W835">
        <v>1</v>
      </c>
      <c r="X835" t="s">
        <v>30</v>
      </c>
      <c r="AC835" t="s">
        <v>2270</v>
      </c>
      <c r="AE835" s="135"/>
    </row>
    <row r="836" spans="1:31" ht="12.5" customHeight="1" x14ac:dyDescent="0.35">
      <c r="A836" t="s">
        <v>396</v>
      </c>
      <c r="C836" t="s">
        <v>2271</v>
      </c>
      <c r="D836" t="s">
        <v>385</v>
      </c>
      <c r="E836" s="133">
        <v>45841</v>
      </c>
      <c r="F836" s="2">
        <v>1.4259259259259261E-2</v>
      </c>
      <c r="G836">
        <v>0</v>
      </c>
      <c r="H836" s="133">
        <v>45840</v>
      </c>
      <c r="I836" s="2">
        <v>0.5142592592592593</v>
      </c>
      <c r="J836">
        <v>12</v>
      </c>
      <c r="R836" t="s">
        <v>30</v>
      </c>
      <c r="W836">
        <v>1</v>
      </c>
      <c r="X836" t="s">
        <v>30</v>
      </c>
      <c r="AC836" t="s">
        <v>2272</v>
      </c>
      <c r="AE836" s="135"/>
    </row>
    <row r="837" spans="1:31" ht="12.5" customHeight="1" x14ac:dyDescent="0.35">
      <c r="A837" t="s">
        <v>396</v>
      </c>
      <c r="C837" t="s">
        <v>2273</v>
      </c>
      <c r="D837" t="s">
        <v>385</v>
      </c>
      <c r="E837" s="133">
        <v>45841</v>
      </c>
      <c r="F837" s="2">
        <v>1.4328703703703703E-2</v>
      </c>
      <c r="G837">
        <v>0</v>
      </c>
      <c r="H837" s="133">
        <v>45840</v>
      </c>
      <c r="I837" s="2">
        <v>0.51432870370370376</v>
      </c>
      <c r="J837">
        <v>12</v>
      </c>
      <c r="R837" t="s">
        <v>30</v>
      </c>
      <c r="W837">
        <v>1</v>
      </c>
      <c r="X837" t="s">
        <v>30</v>
      </c>
      <c r="AC837" t="s">
        <v>2274</v>
      </c>
      <c r="AE837" s="135"/>
    </row>
    <row r="838" spans="1:31" ht="12.5" customHeight="1" x14ac:dyDescent="0.35">
      <c r="A838" t="s">
        <v>396</v>
      </c>
      <c r="C838" t="s">
        <v>2275</v>
      </c>
      <c r="D838" t="s">
        <v>385</v>
      </c>
      <c r="E838" s="133">
        <v>45841</v>
      </c>
      <c r="F838" s="2">
        <v>1.4398148148148148E-2</v>
      </c>
      <c r="G838">
        <v>0</v>
      </c>
      <c r="H838" s="133">
        <v>45840</v>
      </c>
      <c r="I838" s="2">
        <v>0.51439814814814822</v>
      </c>
      <c r="J838">
        <v>12</v>
      </c>
      <c r="R838" t="s">
        <v>30</v>
      </c>
      <c r="W838">
        <v>1</v>
      </c>
      <c r="X838" t="s">
        <v>30</v>
      </c>
      <c r="AC838" t="s">
        <v>2276</v>
      </c>
      <c r="AE838" s="135"/>
    </row>
    <row r="839" spans="1:31" ht="12.5" customHeight="1" x14ac:dyDescent="0.35">
      <c r="A839" t="s">
        <v>396</v>
      </c>
      <c r="C839" t="s">
        <v>2277</v>
      </c>
      <c r="D839" t="s">
        <v>385</v>
      </c>
      <c r="E839" s="133">
        <v>45841</v>
      </c>
      <c r="F839" s="2">
        <v>1.4467592592592593E-2</v>
      </c>
      <c r="G839">
        <v>0</v>
      </c>
      <c r="H839" s="133">
        <v>45840</v>
      </c>
      <c r="I839" s="2">
        <v>0.51446759259259256</v>
      </c>
      <c r="J839">
        <v>12</v>
      </c>
      <c r="R839" t="s">
        <v>30</v>
      </c>
      <c r="W839">
        <v>1</v>
      </c>
      <c r="X839" t="s">
        <v>30</v>
      </c>
      <c r="AC839" t="s">
        <v>2278</v>
      </c>
      <c r="AE839" s="135"/>
    </row>
    <row r="840" spans="1:31" ht="12.5" customHeight="1" x14ac:dyDescent="0.35">
      <c r="A840" t="s">
        <v>396</v>
      </c>
      <c r="C840" t="s">
        <v>2279</v>
      </c>
      <c r="D840" t="s">
        <v>385</v>
      </c>
      <c r="E840" s="133">
        <v>45841</v>
      </c>
      <c r="F840" s="2">
        <v>1.4560185185185183E-2</v>
      </c>
      <c r="G840">
        <v>0</v>
      </c>
      <c r="H840" s="133">
        <v>45840</v>
      </c>
      <c r="I840" s="2">
        <v>0.5145601851851852</v>
      </c>
      <c r="J840">
        <v>12</v>
      </c>
      <c r="R840" t="s">
        <v>30</v>
      </c>
      <c r="W840">
        <v>1</v>
      </c>
      <c r="X840" t="s">
        <v>30</v>
      </c>
      <c r="AC840" t="s">
        <v>2280</v>
      </c>
      <c r="AE840" s="135"/>
    </row>
    <row r="841" spans="1:31" ht="12.5" customHeight="1" x14ac:dyDescent="0.35">
      <c r="A841" t="s">
        <v>396</v>
      </c>
      <c r="C841" t="s">
        <v>2281</v>
      </c>
      <c r="D841" t="s">
        <v>385</v>
      </c>
      <c r="E841" s="133">
        <v>45841</v>
      </c>
      <c r="F841" s="2">
        <v>1.462962962962963E-2</v>
      </c>
      <c r="G841">
        <v>0</v>
      </c>
      <c r="H841" s="133">
        <v>45840</v>
      </c>
      <c r="I841" s="2">
        <v>0.51462962962962966</v>
      </c>
      <c r="J841">
        <v>12</v>
      </c>
      <c r="R841" t="s">
        <v>30</v>
      </c>
      <c r="W841">
        <v>1</v>
      </c>
      <c r="X841" t="s">
        <v>30</v>
      </c>
      <c r="AC841" t="s">
        <v>2282</v>
      </c>
      <c r="AE841" s="135"/>
    </row>
    <row r="842" spans="1:31" ht="12.5" customHeight="1" x14ac:dyDescent="0.35">
      <c r="A842" t="s">
        <v>396</v>
      </c>
      <c r="C842" t="s">
        <v>2283</v>
      </c>
      <c r="D842" t="s">
        <v>385</v>
      </c>
      <c r="E842" s="133">
        <v>45841</v>
      </c>
      <c r="F842" s="2">
        <v>1.4699074074074074E-2</v>
      </c>
      <c r="G842">
        <v>0</v>
      </c>
      <c r="H842" s="133">
        <v>45840</v>
      </c>
      <c r="I842" s="2">
        <v>0.51469907407407411</v>
      </c>
      <c r="J842">
        <v>12</v>
      </c>
      <c r="R842" t="s">
        <v>30</v>
      </c>
      <c r="W842">
        <v>1</v>
      </c>
      <c r="X842" t="s">
        <v>30</v>
      </c>
      <c r="AC842" t="s">
        <v>2284</v>
      </c>
      <c r="AE842" s="135"/>
    </row>
    <row r="843" spans="1:31" ht="12.5" customHeight="1" x14ac:dyDescent="0.35">
      <c r="A843" t="s">
        <v>396</v>
      </c>
      <c r="C843" t="s">
        <v>2285</v>
      </c>
      <c r="D843" t="s">
        <v>385</v>
      </c>
      <c r="E843" s="133">
        <v>45841</v>
      </c>
      <c r="F843" s="2">
        <v>1.4791666666666668E-2</v>
      </c>
      <c r="G843">
        <v>0</v>
      </c>
      <c r="H843" s="133">
        <v>45840</v>
      </c>
      <c r="I843" s="2">
        <v>0.51479166666666665</v>
      </c>
      <c r="J843">
        <v>12</v>
      </c>
      <c r="R843" t="s">
        <v>30</v>
      </c>
      <c r="W843">
        <v>1</v>
      </c>
      <c r="X843" t="s">
        <v>30</v>
      </c>
      <c r="AC843" t="s">
        <v>2286</v>
      </c>
      <c r="AE843" s="135"/>
    </row>
    <row r="844" spans="1:31" ht="12.5" customHeight="1" x14ac:dyDescent="0.35">
      <c r="A844" t="s">
        <v>396</v>
      </c>
      <c r="C844" t="s">
        <v>2287</v>
      </c>
      <c r="D844" t="s">
        <v>385</v>
      </c>
      <c r="E844" s="133">
        <v>45841</v>
      </c>
      <c r="F844" s="2">
        <v>1.486111111111111E-2</v>
      </c>
      <c r="G844">
        <v>0</v>
      </c>
      <c r="H844" s="133">
        <v>45840</v>
      </c>
      <c r="I844" s="2">
        <v>0.5148611111111111</v>
      </c>
      <c r="J844">
        <v>12</v>
      </c>
      <c r="R844" t="s">
        <v>30</v>
      </c>
      <c r="W844">
        <v>1</v>
      </c>
      <c r="X844" t="s">
        <v>30</v>
      </c>
      <c r="AC844" t="s">
        <v>2288</v>
      </c>
      <c r="AE844" s="135"/>
    </row>
    <row r="845" spans="1:31" ht="12.5" customHeight="1" x14ac:dyDescent="0.35">
      <c r="A845" t="s">
        <v>396</v>
      </c>
      <c r="C845" t="s">
        <v>2289</v>
      </c>
      <c r="D845" t="s">
        <v>385</v>
      </c>
      <c r="E845" s="133">
        <v>45841</v>
      </c>
      <c r="F845" s="2">
        <v>1.4930555555555556E-2</v>
      </c>
      <c r="G845">
        <v>0</v>
      </c>
      <c r="H845" s="133">
        <v>45840</v>
      </c>
      <c r="I845" s="2">
        <v>0.51493055555555556</v>
      </c>
      <c r="J845">
        <v>12</v>
      </c>
      <c r="R845" t="s">
        <v>30</v>
      </c>
      <c r="W845">
        <v>1</v>
      </c>
      <c r="X845" t="s">
        <v>30</v>
      </c>
      <c r="AC845" t="s">
        <v>2290</v>
      </c>
      <c r="AE845" s="135"/>
    </row>
    <row r="846" spans="1:31" ht="12.5" customHeight="1" x14ac:dyDescent="0.35">
      <c r="A846" t="s">
        <v>396</v>
      </c>
      <c r="C846" t="s">
        <v>2291</v>
      </c>
      <c r="D846" t="s">
        <v>385</v>
      </c>
      <c r="E846" s="133">
        <v>45841</v>
      </c>
      <c r="F846" s="2">
        <v>1.5000000000000001E-2</v>
      </c>
      <c r="G846">
        <v>0</v>
      </c>
      <c r="H846" s="133">
        <v>45840</v>
      </c>
      <c r="I846" s="2">
        <v>0.51500000000000001</v>
      </c>
      <c r="J846">
        <v>12</v>
      </c>
      <c r="R846" t="s">
        <v>30</v>
      </c>
      <c r="W846">
        <v>1</v>
      </c>
      <c r="X846" t="s">
        <v>30</v>
      </c>
      <c r="AC846" t="s">
        <v>2292</v>
      </c>
      <c r="AE846" s="135"/>
    </row>
    <row r="847" spans="1:31" ht="12.5" customHeight="1" x14ac:dyDescent="0.35">
      <c r="A847" t="s">
        <v>396</v>
      </c>
      <c r="C847" t="s">
        <v>2293</v>
      </c>
      <c r="D847" t="s">
        <v>385</v>
      </c>
      <c r="E847" s="133">
        <v>45841</v>
      </c>
      <c r="F847" s="2">
        <v>1.5092592592592593E-2</v>
      </c>
      <c r="G847">
        <v>0</v>
      </c>
      <c r="H847" s="133">
        <v>45840</v>
      </c>
      <c r="I847" s="2">
        <v>0.51509259259259255</v>
      </c>
      <c r="J847">
        <v>12</v>
      </c>
      <c r="R847" t="s">
        <v>30</v>
      </c>
      <c r="W847">
        <v>1</v>
      </c>
      <c r="X847" t="s">
        <v>30</v>
      </c>
      <c r="AC847" t="s">
        <v>2294</v>
      </c>
      <c r="AE847" s="135"/>
    </row>
    <row r="848" spans="1:31" ht="12.5" customHeight="1" x14ac:dyDescent="0.35">
      <c r="A848" t="s">
        <v>396</v>
      </c>
      <c r="C848" t="s">
        <v>2295</v>
      </c>
      <c r="D848" t="s">
        <v>385</v>
      </c>
      <c r="E848" s="133">
        <v>45841</v>
      </c>
      <c r="F848" s="2">
        <v>1.5162037037037036E-2</v>
      </c>
      <c r="G848">
        <v>0</v>
      </c>
      <c r="H848" s="133">
        <v>45840</v>
      </c>
      <c r="I848" s="2">
        <v>0.515162037037037</v>
      </c>
      <c r="J848">
        <v>12</v>
      </c>
      <c r="R848" t="s">
        <v>30</v>
      </c>
      <c r="W848">
        <v>1</v>
      </c>
      <c r="X848" t="s">
        <v>30</v>
      </c>
      <c r="AC848" t="s">
        <v>2296</v>
      </c>
      <c r="AE848" s="135"/>
    </row>
    <row r="849" spans="1:31" ht="12.5" customHeight="1" x14ac:dyDescent="0.35">
      <c r="A849" t="s">
        <v>396</v>
      </c>
      <c r="C849" t="s">
        <v>2297</v>
      </c>
      <c r="D849" t="s">
        <v>385</v>
      </c>
      <c r="E849" s="133">
        <v>45841</v>
      </c>
      <c r="F849" s="2">
        <v>1.5231481481481483E-2</v>
      </c>
      <c r="G849">
        <v>0</v>
      </c>
      <c r="H849" s="133">
        <v>45840</v>
      </c>
      <c r="I849" s="2">
        <v>0.51523148148148146</v>
      </c>
      <c r="J849">
        <v>12</v>
      </c>
      <c r="R849" t="s">
        <v>30</v>
      </c>
      <c r="W849">
        <v>1</v>
      </c>
      <c r="X849" t="s">
        <v>30</v>
      </c>
      <c r="AC849" t="s">
        <v>2298</v>
      </c>
      <c r="AE849" s="135"/>
    </row>
    <row r="850" spans="1:31" ht="12.5" customHeight="1" x14ac:dyDescent="0.35">
      <c r="A850" t="s">
        <v>396</v>
      </c>
      <c r="C850" t="s">
        <v>2299</v>
      </c>
      <c r="D850" t="s">
        <v>385</v>
      </c>
      <c r="E850" s="133">
        <v>45841</v>
      </c>
      <c r="F850" s="2">
        <v>1.5300925925925926E-2</v>
      </c>
      <c r="G850">
        <v>0</v>
      </c>
      <c r="H850" s="133">
        <v>45840</v>
      </c>
      <c r="I850" s="2">
        <v>0.51530092592592591</v>
      </c>
      <c r="J850">
        <v>12</v>
      </c>
      <c r="R850" t="s">
        <v>30</v>
      </c>
      <c r="W850">
        <v>1</v>
      </c>
      <c r="X850" t="s">
        <v>30</v>
      </c>
      <c r="AC850" t="s">
        <v>2300</v>
      </c>
      <c r="AE850" s="135"/>
    </row>
    <row r="851" spans="1:31" ht="12.5" customHeight="1" x14ac:dyDescent="0.35">
      <c r="A851" t="s">
        <v>396</v>
      </c>
      <c r="C851" t="s">
        <v>2301</v>
      </c>
      <c r="D851" t="s">
        <v>385</v>
      </c>
      <c r="E851" s="133">
        <v>45841</v>
      </c>
      <c r="F851" s="2">
        <v>1.539351851851852E-2</v>
      </c>
      <c r="G851">
        <v>0</v>
      </c>
      <c r="H851" s="133">
        <v>45840</v>
      </c>
      <c r="I851" s="2">
        <v>0.51539351851851845</v>
      </c>
      <c r="J851">
        <v>12</v>
      </c>
      <c r="R851" t="s">
        <v>30</v>
      </c>
      <c r="W851">
        <v>1</v>
      </c>
      <c r="X851" t="s">
        <v>30</v>
      </c>
      <c r="AC851" t="s">
        <v>2302</v>
      </c>
      <c r="AE851" s="135"/>
    </row>
    <row r="852" spans="1:31" ht="12.5" customHeight="1" x14ac:dyDescent="0.35">
      <c r="A852" t="s">
        <v>396</v>
      </c>
      <c r="C852" t="s">
        <v>2303</v>
      </c>
      <c r="D852" t="s">
        <v>385</v>
      </c>
      <c r="E852" s="133">
        <v>45841</v>
      </c>
      <c r="F852" s="2">
        <v>1.5462962962962963E-2</v>
      </c>
      <c r="G852">
        <v>0</v>
      </c>
      <c r="H852" s="133">
        <v>45840</v>
      </c>
      <c r="I852" s="2">
        <v>0.5154629629629629</v>
      </c>
      <c r="J852">
        <v>12</v>
      </c>
      <c r="R852" t="s">
        <v>30</v>
      </c>
      <c r="W852">
        <v>1</v>
      </c>
      <c r="X852" t="s">
        <v>30</v>
      </c>
      <c r="AC852" t="s">
        <v>2304</v>
      </c>
      <c r="AE852" s="135"/>
    </row>
    <row r="853" spans="1:31" ht="12.5" customHeight="1" x14ac:dyDescent="0.35">
      <c r="A853" t="s">
        <v>396</v>
      </c>
      <c r="C853" t="s">
        <v>2305</v>
      </c>
      <c r="D853" t="s">
        <v>385</v>
      </c>
      <c r="E853" s="133">
        <v>45841</v>
      </c>
      <c r="F853" s="2">
        <v>1.5532407407407406E-2</v>
      </c>
      <c r="G853">
        <v>0</v>
      </c>
      <c r="H853" s="133">
        <v>45840</v>
      </c>
      <c r="I853" s="2">
        <v>0.51553240740740736</v>
      </c>
      <c r="J853">
        <v>12</v>
      </c>
      <c r="R853" t="s">
        <v>30</v>
      </c>
      <c r="W853">
        <v>1</v>
      </c>
      <c r="X853" t="s">
        <v>30</v>
      </c>
      <c r="AC853" t="s">
        <v>2306</v>
      </c>
      <c r="AE853" s="135"/>
    </row>
    <row r="854" spans="1:31" ht="12.5" customHeight="1" x14ac:dyDescent="0.35">
      <c r="A854" t="s">
        <v>396</v>
      </c>
      <c r="C854" t="s">
        <v>2307</v>
      </c>
      <c r="D854" t="s">
        <v>385</v>
      </c>
      <c r="E854" s="133">
        <v>45841</v>
      </c>
      <c r="F854" s="2">
        <v>1.5601851851851851E-2</v>
      </c>
      <c r="G854">
        <v>0</v>
      </c>
      <c r="H854" s="133">
        <v>45840</v>
      </c>
      <c r="I854" s="2">
        <v>0.51560185185185181</v>
      </c>
      <c r="J854">
        <v>12</v>
      </c>
      <c r="R854" t="s">
        <v>30</v>
      </c>
      <c r="W854">
        <v>1</v>
      </c>
      <c r="X854" t="s">
        <v>30</v>
      </c>
      <c r="AC854" t="s">
        <v>2308</v>
      </c>
      <c r="AE854" s="135"/>
    </row>
    <row r="855" spans="1:31" ht="12.5" customHeight="1" x14ac:dyDescent="0.35">
      <c r="A855" t="s">
        <v>396</v>
      </c>
      <c r="C855" t="s">
        <v>2309</v>
      </c>
      <c r="D855" t="s">
        <v>385</v>
      </c>
      <c r="E855" s="133">
        <v>45841</v>
      </c>
      <c r="F855" s="2">
        <v>1.5694444444444445E-2</v>
      </c>
      <c r="G855">
        <v>0</v>
      </c>
      <c r="H855" s="133">
        <v>45840</v>
      </c>
      <c r="I855" s="2">
        <v>0.51569444444444446</v>
      </c>
      <c r="J855">
        <v>12</v>
      </c>
      <c r="R855" t="s">
        <v>30</v>
      </c>
      <c r="W855">
        <v>1</v>
      </c>
      <c r="X855" t="s">
        <v>30</v>
      </c>
      <c r="AC855" t="s">
        <v>2310</v>
      </c>
      <c r="AE855" s="135"/>
    </row>
    <row r="856" spans="1:31" ht="12.5" customHeight="1" x14ac:dyDescent="0.35">
      <c r="A856" t="s">
        <v>396</v>
      </c>
      <c r="C856" t="s">
        <v>2311</v>
      </c>
      <c r="D856" t="s">
        <v>385</v>
      </c>
      <c r="E856" s="133">
        <v>45841</v>
      </c>
      <c r="F856" s="2">
        <v>1.5763888888888886E-2</v>
      </c>
      <c r="G856">
        <v>0</v>
      </c>
      <c r="H856" s="133">
        <v>45840</v>
      </c>
      <c r="I856" s="2">
        <v>0.51576388888888891</v>
      </c>
      <c r="J856">
        <v>12</v>
      </c>
      <c r="R856" t="s">
        <v>30</v>
      </c>
      <c r="W856">
        <v>1</v>
      </c>
      <c r="X856" t="s">
        <v>30</v>
      </c>
      <c r="AC856" t="s">
        <v>2312</v>
      </c>
      <c r="AE856" s="135"/>
    </row>
    <row r="857" spans="1:31" ht="12.5" customHeight="1" x14ac:dyDescent="0.35">
      <c r="A857" t="s">
        <v>396</v>
      </c>
      <c r="C857" t="s">
        <v>2313</v>
      </c>
      <c r="D857" t="s">
        <v>385</v>
      </c>
      <c r="E857" s="133">
        <v>45841</v>
      </c>
      <c r="F857" s="2">
        <v>1.5833333333333335E-2</v>
      </c>
      <c r="G857">
        <v>0</v>
      </c>
      <c r="H857" s="133">
        <v>45840</v>
      </c>
      <c r="I857" s="2">
        <v>0.51583333333333337</v>
      </c>
      <c r="J857">
        <v>12</v>
      </c>
      <c r="R857" t="s">
        <v>30</v>
      </c>
      <c r="W857">
        <v>1</v>
      </c>
      <c r="X857" t="s">
        <v>30</v>
      </c>
      <c r="AC857" t="s">
        <v>2314</v>
      </c>
      <c r="AE857" s="135"/>
    </row>
    <row r="858" spans="1:31" ht="12.5" customHeight="1" x14ac:dyDescent="0.35">
      <c r="A858" t="s">
        <v>396</v>
      </c>
      <c r="C858" t="s">
        <v>2315</v>
      </c>
      <c r="D858" t="s">
        <v>385</v>
      </c>
      <c r="E858" s="133">
        <v>45841</v>
      </c>
      <c r="F858" s="2">
        <v>1.5902777777777776E-2</v>
      </c>
      <c r="G858">
        <v>0</v>
      </c>
      <c r="H858" s="133">
        <v>45840</v>
      </c>
      <c r="I858" s="2">
        <v>0.51590277777777771</v>
      </c>
      <c r="J858">
        <v>12</v>
      </c>
      <c r="R858" t="s">
        <v>30</v>
      </c>
      <c r="W858">
        <v>1</v>
      </c>
      <c r="X858" t="s">
        <v>30</v>
      </c>
      <c r="AC858" t="s">
        <v>2316</v>
      </c>
      <c r="AE858" s="135"/>
    </row>
    <row r="859" spans="1:31" ht="12.5" customHeight="1" x14ac:dyDescent="0.35">
      <c r="A859" t="s">
        <v>396</v>
      </c>
      <c r="C859" t="s">
        <v>2317</v>
      </c>
      <c r="D859" t="s">
        <v>385</v>
      </c>
      <c r="E859" s="133">
        <v>45841</v>
      </c>
      <c r="F859" s="2">
        <v>1.5995370370370372E-2</v>
      </c>
      <c r="G859">
        <v>0</v>
      </c>
      <c r="H859" s="133">
        <v>45840</v>
      </c>
      <c r="I859" s="2">
        <v>0.51599537037037035</v>
      </c>
      <c r="J859">
        <v>12</v>
      </c>
      <c r="R859" t="s">
        <v>30</v>
      </c>
      <c r="W859">
        <v>1</v>
      </c>
      <c r="X859" t="s">
        <v>30</v>
      </c>
      <c r="AC859" t="s">
        <v>2318</v>
      </c>
      <c r="AE859" s="135"/>
    </row>
    <row r="860" spans="1:31" ht="12.5" customHeight="1" x14ac:dyDescent="0.35">
      <c r="A860" t="s">
        <v>396</v>
      </c>
      <c r="C860" t="s">
        <v>2319</v>
      </c>
      <c r="D860" t="s">
        <v>385</v>
      </c>
      <c r="E860" s="133">
        <v>45841</v>
      </c>
      <c r="F860" s="2">
        <v>1.6064814814814813E-2</v>
      </c>
      <c r="G860">
        <v>0</v>
      </c>
      <c r="H860" s="133">
        <v>45840</v>
      </c>
      <c r="I860" s="2">
        <v>0.51606481481481481</v>
      </c>
      <c r="J860">
        <v>12</v>
      </c>
      <c r="R860" t="s">
        <v>30</v>
      </c>
      <c r="W860">
        <v>1</v>
      </c>
      <c r="X860" t="s">
        <v>30</v>
      </c>
      <c r="AC860" t="s">
        <v>2320</v>
      </c>
      <c r="AE860" s="135"/>
    </row>
    <row r="861" spans="1:31" ht="12.5" customHeight="1" x14ac:dyDescent="0.35">
      <c r="A861" t="s">
        <v>396</v>
      </c>
      <c r="C861" t="s">
        <v>2321</v>
      </c>
      <c r="D861" t="s">
        <v>385</v>
      </c>
      <c r="E861" s="133">
        <v>45841</v>
      </c>
      <c r="F861" s="2">
        <v>1.6134259259259261E-2</v>
      </c>
      <c r="G861">
        <v>0</v>
      </c>
      <c r="H861" s="133">
        <v>45840</v>
      </c>
      <c r="I861" s="2">
        <v>0.51613425925925926</v>
      </c>
      <c r="J861">
        <v>12</v>
      </c>
      <c r="R861" t="s">
        <v>30</v>
      </c>
      <c r="W861">
        <v>1</v>
      </c>
      <c r="X861" t="s">
        <v>30</v>
      </c>
      <c r="AC861" t="s">
        <v>2322</v>
      </c>
      <c r="AE861" s="135"/>
    </row>
    <row r="862" spans="1:31" ht="12.5" customHeight="1" x14ac:dyDescent="0.35">
      <c r="A862" t="s">
        <v>396</v>
      </c>
      <c r="C862" t="s">
        <v>2323</v>
      </c>
      <c r="D862" t="s">
        <v>385</v>
      </c>
      <c r="E862" s="133">
        <v>45841</v>
      </c>
      <c r="F862" s="2">
        <v>1.6203703703703703E-2</v>
      </c>
      <c r="G862">
        <v>0</v>
      </c>
      <c r="H862" s="133">
        <v>45840</v>
      </c>
      <c r="I862" s="2">
        <v>0.51620370370370372</v>
      </c>
      <c r="J862">
        <v>12</v>
      </c>
      <c r="R862" t="s">
        <v>30</v>
      </c>
      <c r="W862">
        <v>1</v>
      </c>
      <c r="X862" t="s">
        <v>30</v>
      </c>
      <c r="AC862" t="s">
        <v>2324</v>
      </c>
      <c r="AE862" s="135"/>
    </row>
    <row r="863" spans="1:31" ht="12.5" customHeight="1" x14ac:dyDescent="0.35">
      <c r="A863" t="s">
        <v>396</v>
      </c>
      <c r="C863" t="s">
        <v>2325</v>
      </c>
      <c r="D863" t="s">
        <v>385</v>
      </c>
      <c r="E863" s="133">
        <v>45841</v>
      </c>
      <c r="F863" s="2">
        <v>1.6296296296296295E-2</v>
      </c>
      <c r="G863">
        <v>0</v>
      </c>
      <c r="H863" s="133">
        <v>45840</v>
      </c>
      <c r="I863" s="2">
        <v>0.51629629629629636</v>
      </c>
      <c r="J863">
        <v>12</v>
      </c>
      <c r="R863" t="s">
        <v>30</v>
      </c>
      <c r="W863">
        <v>1</v>
      </c>
      <c r="X863" t="s">
        <v>30</v>
      </c>
      <c r="AC863" t="s">
        <v>2326</v>
      </c>
      <c r="AE863" s="135"/>
    </row>
    <row r="864" spans="1:31" ht="12.5" customHeight="1" x14ac:dyDescent="0.35">
      <c r="A864" t="s">
        <v>396</v>
      </c>
      <c r="C864" t="s">
        <v>2327</v>
      </c>
      <c r="D864" t="s">
        <v>385</v>
      </c>
      <c r="E864" s="133">
        <v>45841</v>
      </c>
      <c r="F864" s="2">
        <v>1.636574074074074E-2</v>
      </c>
      <c r="G864">
        <v>0</v>
      </c>
      <c r="H864" s="133">
        <v>45840</v>
      </c>
      <c r="I864" s="2">
        <v>0.51636574074074071</v>
      </c>
      <c r="J864">
        <v>12</v>
      </c>
      <c r="R864" t="s">
        <v>30</v>
      </c>
      <c r="W864">
        <v>1</v>
      </c>
      <c r="X864" t="s">
        <v>30</v>
      </c>
      <c r="AC864" t="s">
        <v>2328</v>
      </c>
      <c r="AE864" s="135"/>
    </row>
    <row r="865" spans="1:31" ht="12.5" customHeight="1" x14ac:dyDescent="0.35">
      <c r="A865" t="s">
        <v>396</v>
      </c>
      <c r="C865" t="s">
        <v>2329</v>
      </c>
      <c r="D865" t="s">
        <v>385</v>
      </c>
      <c r="E865" s="133">
        <v>45841</v>
      </c>
      <c r="F865" s="2">
        <v>1.6435185185185188E-2</v>
      </c>
      <c r="G865">
        <v>0</v>
      </c>
      <c r="H865" s="133">
        <v>45840</v>
      </c>
      <c r="I865" s="2">
        <v>0.51643518518518516</v>
      </c>
      <c r="J865">
        <v>12</v>
      </c>
      <c r="R865" t="s">
        <v>30</v>
      </c>
      <c r="W865">
        <v>1</v>
      </c>
      <c r="X865" t="s">
        <v>30</v>
      </c>
      <c r="AC865" t="s">
        <v>2330</v>
      </c>
      <c r="AE865" s="135"/>
    </row>
    <row r="866" spans="1:31" ht="12.5" customHeight="1" x14ac:dyDescent="0.35">
      <c r="A866" t="s">
        <v>396</v>
      </c>
      <c r="C866" t="s">
        <v>2331</v>
      </c>
      <c r="D866" t="s">
        <v>385</v>
      </c>
      <c r="E866" s="133">
        <v>45841</v>
      </c>
      <c r="F866" s="2">
        <v>1.650462962962963E-2</v>
      </c>
      <c r="G866">
        <v>0</v>
      </c>
      <c r="H866" s="133">
        <v>45840</v>
      </c>
      <c r="I866" s="2">
        <v>0.51650462962962962</v>
      </c>
      <c r="J866">
        <v>12</v>
      </c>
      <c r="R866" t="s">
        <v>30</v>
      </c>
      <c r="W866">
        <v>1</v>
      </c>
      <c r="X866" t="s">
        <v>30</v>
      </c>
      <c r="AC866" t="s">
        <v>2332</v>
      </c>
      <c r="AE866" s="135"/>
    </row>
    <row r="867" spans="1:31" ht="12.5" customHeight="1" x14ac:dyDescent="0.35">
      <c r="A867" t="s">
        <v>396</v>
      </c>
      <c r="C867" t="s">
        <v>2333</v>
      </c>
      <c r="D867" t="s">
        <v>385</v>
      </c>
      <c r="E867" s="133">
        <v>45841</v>
      </c>
      <c r="F867" s="2">
        <v>1.6597222222222222E-2</v>
      </c>
      <c r="G867">
        <v>0</v>
      </c>
      <c r="H867" s="133">
        <v>45840</v>
      </c>
      <c r="I867" s="2">
        <v>0.51659722222222226</v>
      </c>
      <c r="J867">
        <v>12</v>
      </c>
      <c r="R867" t="s">
        <v>30</v>
      </c>
      <c r="W867">
        <v>1</v>
      </c>
      <c r="X867" t="s">
        <v>30</v>
      </c>
      <c r="AC867" t="s">
        <v>2334</v>
      </c>
      <c r="AE867" s="135"/>
    </row>
    <row r="868" spans="1:31" ht="12.5" customHeight="1" x14ac:dyDescent="0.35">
      <c r="A868" t="s">
        <v>396</v>
      </c>
      <c r="C868" t="s">
        <v>2335</v>
      </c>
      <c r="D868" t="s">
        <v>385</v>
      </c>
      <c r="E868" s="133">
        <v>45841</v>
      </c>
      <c r="F868" s="2">
        <v>1.6666666666666666E-2</v>
      </c>
      <c r="G868">
        <v>0</v>
      </c>
      <c r="H868" s="133">
        <v>45840</v>
      </c>
      <c r="I868" s="2">
        <v>0.51666666666666672</v>
      </c>
      <c r="J868">
        <v>12</v>
      </c>
      <c r="R868" t="s">
        <v>30</v>
      </c>
      <c r="W868">
        <v>1</v>
      </c>
      <c r="X868" t="s">
        <v>30</v>
      </c>
      <c r="AC868" t="s">
        <v>2336</v>
      </c>
      <c r="AE868" s="135"/>
    </row>
    <row r="869" spans="1:31" ht="12.5" customHeight="1" x14ac:dyDescent="0.35">
      <c r="A869" t="s">
        <v>396</v>
      </c>
      <c r="C869" t="s">
        <v>2337</v>
      </c>
      <c r="D869" t="s">
        <v>385</v>
      </c>
      <c r="E869" s="133">
        <v>45841</v>
      </c>
      <c r="F869" s="2">
        <v>1.6736111111111111E-2</v>
      </c>
      <c r="G869">
        <v>0</v>
      </c>
      <c r="H869" s="133">
        <v>45840</v>
      </c>
      <c r="I869" s="2">
        <v>0.51673611111111117</v>
      </c>
      <c r="J869">
        <v>12</v>
      </c>
      <c r="R869" t="s">
        <v>30</v>
      </c>
      <c r="W869">
        <v>1</v>
      </c>
      <c r="X869" t="s">
        <v>30</v>
      </c>
      <c r="AC869" t="s">
        <v>2338</v>
      </c>
      <c r="AE869" s="135"/>
    </row>
    <row r="870" spans="1:31" ht="12.5" customHeight="1" x14ac:dyDescent="0.35">
      <c r="A870" t="s">
        <v>396</v>
      </c>
      <c r="C870" t="s">
        <v>2339</v>
      </c>
      <c r="D870" t="s">
        <v>385</v>
      </c>
      <c r="E870" s="133">
        <v>45841</v>
      </c>
      <c r="F870" s="2">
        <v>1.6805555555555556E-2</v>
      </c>
      <c r="G870">
        <v>0</v>
      </c>
      <c r="H870" s="133">
        <v>45840</v>
      </c>
      <c r="I870" s="2">
        <v>0.51680555555555552</v>
      </c>
      <c r="J870">
        <v>12</v>
      </c>
      <c r="R870" t="s">
        <v>30</v>
      </c>
      <c r="W870">
        <v>1</v>
      </c>
      <c r="X870" t="s">
        <v>30</v>
      </c>
      <c r="AC870" t="s">
        <v>2340</v>
      </c>
      <c r="AE870" s="135"/>
    </row>
    <row r="871" spans="1:31" ht="12.5" customHeight="1" x14ac:dyDescent="0.35">
      <c r="A871" t="s">
        <v>396</v>
      </c>
      <c r="C871" t="s">
        <v>2341</v>
      </c>
      <c r="D871" t="s">
        <v>385</v>
      </c>
      <c r="E871" s="133">
        <v>45841</v>
      </c>
      <c r="F871" s="2">
        <v>1.6898148148148148E-2</v>
      </c>
      <c r="G871">
        <v>0</v>
      </c>
      <c r="H871" s="133">
        <v>45840</v>
      </c>
      <c r="I871" s="2">
        <v>0.51689814814814816</v>
      </c>
      <c r="J871">
        <v>12</v>
      </c>
      <c r="R871" t="s">
        <v>30</v>
      </c>
      <c r="W871">
        <v>1</v>
      </c>
      <c r="X871" t="s">
        <v>30</v>
      </c>
      <c r="AC871" t="s">
        <v>2342</v>
      </c>
      <c r="AE871" s="135"/>
    </row>
    <row r="872" spans="1:31" ht="12.5" customHeight="1" x14ac:dyDescent="0.35">
      <c r="A872" t="s">
        <v>396</v>
      </c>
      <c r="C872" t="s">
        <v>2343</v>
      </c>
      <c r="D872" t="s">
        <v>385</v>
      </c>
      <c r="E872" s="133">
        <v>45841</v>
      </c>
      <c r="F872" s="2">
        <v>1.6967592592592593E-2</v>
      </c>
      <c r="G872">
        <v>0</v>
      </c>
      <c r="H872" s="133">
        <v>45840</v>
      </c>
      <c r="I872" s="2">
        <v>0.51696759259259262</v>
      </c>
      <c r="J872">
        <v>12</v>
      </c>
      <c r="R872" t="s">
        <v>30</v>
      </c>
      <c r="W872">
        <v>1</v>
      </c>
      <c r="X872" t="s">
        <v>30</v>
      </c>
      <c r="AC872" t="s">
        <v>2344</v>
      </c>
      <c r="AE872" s="135"/>
    </row>
    <row r="873" spans="1:31" ht="12.5" customHeight="1" x14ac:dyDescent="0.35">
      <c r="A873" t="s">
        <v>396</v>
      </c>
      <c r="C873" t="s">
        <v>2345</v>
      </c>
      <c r="D873" t="s">
        <v>385</v>
      </c>
      <c r="E873" s="133">
        <v>45841</v>
      </c>
      <c r="F873" s="2">
        <v>1.7037037037037038E-2</v>
      </c>
      <c r="G873">
        <v>0</v>
      </c>
      <c r="H873" s="133">
        <v>45840</v>
      </c>
      <c r="I873" s="2">
        <v>0.51703703703703707</v>
      </c>
      <c r="J873">
        <v>12</v>
      </c>
      <c r="R873" t="s">
        <v>30</v>
      </c>
      <c r="W873">
        <v>1</v>
      </c>
      <c r="X873" t="s">
        <v>30</v>
      </c>
      <c r="AC873" t="s">
        <v>2346</v>
      </c>
      <c r="AE873" s="135"/>
    </row>
    <row r="874" spans="1:31" ht="12.5" customHeight="1" x14ac:dyDescent="0.35">
      <c r="A874" t="s">
        <v>396</v>
      </c>
      <c r="C874" t="s">
        <v>2347</v>
      </c>
      <c r="D874" t="s">
        <v>385</v>
      </c>
      <c r="E874" s="133">
        <v>45841</v>
      </c>
      <c r="F874" s="2">
        <v>1.712962962962963E-2</v>
      </c>
      <c r="G874">
        <v>0</v>
      </c>
      <c r="H874" s="133">
        <v>45840</v>
      </c>
      <c r="I874" s="2">
        <v>0.51712962962962961</v>
      </c>
      <c r="J874">
        <v>12</v>
      </c>
      <c r="R874" t="s">
        <v>30</v>
      </c>
      <c r="W874">
        <v>1</v>
      </c>
      <c r="X874" t="s">
        <v>30</v>
      </c>
      <c r="AC874" t="s">
        <v>2348</v>
      </c>
      <c r="AE874" s="135"/>
    </row>
    <row r="875" spans="1:31" ht="12.5" customHeight="1" x14ac:dyDescent="0.35">
      <c r="A875" t="s">
        <v>396</v>
      </c>
      <c r="C875" t="s">
        <v>2349</v>
      </c>
      <c r="D875" t="s">
        <v>385</v>
      </c>
      <c r="E875" s="133">
        <v>45841</v>
      </c>
      <c r="F875" s="2">
        <v>1.7199074074074071E-2</v>
      </c>
      <c r="G875">
        <v>0</v>
      </c>
      <c r="H875" s="133">
        <v>45840</v>
      </c>
      <c r="I875" s="2">
        <v>0.51719907407407406</v>
      </c>
      <c r="J875">
        <v>12</v>
      </c>
      <c r="R875" t="s">
        <v>30</v>
      </c>
      <c r="W875">
        <v>1</v>
      </c>
      <c r="X875" t="s">
        <v>30</v>
      </c>
      <c r="AC875" t="s">
        <v>2350</v>
      </c>
      <c r="AE875" s="135"/>
    </row>
    <row r="876" spans="1:31" ht="12.5" customHeight="1" x14ac:dyDescent="0.35">
      <c r="A876" t="s">
        <v>396</v>
      </c>
      <c r="C876" t="s">
        <v>2351</v>
      </c>
      <c r="D876" t="s">
        <v>385</v>
      </c>
      <c r="E876" s="133">
        <v>45841</v>
      </c>
      <c r="F876" s="2">
        <v>1.726851851851852E-2</v>
      </c>
      <c r="G876">
        <v>0</v>
      </c>
      <c r="H876" s="133">
        <v>45840</v>
      </c>
      <c r="I876" s="2">
        <v>0.51726851851851852</v>
      </c>
      <c r="J876">
        <v>12</v>
      </c>
      <c r="R876" t="s">
        <v>30</v>
      </c>
      <c r="W876">
        <v>1</v>
      </c>
      <c r="X876" t="s">
        <v>30</v>
      </c>
      <c r="AC876" t="s">
        <v>2352</v>
      </c>
      <c r="AE876" s="135"/>
    </row>
    <row r="877" spans="1:31" ht="12.5" customHeight="1" x14ac:dyDescent="0.35">
      <c r="A877" t="s">
        <v>396</v>
      </c>
      <c r="C877" t="s">
        <v>2353</v>
      </c>
      <c r="D877" t="s">
        <v>385</v>
      </c>
      <c r="E877" s="133">
        <v>45841</v>
      </c>
      <c r="F877" s="2">
        <v>1.7337962962962961E-2</v>
      </c>
      <c r="G877">
        <v>0</v>
      </c>
      <c r="H877" s="133">
        <v>45840</v>
      </c>
      <c r="I877" s="2">
        <v>0.51733796296296297</v>
      </c>
      <c r="J877">
        <v>12</v>
      </c>
      <c r="R877" t="s">
        <v>30</v>
      </c>
      <c r="W877">
        <v>1</v>
      </c>
      <c r="X877" t="s">
        <v>30</v>
      </c>
      <c r="AC877" t="s">
        <v>2354</v>
      </c>
      <c r="AE877" s="135"/>
    </row>
    <row r="878" spans="1:31" ht="12.5" customHeight="1" x14ac:dyDescent="0.35">
      <c r="A878" t="s">
        <v>396</v>
      </c>
      <c r="C878" t="s">
        <v>2355</v>
      </c>
      <c r="D878" t="s">
        <v>385</v>
      </c>
      <c r="E878" s="133">
        <v>45841</v>
      </c>
      <c r="F878" s="2">
        <v>1.7430555555555557E-2</v>
      </c>
      <c r="G878">
        <v>0</v>
      </c>
      <c r="H878" s="133">
        <v>45840</v>
      </c>
      <c r="I878" s="2">
        <v>0.5174305555555555</v>
      </c>
      <c r="J878">
        <v>12</v>
      </c>
      <c r="R878" t="s">
        <v>30</v>
      </c>
      <c r="W878">
        <v>1</v>
      </c>
      <c r="X878" t="s">
        <v>30</v>
      </c>
      <c r="AC878" t="s">
        <v>2356</v>
      </c>
      <c r="AE878" s="135"/>
    </row>
    <row r="879" spans="1:31" ht="12.5" customHeight="1" x14ac:dyDescent="0.35">
      <c r="A879" t="s">
        <v>396</v>
      </c>
      <c r="C879" t="s">
        <v>2357</v>
      </c>
      <c r="D879" t="s">
        <v>385</v>
      </c>
      <c r="E879" s="133">
        <v>45841</v>
      </c>
      <c r="F879" s="2">
        <v>1.7499999999999998E-2</v>
      </c>
      <c r="G879">
        <v>0</v>
      </c>
      <c r="H879" s="133">
        <v>45840</v>
      </c>
      <c r="I879" s="2">
        <v>0.51749999999999996</v>
      </c>
      <c r="J879">
        <v>12</v>
      </c>
      <c r="R879" t="s">
        <v>30</v>
      </c>
      <c r="W879">
        <v>1</v>
      </c>
      <c r="X879" t="s">
        <v>30</v>
      </c>
      <c r="AC879" t="s">
        <v>2358</v>
      </c>
      <c r="AE879" s="135"/>
    </row>
    <row r="880" spans="1:31" ht="12.5" customHeight="1" x14ac:dyDescent="0.35">
      <c r="A880" t="s">
        <v>396</v>
      </c>
      <c r="C880" t="s">
        <v>2359</v>
      </c>
      <c r="D880" t="s">
        <v>385</v>
      </c>
      <c r="E880" s="133">
        <v>45841</v>
      </c>
      <c r="F880" s="2">
        <v>1.7569444444444447E-2</v>
      </c>
      <c r="G880">
        <v>0</v>
      </c>
      <c r="H880" s="133">
        <v>45840</v>
      </c>
      <c r="I880" s="2">
        <v>0.51756944444444442</v>
      </c>
      <c r="J880">
        <v>12</v>
      </c>
      <c r="R880" t="s">
        <v>30</v>
      </c>
      <c r="W880">
        <v>1</v>
      </c>
      <c r="X880" t="s">
        <v>30</v>
      </c>
      <c r="AC880" t="s">
        <v>2360</v>
      </c>
      <c r="AE880" s="135"/>
    </row>
    <row r="881" spans="1:31" ht="12.5" customHeight="1" x14ac:dyDescent="0.35">
      <c r="A881" t="s">
        <v>396</v>
      </c>
      <c r="C881" t="s">
        <v>2361</v>
      </c>
      <c r="D881" t="s">
        <v>385</v>
      </c>
      <c r="E881" s="133">
        <v>45841</v>
      </c>
      <c r="F881" s="2">
        <v>1.7638888888888888E-2</v>
      </c>
      <c r="G881">
        <v>0</v>
      </c>
      <c r="H881" s="133">
        <v>45840</v>
      </c>
      <c r="I881" s="2">
        <v>0.51763888888888887</v>
      </c>
      <c r="J881">
        <v>12</v>
      </c>
      <c r="R881" t="s">
        <v>30</v>
      </c>
      <c r="W881">
        <v>1</v>
      </c>
      <c r="X881" t="s">
        <v>30</v>
      </c>
      <c r="AC881" t="s">
        <v>2362</v>
      </c>
      <c r="AE881" s="135"/>
    </row>
    <row r="882" spans="1:31" ht="12.5" customHeight="1" x14ac:dyDescent="0.35">
      <c r="A882" t="s">
        <v>396</v>
      </c>
      <c r="C882" t="s">
        <v>2363</v>
      </c>
      <c r="D882" t="s">
        <v>385</v>
      </c>
      <c r="E882" s="133">
        <v>45841</v>
      </c>
      <c r="F882" s="2">
        <v>1.7731481481481483E-2</v>
      </c>
      <c r="G882">
        <v>0</v>
      </c>
      <c r="H882" s="133">
        <v>45840</v>
      </c>
      <c r="I882" s="2">
        <v>0.51773148148148151</v>
      </c>
      <c r="J882">
        <v>12</v>
      </c>
      <c r="R882" t="s">
        <v>30</v>
      </c>
      <c r="W882">
        <v>1</v>
      </c>
      <c r="X882" t="s">
        <v>30</v>
      </c>
      <c r="AC882" t="s">
        <v>2364</v>
      </c>
      <c r="AE882" s="135"/>
    </row>
    <row r="883" spans="1:31" ht="12.5" customHeight="1" x14ac:dyDescent="0.35">
      <c r="A883" t="s">
        <v>396</v>
      </c>
      <c r="C883" t="s">
        <v>2365</v>
      </c>
      <c r="D883" t="s">
        <v>385</v>
      </c>
      <c r="E883" s="133">
        <v>45841</v>
      </c>
      <c r="F883" s="2">
        <v>1.7800925925925925E-2</v>
      </c>
      <c r="G883">
        <v>0</v>
      </c>
      <c r="H883" s="133">
        <v>45840</v>
      </c>
      <c r="I883" s="2">
        <v>0.51780092592592586</v>
      </c>
      <c r="J883">
        <v>12</v>
      </c>
      <c r="R883" t="s">
        <v>30</v>
      </c>
      <c r="W883">
        <v>1</v>
      </c>
      <c r="X883" t="s">
        <v>30</v>
      </c>
      <c r="AC883" t="s">
        <v>2366</v>
      </c>
      <c r="AE883" s="135"/>
    </row>
    <row r="884" spans="1:31" ht="12.5" customHeight="1" x14ac:dyDescent="0.35">
      <c r="A884" t="s">
        <v>396</v>
      </c>
      <c r="C884" t="s">
        <v>2367</v>
      </c>
      <c r="D884" t="s">
        <v>385</v>
      </c>
      <c r="E884" s="133">
        <v>45841</v>
      </c>
      <c r="F884" s="2">
        <v>1.7870370370370373E-2</v>
      </c>
      <c r="G884">
        <v>0</v>
      </c>
      <c r="H884" s="133">
        <v>45840</v>
      </c>
      <c r="I884" s="2">
        <v>0.51787037037037031</v>
      </c>
      <c r="J884">
        <v>12</v>
      </c>
      <c r="R884" t="s">
        <v>30</v>
      </c>
      <c r="W884">
        <v>1</v>
      </c>
      <c r="X884" t="s">
        <v>30</v>
      </c>
      <c r="AC884" t="s">
        <v>2368</v>
      </c>
      <c r="AE884" s="135"/>
    </row>
    <row r="885" spans="1:31" ht="12.5" customHeight="1" x14ac:dyDescent="0.35">
      <c r="A885" t="s">
        <v>396</v>
      </c>
      <c r="C885" t="s">
        <v>2369</v>
      </c>
      <c r="D885" t="s">
        <v>385</v>
      </c>
      <c r="E885" s="133">
        <v>45841</v>
      </c>
      <c r="F885" s="2">
        <v>1.7962962962962962E-2</v>
      </c>
      <c r="G885">
        <v>0</v>
      </c>
      <c r="H885" s="133">
        <v>45840</v>
      </c>
      <c r="I885" s="2">
        <v>0.51796296296296296</v>
      </c>
      <c r="J885">
        <v>12</v>
      </c>
      <c r="R885" t="s">
        <v>30</v>
      </c>
      <c r="W885">
        <v>1</v>
      </c>
      <c r="X885" t="s">
        <v>30</v>
      </c>
      <c r="AC885" t="s">
        <v>2370</v>
      </c>
      <c r="AE885" s="135"/>
    </row>
    <row r="886" spans="1:31" ht="12.5" customHeight="1" x14ac:dyDescent="0.35">
      <c r="A886" t="s">
        <v>396</v>
      </c>
      <c r="C886" t="s">
        <v>2371</v>
      </c>
      <c r="D886" t="s">
        <v>385</v>
      </c>
      <c r="E886" s="133">
        <v>45841</v>
      </c>
      <c r="F886" s="2">
        <v>1.8032407407407407E-2</v>
      </c>
      <c r="G886">
        <v>0</v>
      </c>
      <c r="H886" s="133">
        <v>45840</v>
      </c>
      <c r="I886" s="2">
        <v>0.51803240740740741</v>
      </c>
      <c r="J886">
        <v>12</v>
      </c>
      <c r="R886" t="s">
        <v>30</v>
      </c>
      <c r="W886">
        <v>1</v>
      </c>
      <c r="X886" t="s">
        <v>30</v>
      </c>
      <c r="AC886" t="s">
        <v>2372</v>
      </c>
      <c r="AE886" s="135"/>
    </row>
    <row r="887" spans="1:31" ht="12.5" customHeight="1" x14ac:dyDescent="0.35">
      <c r="A887" t="s">
        <v>396</v>
      </c>
      <c r="C887" t="s">
        <v>2373</v>
      </c>
      <c r="D887" t="s">
        <v>385</v>
      </c>
      <c r="E887" s="133">
        <v>45841</v>
      </c>
      <c r="F887" s="2">
        <v>1.8101851851851852E-2</v>
      </c>
      <c r="G887">
        <v>0</v>
      </c>
      <c r="H887" s="133">
        <v>45840</v>
      </c>
      <c r="I887" s="2">
        <v>0.51810185185185187</v>
      </c>
      <c r="J887">
        <v>12</v>
      </c>
      <c r="R887" t="s">
        <v>30</v>
      </c>
      <c r="W887">
        <v>1</v>
      </c>
      <c r="X887" t="s">
        <v>30</v>
      </c>
      <c r="AC887" t="s">
        <v>2374</v>
      </c>
      <c r="AE887" s="135"/>
    </row>
    <row r="888" spans="1:31" ht="12.5" customHeight="1" x14ac:dyDescent="0.35">
      <c r="A888" t="s">
        <v>396</v>
      </c>
      <c r="C888" t="s">
        <v>2375</v>
      </c>
      <c r="D888" t="s">
        <v>385</v>
      </c>
      <c r="E888" s="133">
        <v>45841</v>
      </c>
      <c r="F888" s="2">
        <v>1.8194444444444444E-2</v>
      </c>
      <c r="G888">
        <v>0</v>
      </c>
      <c r="H888" s="133">
        <v>45840</v>
      </c>
      <c r="I888" s="2">
        <v>0.51819444444444451</v>
      </c>
      <c r="J888">
        <v>12</v>
      </c>
      <c r="R888" t="s">
        <v>30</v>
      </c>
      <c r="W888">
        <v>1</v>
      </c>
      <c r="X888" t="s">
        <v>30</v>
      </c>
      <c r="AC888" t="s">
        <v>2376</v>
      </c>
      <c r="AE888" s="135"/>
    </row>
    <row r="889" spans="1:31" ht="12.5" customHeight="1" x14ac:dyDescent="0.35">
      <c r="A889" t="s">
        <v>396</v>
      </c>
      <c r="C889" t="s">
        <v>2377</v>
      </c>
      <c r="D889" t="s">
        <v>385</v>
      </c>
      <c r="E889" s="133">
        <v>45841</v>
      </c>
      <c r="F889" s="2">
        <v>1.8263888888888889E-2</v>
      </c>
      <c r="G889">
        <v>0</v>
      </c>
      <c r="H889" s="133">
        <v>45840</v>
      </c>
      <c r="I889" s="2">
        <v>0.51826388888888886</v>
      </c>
      <c r="J889">
        <v>12</v>
      </c>
      <c r="R889" t="s">
        <v>30</v>
      </c>
      <c r="W889">
        <v>1</v>
      </c>
      <c r="X889" t="s">
        <v>30</v>
      </c>
      <c r="AC889" t="s">
        <v>2378</v>
      </c>
      <c r="AE889" s="135"/>
    </row>
    <row r="890" spans="1:31" ht="12.5" customHeight="1" x14ac:dyDescent="0.35">
      <c r="A890" t="s">
        <v>396</v>
      </c>
      <c r="C890" t="s">
        <v>2379</v>
      </c>
      <c r="D890" t="s">
        <v>385</v>
      </c>
      <c r="E890" s="133">
        <v>45841</v>
      </c>
      <c r="F890" s="2">
        <v>1.8333333333333333E-2</v>
      </c>
      <c r="G890">
        <v>0</v>
      </c>
      <c r="H890" s="133">
        <v>45840</v>
      </c>
      <c r="I890" s="2">
        <v>0.51833333333333331</v>
      </c>
      <c r="J890">
        <v>12</v>
      </c>
      <c r="R890" t="s">
        <v>30</v>
      </c>
      <c r="W890">
        <v>1</v>
      </c>
      <c r="X890" t="s">
        <v>30</v>
      </c>
      <c r="AC890" t="s">
        <v>2380</v>
      </c>
      <c r="AE890" s="135"/>
    </row>
    <row r="891" spans="1:31" ht="12.5" customHeight="1" x14ac:dyDescent="0.35">
      <c r="A891" t="s">
        <v>396</v>
      </c>
      <c r="C891" t="s">
        <v>2381</v>
      </c>
      <c r="D891" t="s">
        <v>385</v>
      </c>
      <c r="E891" s="133">
        <v>45841</v>
      </c>
      <c r="F891" s="2">
        <v>1.8402777777777778E-2</v>
      </c>
      <c r="G891">
        <v>0</v>
      </c>
      <c r="H891" s="133">
        <v>45840</v>
      </c>
      <c r="I891" s="2">
        <v>0.51840277777777777</v>
      </c>
      <c r="J891">
        <v>12</v>
      </c>
      <c r="R891" t="s">
        <v>30</v>
      </c>
      <c r="W891">
        <v>1</v>
      </c>
      <c r="X891" t="s">
        <v>30</v>
      </c>
      <c r="AC891" t="s">
        <v>2382</v>
      </c>
      <c r="AE891" s="135"/>
    </row>
    <row r="892" spans="1:31" ht="12.5" customHeight="1" x14ac:dyDescent="0.35">
      <c r="A892" t="s">
        <v>396</v>
      </c>
      <c r="C892" t="s">
        <v>2383</v>
      </c>
      <c r="D892" t="s">
        <v>385</v>
      </c>
      <c r="E892" s="133">
        <v>45841</v>
      </c>
      <c r="F892" s="2">
        <v>1.849537037037037E-2</v>
      </c>
      <c r="G892">
        <v>0</v>
      </c>
      <c r="H892" s="133">
        <v>45840</v>
      </c>
      <c r="I892" s="2">
        <v>0.51849537037037041</v>
      </c>
      <c r="J892">
        <v>12</v>
      </c>
      <c r="R892" t="s">
        <v>30</v>
      </c>
      <c r="W892">
        <v>1</v>
      </c>
      <c r="X892" t="s">
        <v>30</v>
      </c>
      <c r="AC892" t="s">
        <v>2384</v>
      </c>
      <c r="AE892" s="135"/>
    </row>
    <row r="893" spans="1:31" ht="12.5" customHeight="1" x14ac:dyDescent="0.35">
      <c r="A893" t="s">
        <v>396</v>
      </c>
      <c r="C893" t="s">
        <v>2385</v>
      </c>
      <c r="D893" t="s">
        <v>385</v>
      </c>
      <c r="E893" s="133">
        <v>45841</v>
      </c>
      <c r="F893" s="2">
        <v>1.8564814814814815E-2</v>
      </c>
      <c r="G893">
        <v>0</v>
      </c>
      <c r="H893" s="133">
        <v>45840</v>
      </c>
      <c r="I893" s="2">
        <v>0.51856481481481487</v>
      </c>
      <c r="J893">
        <v>12</v>
      </c>
      <c r="R893" t="s">
        <v>30</v>
      </c>
      <c r="W893">
        <v>1</v>
      </c>
      <c r="X893" t="s">
        <v>30</v>
      </c>
      <c r="AC893" t="s">
        <v>2386</v>
      </c>
      <c r="AE893" s="135"/>
    </row>
    <row r="894" spans="1:31" ht="12.5" customHeight="1" x14ac:dyDescent="0.35">
      <c r="A894" t="s">
        <v>396</v>
      </c>
      <c r="C894" t="s">
        <v>2387</v>
      </c>
      <c r="D894" t="s">
        <v>385</v>
      </c>
      <c r="E894" s="133">
        <v>45841</v>
      </c>
      <c r="F894" s="2">
        <v>1.8634259259259257E-2</v>
      </c>
      <c r="G894">
        <v>0</v>
      </c>
      <c r="H894" s="133">
        <v>45840</v>
      </c>
      <c r="I894" s="2">
        <v>0.51863425925925932</v>
      </c>
      <c r="J894">
        <v>12</v>
      </c>
      <c r="R894" t="s">
        <v>30</v>
      </c>
      <c r="W894">
        <v>1</v>
      </c>
      <c r="X894" t="s">
        <v>30</v>
      </c>
      <c r="AC894" t="s">
        <v>2388</v>
      </c>
      <c r="AE894" s="135"/>
    </row>
    <row r="895" spans="1:31" ht="12.5" customHeight="1" x14ac:dyDescent="0.35">
      <c r="A895" t="s">
        <v>396</v>
      </c>
      <c r="C895" t="s">
        <v>2389</v>
      </c>
      <c r="D895" t="s">
        <v>385</v>
      </c>
      <c r="E895" s="133">
        <v>45841</v>
      </c>
      <c r="F895" s="2">
        <v>1.8726851851851852E-2</v>
      </c>
      <c r="G895">
        <v>0</v>
      </c>
      <c r="H895" s="133">
        <v>45840</v>
      </c>
      <c r="I895" s="2">
        <v>0.51872685185185186</v>
      </c>
      <c r="J895">
        <v>12</v>
      </c>
      <c r="R895" t="s">
        <v>30</v>
      </c>
      <c r="W895">
        <v>1</v>
      </c>
      <c r="X895" t="s">
        <v>30</v>
      </c>
      <c r="AC895" t="s">
        <v>2390</v>
      </c>
      <c r="AE895" s="135"/>
    </row>
    <row r="896" spans="1:31" ht="12.5" customHeight="1" x14ac:dyDescent="0.35">
      <c r="A896" t="s">
        <v>396</v>
      </c>
      <c r="C896" t="s">
        <v>2391</v>
      </c>
      <c r="D896" t="s">
        <v>385</v>
      </c>
      <c r="E896" s="133">
        <v>45841</v>
      </c>
      <c r="F896" s="2">
        <v>1.8796296296296297E-2</v>
      </c>
      <c r="G896">
        <v>0</v>
      </c>
      <c r="H896" s="133">
        <v>45840</v>
      </c>
      <c r="I896" s="2">
        <v>0.51879629629629631</v>
      </c>
      <c r="J896">
        <v>12</v>
      </c>
      <c r="R896" t="s">
        <v>30</v>
      </c>
      <c r="W896">
        <v>1</v>
      </c>
      <c r="X896" t="s">
        <v>30</v>
      </c>
      <c r="AC896" t="s">
        <v>2392</v>
      </c>
      <c r="AE896" s="135"/>
    </row>
    <row r="897" spans="1:31" ht="12.5" customHeight="1" x14ac:dyDescent="0.35">
      <c r="A897" t="s">
        <v>396</v>
      </c>
      <c r="C897" t="s">
        <v>2393</v>
      </c>
      <c r="D897" t="s">
        <v>385</v>
      </c>
      <c r="E897" s="133">
        <v>45841</v>
      </c>
      <c r="F897" s="2">
        <v>1.8865740740740742E-2</v>
      </c>
      <c r="G897">
        <v>0</v>
      </c>
      <c r="H897" s="133">
        <v>45840</v>
      </c>
      <c r="I897" s="2">
        <v>0.51886574074074077</v>
      </c>
      <c r="J897">
        <v>12</v>
      </c>
      <c r="R897" t="s">
        <v>30</v>
      </c>
      <c r="W897">
        <v>1</v>
      </c>
      <c r="X897" t="s">
        <v>30</v>
      </c>
      <c r="AC897" t="s">
        <v>2394</v>
      </c>
      <c r="AE897" s="135"/>
    </row>
    <row r="898" spans="1:31" ht="12.5" customHeight="1" x14ac:dyDescent="0.35">
      <c r="A898" t="s">
        <v>396</v>
      </c>
      <c r="C898" t="s">
        <v>2395</v>
      </c>
      <c r="D898" t="s">
        <v>385</v>
      </c>
      <c r="E898" s="133">
        <v>45841</v>
      </c>
      <c r="F898" s="2">
        <v>1.8958333333333334E-2</v>
      </c>
      <c r="G898">
        <v>0</v>
      </c>
      <c r="H898" s="133">
        <v>45840</v>
      </c>
      <c r="I898" s="2">
        <v>0.5189583333333333</v>
      </c>
      <c r="J898">
        <v>12</v>
      </c>
      <c r="R898" t="s">
        <v>30</v>
      </c>
      <c r="W898">
        <v>1</v>
      </c>
      <c r="X898" t="s">
        <v>30</v>
      </c>
      <c r="AC898" t="s">
        <v>2396</v>
      </c>
      <c r="AE898" s="135"/>
    </row>
    <row r="899" spans="1:31" ht="12.5" customHeight="1" x14ac:dyDescent="0.35">
      <c r="A899" t="s">
        <v>396</v>
      </c>
      <c r="C899" t="s">
        <v>2397</v>
      </c>
      <c r="D899" t="s">
        <v>385</v>
      </c>
      <c r="E899" s="133">
        <v>45841</v>
      </c>
      <c r="F899" s="2">
        <v>1.9027777777777779E-2</v>
      </c>
      <c r="G899">
        <v>0</v>
      </c>
      <c r="H899" s="133">
        <v>45840</v>
      </c>
      <c r="I899" s="2">
        <v>0.51902777777777775</v>
      </c>
      <c r="J899">
        <v>12</v>
      </c>
      <c r="R899" t="s">
        <v>30</v>
      </c>
      <c r="W899">
        <v>1</v>
      </c>
      <c r="X899" t="s">
        <v>30</v>
      </c>
      <c r="AC899" t="s">
        <v>2398</v>
      </c>
      <c r="AE899" s="135"/>
    </row>
    <row r="900" spans="1:31" ht="12.5" customHeight="1" x14ac:dyDescent="0.35">
      <c r="A900" t="s">
        <v>396</v>
      </c>
      <c r="C900" t="s">
        <v>2399</v>
      </c>
      <c r="D900" t="s">
        <v>385</v>
      </c>
      <c r="E900" s="133">
        <v>45841</v>
      </c>
      <c r="F900" s="2">
        <v>1.909722222222222E-2</v>
      </c>
      <c r="G900">
        <v>0</v>
      </c>
      <c r="H900" s="133">
        <v>45840</v>
      </c>
      <c r="I900" s="2">
        <v>0.51909722222222221</v>
      </c>
      <c r="J900">
        <v>12</v>
      </c>
      <c r="R900" t="s">
        <v>30</v>
      </c>
      <c r="W900">
        <v>1</v>
      </c>
      <c r="X900" t="s">
        <v>30</v>
      </c>
      <c r="AC900" t="s">
        <v>2400</v>
      </c>
      <c r="AE900" s="135"/>
    </row>
    <row r="901" spans="1:31" ht="12.5" customHeight="1" x14ac:dyDescent="0.35">
      <c r="A901" t="s">
        <v>396</v>
      </c>
      <c r="C901" t="s">
        <v>2401</v>
      </c>
      <c r="D901" t="s">
        <v>385</v>
      </c>
      <c r="E901" s="133">
        <v>45841</v>
      </c>
      <c r="F901" s="2">
        <v>1.9189814814814816E-2</v>
      </c>
      <c r="G901">
        <v>0</v>
      </c>
      <c r="H901" s="133">
        <v>45840</v>
      </c>
      <c r="I901" s="2">
        <v>0.51918981481481474</v>
      </c>
      <c r="J901">
        <v>12</v>
      </c>
      <c r="R901" t="s">
        <v>30</v>
      </c>
      <c r="W901">
        <v>1</v>
      </c>
      <c r="X901" t="s">
        <v>30</v>
      </c>
      <c r="AC901" t="s">
        <v>2402</v>
      </c>
      <c r="AE901" s="135"/>
    </row>
    <row r="902" spans="1:31" ht="12.5" customHeight="1" x14ac:dyDescent="0.35">
      <c r="A902" t="s">
        <v>396</v>
      </c>
      <c r="C902" t="s">
        <v>2403</v>
      </c>
      <c r="D902" t="s">
        <v>385</v>
      </c>
      <c r="E902" s="133">
        <v>45841</v>
      </c>
      <c r="F902" s="2">
        <v>1.9259259259259261E-2</v>
      </c>
      <c r="G902">
        <v>0</v>
      </c>
      <c r="H902" s="133">
        <v>45840</v>
      </c>
      <c r="I902" s="2">
        <v>0.5192592592592592</v>
      </c>
      <c r="J902">
        <v>12</v>
      </c>
      <c r="R902" t="s">
        <v>30</v>
      </c>
      <c r="W902">
        <v>1</v>
      </c>
      <c r="X902" t="s">
        <v>30</v>
      </c>
      <c r="AC902" t="s">
        <v>2404</v>
      </c>
      <c r="AE902" s="135"/>
    </row>
    <row r="903" spans="1:31" ht="12.5" customHeight="1" x14ac:dyDescent="0.35">
      <c r="A903" t="s">
        <v>396</v>
      </c>
      <c r="C903" t="s">
        <v>2405</v>
      </c>
      <c r="D903" t="s">
        <v>385</v>
      </c>
      <c r="E903" s="133">
        <v>45841</v>
      </c>
      <c r="F903" s="2">
        <v>1.9328703703703702E-2</v>
      </c>
      <c r="G903">
        <v>0</v>
      </c>
      <c r="H903" s="133">
        <v>45840</v>
      </c>
      <c r="I903" s="2">
        <v>0.51932870370370365</v>
      </c>
      <c r="J903">
        <v>12</v>
      </c>
      <c r="R903" t="s">
        <v>30</v>
      </c>
      <c r="W903">
        <v>1</v>
      </c>
      <c r="X903" t="s">
        <v>30</v>
      </c>
      <c r="AC903" t="s">
        <v>2406</v>
      </c>
      <c r="AE903" s="135"/>
    </row>
    <row r="904" spans="1:31" ht="12.5" customHeight="1" x14ac:dyDescent="0.35">
      <c r="A904" t="s">
        <v>396</v>
      </c>
      <c r="C904" t="s">
        <v>2407</v>
      </c>
      <c r="D904" t="s">
        <v>385</v>
      </c>
      <c r="E904" s="133">
        <v>45841</v>
      </c>
      <c r="F904" s="2">
        <v>1.9421296296296294E-2</v>
      </c>
      <c r="G904">
        <v>0</v>
      </c>
      <c r="H904" s="133">
        <v>45840</v>
      </c>
      <c r="I904" s="2">
        <v>0.5194212962962963</v>
      </c>
      <c r="J904">
        <v>12</v>
      </c>
      <c r="R904" t="s">
        <v>30</v>
      </c>
      <c r="W904">
        <v>1</v>
      </c>
      <c r="X904" t="s">
        <v>30</v>
      </c>
      <c r="AC904" t="s">
        <v>2408</v>
      </c>
      <c r="AE904" s="135"/>
    </row>
    <row r="905" spans="1:31" ht="12.5" customHeight="1" x14ac:dyDescent="0.35">
      <c r="A905" t="s">
        <v>396</v>
      </c>
      <c r="C905" t="s">
        <v>2409</v>
      </c>
      <c r="D905" t="s">
        <v>385</v>
      </c>
      <c r="E905" s="133">
        <v>45841</v>
      </c>
      <c r="F905" s="2">
        <v>1.9490740740740743E-2</v>
      </c>
      <c r="G905">
        <v>0</v>
      </c>
      <c r="H905" s="133">
        <v>45840</v>
      </c>
      <c r="I905" s="2">
        <v>0.51949074074074075</v>
      </c>
      <c r="J905">
        <v>12</v>
      </c>
      <c r="R905" t="s">
        <v>30</v>
      </c>
      <c r="W905">
        <v>1</v>
      </c>
      <c r="X905" t="s">
        <v>30</v>
      </c>
      <c r="AC905" t="s">
        <v>2410</v>
      </c>
      <c r="AE905" s="135"/>
    </row>
    <row r="906" spans="1:31" ht="12.5" customHeight="1" x14ac:dyDescent="0.35">
      <c r="A906" t="s">
        <v>396</v>
      </c>
      <c r="C906" t="s">
        <v>2411</v>
      </c>
      <c r="D906" t="s">
        <v>385</v>
      </c>
      <c r="E906" s="133">
        <v>45841</v>
      </c>
      <c r="F906" s="2">
        <v>1.9560185185185184E-2</v>
      </c>
      <c r="G906">
        <v>0</v>
      </c>
      <c r="H906" s="133">
        <v>45840</v>
      </c>
      <c r="I906" s="2">
        <v>0.51956018518518521</v>
      </c>
      <c r="J906">
        <v>12</v>
      </c>
      <c r="R906" t="s">
        <v>30</v>
      </c>
      <c r="W906">
        <v>1</v>
      </c>
      <c r="X906" t="s">
        <v>30</v>
      </c>
      <c r="AC906" t="s">
        <v>2412</v>
      </c>
      <c r="AE906" s="135"/>
    </row>
    <row r="907" spans="1:31" ht="12.5" customHeight="1" x14ac:dyDescent="0.35">
      <c r="A907" t="s">
        <v>396</v>
      </c>
      <c r="C907" t="s">
        <v>2413</v>
      </c>
      <c r="D907" t="s">
        <v>385</v>
      </c>
      <c r="E907" s="133">
        <v>45841</v>
      </c>
      <c r="F907" s="2">
        <v>1.9629629629629629E-2</v>
      </c>
      <c r="G907">
        <v>0</v>
      </c>
      <c r="H907" s="133">
        <v>45840</v>
      </c>
      <c r="I907" s="2">
        <v>0.51962962962962966</v>
      </c>
      <c r="J907">
        <v>12</v>
      </c>
      <c r="R907" t="s">
        <v>30</v>
      </c>
      <c r="W907">
        <v>1</v>
      </c>
      <c r="X907" t="s">
        <v>30</v>
      </c>
      <c r="AC907" t="s">
        <v>2414</v>
      </c>
      <c r="AE907" s="135"/>
    </row>
    <row r="908" spans="1:31" ht="12.5" customHeight="1" x14ac:dyDescent="0.35">
      <c r="A908" t="s">
        <v>396</v>
      </c>
      <c r="C908" t="s">
        <v>2415</v>
      </c>
      <c r="D908" t="s">
        <v>385</v>
      </c>
      <c r="E908" s="133">
        <v>45841</v>
      </c>
      <c r="F908" s="2">
        <v>1.9722222222222221E-2</v>
      </c>
      <c r="G908">
        <v>0</v>
      </c>
      <c r="H908" s="133">
        <v>45840</v>
      </c>
      <c r="I908" s="2">
        <v>0.5197222222222222</v>
      </c>
      <c r="J908">
        <v>12</v>
      </c>
      <c r="R908" t="s">
        <v>30</v>
      </c>
      <c r="W908">
        <v>1</v>
      </c>
      <c r="X908" t="s">
        <v>30</v>
      </c>
      <c r="AC908" t="s">
        <v>2416</v>
      </c>
      <c r="AE908" s="135"/>
    </row>
    <row r="909" spans="1:31" ht="12.5" customHeight="1" x14ac:dyDescent="0.35">
      <c r="A909" t="s">
        <v>396</v>
      </c>
      <c r="C909" t="s">
        <v>2417</v>
      </c>
      <c r="D909" t="s">
        <v>385</v>
      </c>
      <c r="E909" s="133">
        <v>45841</v>
      </c>
      <c r="F909" s="2">
        <v>1.9791666666666666E-2</v>
      </c>
      <c r="G909">
        <v>0</v>
      </c>
      <c r="H909" s="133">
        <v>45840</v>
      </c>
      <c r="I909" s="2">
        <v>0.51979166666666665</v>
      </c>
      <c r="J909">
        <v>12</v>
      </c>
      <c r="R909" t="s">
        <v>30</v>
      </c>
      <c r="W909">
        <v>1</v>
      </c>
      <c r="X909" t="s">
        <v>30</v>
      </c>
      <c r="AC909" t="s">
        <v>2418</v>
      </c>
      <c r="AE909" s="135"/>
    </row>
    <row r="910" spans="1:31" ht="12.5" customHeight="1" x14ac:dyDescent="0.35">
      <c r="A910" t="s">
        <v>396</v>
      </c>
      <c r="C910" t="s">
        <v>2419</v>
      </c>
      <c r="D910" t="s">
        <v>385</v>
      </c>
      <c r="E910" s="133">
        <v>45841</v>
      </c>
      <c r="F910" s="2">
        <v>1.9884259259259258E-2</v>
      </c>
      <c r="G910">
        <v>0</v>
      </c>
      <c r="H910" s="133">
        <v>45840</v>
      </c>
      <c r="I910" s="2">
        <v>0.5198842592592593</v>
      </c>
      <c r="J910">
        <v>12</v>
      </c>
      <c r="R910" t="s">
        <v>30</v>
      </c>
      <c r="W910">
        <v>1</v>
      </c>
      <c r="X910" t="s">
        <v>30</v>
      </c>
      <c r="AC910" t="s">
        <v>2420</v>
      </c>
      <c r="AE910" s="135"/>
    </row>
    <row r="911" spans="1:31" ht="12.5" customHeight="1" x14ac:dyDescent="0.35">
      <c r="A911" t="s">
        <v>396</v>
      </c>
      <c r="C911" t="s">
        <v>2421</v>
      </c>
      <c r="D911" t="s">
        <v>385</v>
      </c>
      <c r="E911" s="133">
        <v>45841</v>
      </c>
      <c r="F911" s="2">
        <v>1.9953703703703706E-2</v>
      </c>
      <c r="G911">
        <v>0</v>
      </c>
      <c r="H911" s="133">
        <v>45840</v>
      </c>
      <c r="I911" s="2">
        <v>0.51995370370370375</v>
      </c>
      <c r="J911">
        <v>12</v>
      </c>
      <c r="R911" t="s">
        <v>30</v>
      </c>
      <c r="W911">
        <v>1</v>
      </c>
      <c r="X911" t="s">
        <v>30</v>
      </c>
      <c r="AC911" t="s">
        <v>2422</v>
      </c>
      <c r="AE911" s="135"/>
    </row>
    <row r="912" spans="1:31" ht="12.5" customHeight="1" x14ac:dyDescent="0.35">
      <c r="A912" t="s">
        <v>396</v>
      </c>
      <c r="C912" t="s">
        <v>2423</v>
      </c>
      <c r="D912" t="s">
        <v>385</v>
      </c>
      <c r="E912" s="133">
        <v>45841</v>
      </c>
      <c r="F912" s="2">
        <v>2.0023148148148148E-2</v>
      </c>
      <c r="G912">
        <v>0</v>
      </c>
      <c r="H912" s="133">
        <v>45840</v>
      </c>
      <c r="I912" s="2">
        <v>0.52002314814814821</v>
      </c>
      <c r="J912">
        <v>12</v>
      </c>
      <c r="R912" t="s">
        <v>30</v>
      </c>
      <c r="W912">
        <v>1</v>
      </c>
      <c r="X912" t="s">
        <v>30</v>
      </c>
      <c r="AC912" t="s">
        <v>2424</v>
      </c>
      <c r="AE912" s="135"/>
    </row>
    <row r="913" spans="1:31" ht="12.5" customHeight="1" x14ac:dyDescent="0.35">
      <c r="A913" t="s">
        <v>396</v>
      </c>
      <c r="C913" t="s">
        <v>2425</v>
      </c>
      <c r="D913" t="s">
        <v>385</v>
      </c>
      <c r="E913" s="133">
        <v>45841</v>
      </c>
      <c r="F913" s="2">
        <v>2.0092592592592592E-2</v>
      </c>
      <c r="G913">
        <v>0</v>
      </c>
      <c r="H913" s="133">
        <v>45840</v>
      </c>
      <c r="I913" s="2">
        <v>0.52009259259259266</v>
      </c>
      <c r="J913">
        <v>12</v>
      </c>
      <c r="R913" t="s">
        <v>30</v>
      </c>
      <c r="W913">
        <v>1</v>
      </c>
      <c r="X913" t="s">
        <v>30</v>
      </c>
      <c r="AC913" t="s">
        <v>2426</v>
      </c>
      <c r="AE913" s="135"/>
    </row>
    <row r="914" spans="1:31" ht="12.5" customHeight="1" x14ac:dyDescent="0.35">
      <c r="A914" t="s">
        <v>396</v>
      </c>
      <c r="C914" t="s">
        <v>2427</v>
      </c>
      <c r="D914" t="s">
        <v>385</v>
      </c>
      <c r="E914" s="133">
        <v>45841</v>
      </c>
      <c r="F914" s="2">
        <v>2.0185185185185184E-2</v>
      </c>
      <c r="G914">
        <v>0</v>
      </c>
      <c r="H914" s="133">
        <v>45840</v>
      </c>
      <c r="I914" s="2">
        <v>0.52018518518518519</v>
      </c>
      <c r="J914">
        <v>12</v>
      </c>
      <c r="R914" t="s">
        <v>30</v>
      </c>
      <c r="W914">
        <v>1</v>
      </c>
      <c r="X914" t="s">
        <v>30</v>
      </c>
      <c r="AC914" t="s">
        <v>2428</v>
      </c>
      <c r="AE914" s="135"/>
    </row>
    <row r="915" spans="1:31" ht="12.5" customHeight="1" x14ac:dyDescent="0.35">
      <c r="A915" t="s">
        <v>396</v>
      </c>
      <c r="C915" t="s">
        <v>2429</v>
      </c>
      <c r="D915" t="s">
        <v>385</v>
      </c>
      <c r="E915" s="133">
        <v>45841</v>
      </c>
      <c r="F915" s="2">
        <v>2.0254629629629629E-2</v>
      </c>
      <c r="G915">
        <v>0</v>
      </c>
      <c r="H915" s="133">
        <v>45840</v>
      </c>
      <c r="I915" s="2">
        <v>0.52025462962962965</v>
      </c>
      <c r="J915">
        <v>12</v>
      </c>
      <c r="R915" t="s">
        <v>30</v>
      </c>
      <c r="W915">
        <v>1</v>
      </c>
      <c r="X915" t="s">
        <v>30</v>
      </c>
      <c r="AC915" t="s">
        <v>2430</v>
      </c>
      <c r="AE915" s="135"/>
    </row>
    <row r="916" spans="1:31" ht="12.5" customHeight="1" x14ac:dyDescent="0.35">
      <c r="A916" t="s">
        <v>396</v>
      </c>
      <c r="C916" t="s">
        <v>2431</v>
      </c>
      <c r="D916" t="s">
        <v>385</v>
      </c>
      <c r="E916" s="133">
        <v>45841</v>
      </c>
      <c r="F916" s="2">
        <v>2.0324074074074074E-2</v>
      </c>
      <c r="G916">
        <v>0</v>
      </c>
      <c r="H916" s="133">
        <v>45840</v>
      </c>
      <c r="I916" s="2">
        <v>0.52032407407407411</v>
      </c>
      <c r="J916">
        <v>12</v>
      </c>
      <c r="R916" t="s">
        <v>30</v>
      </c>
      <c r="W916">
        <v>1</v>
      </c>
      <c r="X916" t="s">
        <v>30</v>
      </c>
      <c r="AC916" t="s">
        <v>2432</v>
      </c>
      <c r="AE916" s="135"/>
    </row>
    <row r="917" spans="1:31" ht="12.5" customHeight="1" x14ac:dyDescent="0.35">
      <c r="A917" t="s">
        <v>396</v>
      </c>
      <c r="C917" t="s">
        <v>2433</v>
      </c>
      <c r="D917" t="s">
        <v>385</v>
      </c>
      <c r="E917" s="133">
        <v>45841</v>
      </c>
      <c r="F917" s="2">
        <v>2.0416666666666666E-2</v>
      </c>
      <c r="G917">
        <v>0</v>
      </c>
      <c r="H917" s="133">
        <v>45840</v>
      </c>
      <c r="I917" s="2">
        <v>0.52041666666666664</v>
      </c>
      <c r="J917">
        <v>12</v>
      </c>
      <c r="R917" t="s">
        <v>30</v>
      </c>
      <c r="W917">
        <v>1</v>
      </c>
      <c r="X917" t="s">
        <v>30</v>
      </c>
      <c r="AC917" t="s">
        <v>2434</v>
      </c>
      <c r="AE917" s="135"/>
    </row>
    <row r="918" spans="1:31" ht="12.5" customHeight="1" x14ac:dyDescent="0.35">
      <c r="A918" t="s">
        <v>396</v>
      </c>
      <c r="C918" t="s">
        <v>2435</v>
      </c>
      <c r="D918" t="s">
        <v>385</v>
      </c>
      <c r="E918" s="133">
        <v>45841</v>
      </c>
      <c r="F918" s="2">
        <v>2.0486111111111111E-2</v>
      </c>
      <c r="G918">
        <v>0</v>
      </c>
      <c r="H918" s="133">
        <v>45840</v>
      </c>
      <c r="I918" s="2">
        <v>0.52048611111111109</v>
      </c>
      <c r="J918">
        <v>12</v>
      </c>
      <c r="R918" t="s">
        <v>30</v>
      </c>
      <c r="W918">
        <v>1</v>
      </c>
      <c r="X918" t="s">
        <v>30</v>
      </c>
      <c r="AC918" t="s">
        <v>2436</v>
      </c>
      <c r="AE918" s="135"/>
    </row>
    <row r="919" spans="1:31" ht="12.5" customHeight="1" x14ac:dyDescent="0.35">
      <c r="A919" t="s">
        <v>396</v>
      </c>
      <c r="C919" t="s">
        <v>2437</v>
      </c>
      <c r="D919" t="s">
        <v>385</v>
      </c>
      <c r="E919" s="133">
        <v>45841</v>
      </c>
      <c r="F919" s="2">
        <v>2.0555555555555556E-2</v>
      </c>
      <c r="G919">
        <v>0</v>
      </c>
      <c r="H919" s="133">
        <v>45840</v>
      </c>
      <c r="I919" s="2">
        <v>0.52055555555555555</v>
      </c>
      <c r="J919">
        <v>12</v>
      </c>
      <c r="R919" t="s">
        <v>30</v>
      </c>
      <c r="W919">
        <v>1</v>
      </c>
      <c r="X919" t="s">
        <v>30</v>
      </c>
      <c r="AC919" t="s">
        <v>2438</v>
      </c>
      <c r="AE919" s="135"/>
    </row>
    <row r="920" spans="1:31" ht="12.5" customHeight="1" x14ac:dyDescent="0.35">
      <c r="A920" t="s">
        <v>396</v>
      </c>
      <c r="C920" t="s">
        <v>2439</v>
      </c>
      <c r="D920" t="s">
        <v>385</v>
      </c>
      <c r="E920" s="133">
        <v>45841</v>
      </c>
      <c r="F920" s="2">
        <v>2.0648148148148148E-2</v>
      </c>
      <c r="G920">
        <v>0</v>
      </c>
      <c r="H920" s="133">
        <v>45840</v>
      </c>
      <c r="I920" s="2">
        <v>0.52064814814814808</v>
      </c>
      <c r="J920">
        <v>12</v>
      </c>
      <c r="R920" t="s">
        <v>30</v>
      </c>
      <c r="W920">
        <v>1</v>
      </c>
      <c r="X920" t="s">
        <v>30</v>
      </c>
      <c r="AC920" t="s">
        <v>2440</v>
      </c>
      <c r="AE920" s="135"/>
    </row>
    <row r="921" spans="1:31" ht="12.5" customHeight="1" x14ac:dyDescent="0.35">
      <c r="A921" t="s">
        <v>396</v>
      </c>
      <c r="C921" t="s">
        <v>2441</v>
      </c>
      <c r="D921" t="s">
        <v>385</v>
      </c>
      <c r="E921" s="133">
        <v>45841</v>
      </c>
      <c r="F921" s="2">
        <v>2.071759259259259E-2</v>
      </c>
      <c r="G921">
        <v>0</v>
      </c>
      <c r="H921" s="133">
        <v>45840</v>
      </c>
      <c r="I921" s="2">
        <v>0.52071759259259254</v>
      </c>
      <c r="J921">
        <v>12</v>
      </c>
      <c r="R921" t="s">
        <v>30</v>
      </c>
      <c r="W921">
        <v>1</v>
      </c>
      <c r="X921" t="s">
        <v>30</v>
      </c>
      <c r="AC921" t="s">
        <v>2442</v>
      </c>
      <c r="AE921" s="135"/>
    </row>
    <row r="922" spans="1:31" ht="12.5" customHeight="1" x14ac:dyDescent="0.35">
      <c r="A922" t="s">
        <v>396</v>
      </c>
      <c r="C922" t="s">
        <v>2443</v>
      </c>
      <c r="D922" t="s">
        <v>385</v>
      </c>
      <c r="E922" s="133">
        <v>45841</v>
      </c>
      <c r="F922" s="2">
        <v>2.0787037037037038E-2</v>
      </c>
      <c r="G922">
        <v>0</v>
      </c>
      <c r="H922" s="133">
        <v>45840</v>
      </c>
      <c r="I922" s="2">
        <v>0.52078703703703699</v>
      </c>
      <c r="J922">
        <v>12</v>
      </c>
      <c r="R922" t="s">
        <v>30</v>
      </c>
      <c r="W922">
        <v>1</v>
      </c>
      <c r="X922" t="s">
        <v>30</v>
      </c>
      <c r="AC922" t="s">
        <v>2444</v>
      </c>
      <c r="AE922" s="135"/>
    </row>
    <row r="923" spans="1:31" ht="12.5" customHeight="1" x14ac:dyDescent="0.35">
      <c r="A923" t="s">
        <v>396</v>
      </c>
      <c r="C923" t="s">
        <v>2445</v>
      </c>
      <c r="D923" t="s">
        <v>385</v>
      </c>
      <c r="E923" s="133">
        <v>45841</v>
      </c>
      <c r="F923" s="2">
        <v>2.0879629629629626E-2</v>
      </c>
      <c r="G923">
        <v>0</v>
      </c>
      <c r="H923" s="133">
        <v>45840</v>
      </c>
      <c r="I923" s="2">
        <v>0.52087962962962964</v>
      </c>
      <c r="J923">
        <v>12</v>
      </c>
      <c r="R923" t="s">
        <v>30</v>
      </c>
      <c r="W923">
        <v>1</v>
      </c>
      <c r="X923" t="s">
        <v>30</v>
      </c>
      <c r="AC923" t="s">
        <v>2446</v>
      </c>
      <c r="AE923" s="135"/>
    </row>
    <row r="924" spans="1:31" ht="12.5" customHeight="1" x14ac:dyDescent="0.35">
      <c r="A924" t="s">
        <v>396</v>
      </c>
      <c r="C924" t="s">
        <v>2447</v>
      </c>
      <c r="D924" t="s">
        <v>385</v>
      </c>
      <c r="E924" s="133">
        <v>45841</v>
      </c>
      <c r="F924" s="2">
        <v>2.0949074074074075E-2</v>
      </c>
      <c r="G924">
        <v>0</v>
      </c>
      <c r="H924" s="133">
        <v>45840</v>
      </c>
      <c r="I924" s="2">
        <v>0.52094907407407409</v>
      </c>
      <c r="J924">
        <v>12</v>
      </c>
      <c r="R924" t="s">
        <v>30</v>
      </c>
      <c r="W924">
        <v>1</v>
      </c>
      <c r="X924" t="s">
        <v>30</v>
      </c>
      <c r="AC924" t="s">
        <v>2448</v>
      </c>
      <c r="AE924" s="135"/>
    </row>
    <row r="925" spans="1:31" ht="12.5" customHeight="1" x14ac:dyDescent="0.35">
      <c r="A925" t="s">
        <v>396</v>
      </c>
      <c r="C925" t="s">
        <v>2449</v>
      </c>
      <c r="D925" t="s">
        <v>385</v>
      </c>
      <c r="E925" s="133">
        <v>45841</v>
      </c>
      <c r="F925" s="2">
        <v>2.101851851851852E-2</v>
      </c>
      <c r="G925">
        <v>0</v>
      </c>
      <c r="H925" s="133">
        <v>45840</v>
      </c>
      <c r="I925" s="2">
        <v>0.52101851851851855</v>
      </c>
      <c r="J925">
        <v>12</v>
      </c>
      <c r="R925" t="s">
        <v>30</v>
      </c>
      <c r="W925">
        <v>1</v>
      </c>
      <c r="X925" t="s">
        <v>30</v>
      </c>
      <c r="AC925" t="s">
        <v>2450</v>
      </c>
      <c r="AE925" s="135"/>
    </row>
    <row r="926" spans="1:31" ht="12.5" customHeight="1" x14ac:dyDescent="0.35">
      <c r="A926" t="s">
        <v>396</v>
      </c>
      <c r="C926" t="s">
        <v>2451</v>
      </c>
      <c r="D926" t="s">
        <v>385</v>
      </c>
      <c r="E926" s="133">
        <v>45841</v>
      </c>
      <c r="F926" s="2">
        <v>2.1087962962962961E-2</v>
      </c>
      <c r="G926">
        <v>0</v>
      </c>
      <c r="H926" s="133">
        <v>45840</v>
      </c>
      <c r="I926" s="2">
        <v>0.52108796296296289</v>
      </c>
      <c r="J926">
        <v>12</v>
      </c>
      <c r="R926" t="s">
        <v>30</v>
      </c>
      <c r="W926">
        <v>1</v>
      </c>
      <c r="X926" t="s">
        <v>30</v>
      </c>
      <c r="AC926" t="s">
        <v>2452</v>
      </c>
      <c r="AE926" s="135"/>
    </row>
    <row r="927" spans="1:31" ht="12.5" customHeight="1" x14ac:dyDescent="0.35">
      <c r="A927" t="s">
        <v>396</v>
      </c>
      <c r="C927" t="s">
        <v>2453</v>
      </c>
      <c r="D927" t="s">
        <v>385</v>
      </c>
      <c r="E927" s="133">
        <v>45841</v>
      </c>
      <c r="F927" s="2">
        <v>2.1180555555555553E-2</v>
      </c>
      <c r="G927">
        <v>0</v>
      </c>
      <c r="H927" s="133">
        <v>45840</v>
      </c>
      <c r="I927" s="2">
        <v>0.52118055555555554</v>
      </c>
      <c r="J927">
        <v>12</v>
      </c>
      <c r="R927" t="s">
        <v>30</v>
      </c>
      <c r="W927">
        <v>1</v>
      </c>
      <c r="X927" t="s">
        <v>30</v>
      </c>
      <c r="AC927" t="s">
        <v>2454</v>
      </c>
      <c r="AE927" s="135"/>
    </row>
    <row r="928" spans="1:31" ht="12.5" customHeight="1" x14ac:dyDescent="0.35">
      <c r="A928" t="s">
        <v>396</v>
      </c>
      <c r="C928" t="s">
        <v>2455</v>
      </c>
      <c r="D928" t="s">
        <v>385</v>
      </c>
      <c r="E928" s="133">
        <v>45841</v>
      </c>
      <c r="F928" s="2">
        <v>2.1250000000000002E-2</v>
      </c>
      <c r="G928">
        <v>0</v>
      </c>
      <c r="H928" s="133">
        <v>45840</v>
      </c>
      <c r="I928" s="2">
        <v>0.52124999999999999</v>
      </c>
      <c r="J928">
        <v>12</v>
      </c>
      <c r="R928" t="s">
        <v>30</v>
      </c>
      <c r="W928">
        <v>1</v>
      </c>
      <c r="X928" t="s">
        <v>30</v>
      </c>
      <c r="AC928" t="s">
        <v>2456</v>
      </c>
      <c r="AE928" s="135"/>
    </row>
    <row r="929" spans="1:31" ht="12.5" customHeight="1" x14ac:dyDescent="0.35">
      <c r="A929" t="s">
        <v>396</v>
      </c>
      <c r="C929" t="s">
        <v>2457</v>
      </c>
      <c r="D929" t="s">
        <v>385</v>
      </c>
      <c r="E929" s="133">
        <v>45841</v>
      </c>
      <c r="F929" s="2">
        <v>2.1342592592592594E-2</v>
      </c>
      <c r="G929">
        <v>0</v>
      </c>
      <c r="H929" s="133">
        <v>45840</v>
      </c>
      <c r="I929" s="2">
        <v>0.52134259259259264</v>
      </c>
      <c r="J929">
        <v>12</v>
      </c>
      <c r="R929" t="s">
        <v>30</v>
      </c>
      <c r="W929">
        <v>1</v>
      </c>
      <c r="X929" t="s">
        <v>30</v>
      </c>
      <c r="AC929" t="s">
        <v>2458</v>
      </c>
      <c r="AE929" s="135"/>
    </row>
    <row r="930" spans="1:31" ht="12.5" customHeight="1" x14ac:dyDescent="0.35">
      <c r="A930" t="s">
        <v>396</v>
      </c>
      <c r="C930" t="s">
        <v>2459</v>
      </c>
      <c r="D930" t="s">
        <v>385</v>
      </c>
      <c r="E930" s="133">
        <v>45841</v>
      </c>
      <c r="F930" s="2">
        <v>2.1412037037037035E-2</v>
      </c>
      <c r="G930">
        <v>0</v>
      </c>
      <c r="H930" s="133">
        <v>45840</v>
      </c>
      <c r="I930" s="2">
        <v>0.52141203703703709</v>
      </c>
      <c r="J930">
        <v>12</v>
      </c>
      <c r="R930" t="s">
        <v>30</v>
      </c>
      <c r="W930">
        <v>1</v>
      </c>
      <c r="X930" t="s">
        <v>30</v>
      </c>
      <c r="AC930" t="s">
        <v>2460</v>
      </c>
      <c r="AE930" s="135"/>
    </row>
    <row r="931" spans="1:31" ht="12.5" customHeight="1" x14ac:dyDescent="0.35">
      <c r="A931" t="s">
        <v>396</v>
      </c>
      <c r="C931" t="s">
        <v>2461</v>
      </c>
      <c r="D931" t="s">
        <v>385</v>
      </c>
      <c r="E931" s="133">
        <v>45841</v>
      </c>
      <c r="F931" s="2">
        <v>2.148148148148148E-2</v>
      </c>
      <c r="G931">
        <v>0</v>
      </c>
      <c r="H931" s="133">
        <v>45840</v>
      </c>
      <c r="I931" s="2">
        <v>0.52148148148148155</v>
      </c>
      <c r="J931">
        <v>12</v>
      </c>
      <c r="R931" t="s">
        <v>30</v>
      </c>
      <c r="W931">
        <v>1</v>
      </c>
      <c r="X931" t="s">
        <v>30</v>
      </c>
      <c r="AC931" t="s">
        <v>2462</v>
      </c>
      <c r="AE931" s="135"/>
    </row>
    <row r="932" spans="1:31" ht="12.5" customHeight="1" x14ac:dyDescent="0.35">
      <c r="A932" t="s">
        <v>396</v>
      </c>
      <c r="C932" t="s">
        <v>2463</v>
      </c>
      <c r="D932" t="s">
        <v>385</v>
      </c>
      <c r="E932" s="133">
        <v>45841</v>
      </c>
      <c r="F932" s="2">
        <v>2.1574074074074075E-2</v>
      </c>
      <c r="G932">
        <v>0</v>
      </c>
      <c r="H932" s="133">
        <v>45840</v>
      </c>
      <c r="I932" s="2">
        <v>0.52157407407407408</v>
      </c>
      <c r="J932">
        <v>12</v>
      </c>
      <c r="R932" t="s">
        <v>30</v>
      </c>
      <c r="W932">
        <v>1</v>
      </c>
      <c r="X932" t="s">
        <v>30</v>
      </c>
      <c r="AC932" t="s">
        <v>2464</v>
      </c>
      <c r="AE932" s="135"/>
    </row>
    <row r="933" spans="1:31" ht="12.5" customHeight="1" x14ac:dyDescent="0.35">
      <c r="A933" t="s">
        <v>396</v>
      </c>
      <c r="C933" t="s">
        <v>2465</v>
      </c>
      <c r="D933" t="s">
        <v>385</v>
      </c>
      <c r="E933" s="133">
        <v>45841</v>
      </c>
      <c r="F933" s="2">
        <v>2.164351851851852E-2</v>
      </c>
      <c r="G933">
        <v>0</v>
      </c>
      <c r="H933" s="133">
        <v>45840</v>
      </c>
      <c r="I933" s="2">
        <v>0.52164351851851853</v>
      </c>
      <c r="J933">
        <v>12</v>
      </c>
      <c r="R933" t="s">
        <v>30</v>
      </c>
      <c r="W933">
        <v>1</v>
      </c>
      <c r="X933" t="s">
        <v>30</v>
      </c>
      <c r="AC933" t="s">
        <v>2466</v>
      </c>
      <c r="AE933" s="135"/>
    </row>
    <row r="934" spans="1:31" ht="12.5" customHeight="1" x14ac:dyDescent="0.35">
      <c r="A934" t="s">
        <v>396</v>
      </c>
      <c r="C934" t="s">
        <v>2467</v>
      </c>
      <c r="D934" t="s">
        <v>385</v>
      </c>
      <c r="E934" s="133">
        <v>45841</v>
      </c>
      <c r="F934" s="2">
        <v>2.1712962962962962E-2</v>
      </c>
      <c r="G934">
        <v>0</v>
      </c>
      <c r="H934" s="133">
        <v>45840</v>
      </c>
      <c r="I934" s="2">
        <v>0.52171296296296299</v>
      </c>
      <c r="J934">
        <v>12</v>
      </c>
      <c r="R934" t="s">
        <v>30</v>
      </c>
      <c r="W934">
        <v>1</v>
      </c>
      <c r="X934" t="s">
        <v>30</v>
      </c>
      <c r="AC934" t="s">
        <v>2468</v>
      </c>
      <c r="AE934" s="135"/>
    </row>
    <row r="935" spans="1:31" ht="12.5" customHeight="1" x14ac:dyDescent="0.35">
      <c r="A935" t="s">
        <v>396</v>
      </c>
      <c r="C935" t="s">
        <v>2469</v>
      </c>
      <c r="D935" t="s">
        <v>385</v>
      </c>
      <c r="E935" s="133">
        <v>45841</v>
      </c>
      <c r="F935" s="2">
        <v>2.1805555555555554E-2</v>
      </c>
      <c r="G935">
        <v>0</v>
      </c>
      <c r="H935" s="133">
        <v>45840</v>
      </c>
      <c r="I935" s="2">
        <v>0.52180555555555552</v>
      </c>
      <c r="J935">
        <v>12</v>
      </c>
      <c r="R935" t="s">
        <v>30</v>
      </c>
      <c r="W935">
        <v>1</v>
      </c>
      <c r="X935" t="s">
        <v>30</v>
      </c>
      <c r="AC935" t="s">
        <v>2470</v>
      </c>
      <c r="AE935" s="135"/>
    </row>
    <row r="936" spans="1:31" ht="12.5" customHeight="1" x14ac:dyDescent="0.35">
      <c r="A936" t="s">
        <v>396</v>
      </c>
      <c r="C936" t="s">
        <v>2471</v>
      </c>
      <c r="D936" t="s">
        <v>385</v>
      </c>
      <c r="E936" s="133">
        <v>45841</v>
      </c>
      <c r="F936" s="2">
        <v>2.1875000000000002E-2</v>
      </c>
      <c r="G936">
        <v>0</v>
      </c>
      <c r="H936" s="133">
        <v>45840</v>
      </c>
      <c r="I936" s="2">
        <v>0.52187499999999998</v>
      </c>
      <c r="J936">
        <v>12</v>
      </c>
      <c r="R936" t="s">
        <v>30</v>
      </c>
      <c r="W936">
        <v>1</v>
      </c>
      <c r="X936" t="s">
        <v>30</v>
      </c>
      <c r="AC936" t="s">
        <v>2472</v>
      </c>
      <c r="AE936" s="135"/>
    </row>
    <row r="937" spans="1:31" ht="12.5" customHeight="1" x14ac:dyDescent="0.35">
      <c r="A937" t="s">
        <v>396</v>
      </c>
      <c r="C937" t="s">
        <v>2473</v>
      </c>
      <c r="D937" t="s">
        <v>385</v>
      </c>
      <c r="E937" s="133">
        <v>45841</v>
      </c>
      <c r="F937" s="2">
        <v>2.1944444444444447E-2</v>
      </c>
      <c r="G937">
        <v>0</v>
      </c>
      <c r="H937" s="133">
        <v>45840</v>
      </c>
      <c r="I937" s="2">
        <v>0.52194444444444443</v>
      </c>
      <c r="J937">
        <v>12</v>
      </c>
      <c r="R937" t="s">
        <v>30</v>
      </c>
      <c r="W937">
        <v>1</v>
      </c>
      <c r="X937" t="s">
        <v>30</v>
      </c>
      <c r="AC937" t="s">
        <v>2474</v>
      </c>
      <c r="AE937" s="135"/>
    </row>
    <row r="938" spans="1:31" ht="12.5" customHeight="1" x14ac:dyDescent="0.35">
      <c r="A938" t="s">
        <v>396</v>
      </c>
      <c r="C938" t="s">
        <v>2475</v>
      </c>
      <c r="D938" t="s">
        <v>385</v>
      </c>
      <c r="E938" s="133">
        <v>45841</v>
      </c>
      <c r="F938" s="2">
        <v>2.2037037037037036E-2</v>
      </c>
      <c r="G938">
        <v>0</v>
      </c>
      <c r="H938" s="133">
        <v>45840</v>
      </c>
      <c r="I938" s="2">
        <v>0.52203703703703697</v>
      </c>
      <c r="J938">
        <v>12</v>
      </c>
      <c r="R938" t="s">
        <v>30</v>
      </c>
      <c r="W938">
        <v>1</v>
      </c>
      <c r="X938" t="s">
        <v>30</v>
      </c>
      <c r="AC938" t="s">
        <v>2476</v>
      </c>
      <c r="AE938" s="135"/>
    </row>
    <row r="939" spans="1:31" ht="12.5" customHeight="1" x14ac:dyDescent="0.35">
      <c r="A939" t="s">
        <v>396</v>
      </c>
      <c r="C939" t="s">
        <v>2477</v>
      </c>
      <c r="D939" t="s">
        <v>385</v>
      </c>
      <c r="E939" s="133">
        <v>45841</v>
      </c>
      <c r="F939" s="2">
        <v>2.210648148148148E-2</v>
      </c>
      <c r="G939">
        <v>0</v>
      </c>
      <c r="H939" s="133">
        <v>45840</v>
      </c>
      <c r="I939" s="2">
        <v>0.52210648148148142</v>
      </c>
      <c r="J939">
        <v>12</v>
      </c>
      <c r="R939" t="s">
        <v>30</v>
      </c>
      <c r="W939">
        <v>1</v>
      </c>
      <c r="X939" t="s">
        <v>30</v>
      </c>
      <c r="AC939" t="s">
        <v>2478</v>
      </c>
      <c r="AE939" s="135"/>
    </row>
    <row r="940" spans="1:31" ht="12.5" customHeight="1" x14ac:dyDescent="0.35">
      <c r="A940" t="s">
        <v>396</v>
      </c>
      <c r="C940" t="s">
        <v>2479</v>
      </c>
      <c r="D940" t="s">
        <v>385</v>
      </c>
      <c r="E940" s="133">
        <v>45841</v>
      </c>
      <c r="F940" s="2">
        <v>2.2199074074074076E-2</v>
      </c>
      <c r="G940">
        <v>0</v>
      </c>
      <c r="H940" s="133">
        <v>45840</v>
      </c>
      <c r="I940" s="2">
        <v>0.52219907407407407</v>
      </c>
      <c r="J940">
        <v>12</v>
      </c>
      <c r="R940" t="s">
        <v>30</v>
      </c>
      <c r="W940">
        <v>1</v>
      </c>
      <c r="X940" t="s">
        <v>30</v>
      </c>
      <c r="AC940" t="s">
        <v>2480</v>
      </c>
      <c r="AE940" s="135"/>
    </row>
    <row r="941" spans="1:31" ht="12.5" customHeight="1" x14ac:dyDescent="0.35">
      <c r="A941" t="s">
        <v>396</v>
      </c>
      <c r="C941" t="s">
        <v>2481</v>
      </c>
      <c r="D941" t="s">
        <v>385</v>
      </c>
      <c r="E941" s="133">
        <v>45841</v>
      </c>
      <c r="F941" s="2">
        <v>2.2268518518518521E-2</v>
      </c>
      <c r="G941">
        <v>0</v>
      </c>
      <c r="H941" s="133">
        <v>45840</v>
      </c>
      <c r="I941" s="2">
        <v>0.52226851851851852</v>
      </c>
      <c r="J941">
        <v>12</v>
      </c>
      <c r="R941" t="s">
        <v>30</v>
      </c>
      <c r="W941">
        <v>1</v>
      </c>
      <c r="X941" t="s">
        <v>30</v>
      </c>
      <c r="AC941" t="s">
        <v>2482</v>
      </c>
      <c r="AE941" s="135"/>
    </row>
    <row r="942" spans="1:31" ht="12.5" customHeight="1" x14ac:dyDescent="0.35">
      <c r="A942" t="s">
        <v>396</v>
      </c>
      <c r="C942" t="s">
        <v>2483</v>
      </c>
      <c r="D942" t="s">
        <v>385</v>
      </c>
      <c r="E942" s="133">
        <v>45841</v>
      </c>
      <c r="F942" s="2">
        <v>2.2337962962962962E-2</v>
      </c>
      <c r="G942">
        <v>0</v>
      </c>
      <c r="H942" s="133">
        <v>45840</v>
      </c>
      <c r="I942" s="2">
        <v>0.52233796296296298</v>
      </c>
      <c r="J942">
        <v>12</v>
      </c>
      <c r="R942" t="s">
        <v>30</v>
      </c>
      <c r="W942">
        <v>1</v>
      </c>
      <c r="X942" t="s">
        <v>30</v>
      </c>
      <c r="AC942" t="s">
        <v>2484</v>
      </c>
      <c r="AE942" s="135"/>
    </row>
    <row r="943" spans="1:31" ht="12.5" customHeight="1" x14ac:dyDescent="0.35">
      <c r="A943" t="s">
        <v>396</v>
      </c>
      <c r="C943" t="s">
        <v>2485</v>
      </c>
      <c r="D943" t="s">
        <v>385</v>
      </c>
      <c r="E943" s="133">
        <v>45841</v>
      </c>
      <c r="F943" s="2">
        <v>2.2430555555555554E-2</v>
      </c>
      <c r="G943">
        <v>0</v>
      </c>
      <c r="H943" s="133">
        <v>45840</v>
      </c>
      <c r="I943" s="2">
        <v>0.52243055555555562</v>
      </c>
      <c r="J943">
        <v>12</v>
      </c>
      <c r="R943" t="s">
        <v>30</v>
      </c>
      <c r="W943">
        <v>1</v>
      </c>
      <c r="X943" t="s">
        <v>30</v>
      </c>
      <c r="AC943" t="s">
        <v>2486</v>
      </c>
      <c r="AE943" s="135"/>
    </row>
    <row r="944" spans="1:31" ht="12.5" customHeight="1" x14ac:dyDescent="0.35">
      <c r="A944" t="s">
        <v>396</v>
      </c>
      <c r="C944" t="s">
        <v>2487</v>
      </c>
      <c r="D944" t="s">
        <v>385</v>
      </c>
      <c r="E944" s="133">
        <v>45841</v>
      </c>
      <c r="F944" s="2">
        <v>2.2499999999999996E-2</v>
      </c>
      <c r="G944">
        <v>0</v>
      </c>
      <c r="H944" s="133">
        <v>45840</v>
      </c>
      <c r="I944" s="2">
        <v>0.52249999999999996</v>
      </c>
      <c r="J944">
        <v>12</v>
      </c>
      <c r="R944" t="s">
        <v>30</v>
      </c>
      <c r="W944">
        <v>1</v>
      </c>
      <c r="X944" t="s">
        <v>30</v>
      </c>
      <c r="AC944" t="s">
        <v>2488</v>
      </c>
      <c r="AE944" s="135"/>
    </row>
    <row r="945" spans="1:31" ht="12.5" customHeight="1" x14ac:dyDescent="0.35">
      <c r="A945" t="s">
        <v>396</v>
      </c>
      <c r="C945" t="s">
        <v>2489</v>
      </c>
      <c r="D945" t="s">
        <v>385</v>
      </c>
      <c r="E945" s="133">
        <v>45841</v>
      </c>
      <c r="F945" s="2">
        <v>2.2592592592592591E-2</v>
      </c>
      <c r="G945">
        <v>0</v>
      </c>
      <c r="H945" s="133">
        <v>45840</v>
      </c>
      <c r="I945" s="2">
        <v>0.52259259259259261</v>
      </c>
      <c r="J945">
        <v>12</v>
      </c>
      <c r="R945" t="s">
        <v>30</v>
      </c>
      <c r="W945">
        <v>1</v>
      </c>
      <c r="X945" t="s">
        <v>30</v>
      </c>
      <c r="AC945" t="s">
        <v>2490</v>
      </c>
      <c r="AE945" s="135"/>
    </row>
    <row r="946" spans="1:31" ht="12.5" customHeight="1" x14ac:dyDescent="0.35">
      <c r="A946" t="s">
        <v>396</v>
      </c>
      <c r="C946" t="s">
        <v>2491</v>
      </c>
      <c r="D946" t="s">
        <v>385</v>
      </c>
      <c r="E946" s="133">
        <v>45841</v>
      </c>
      <c r="F946" s="2">
        <v>2.2662037037037036E-2</v>
      </c>
      <c r="G946">
        <v>0</v>
      </c>
      <c r="H946" s="133">
        <v>45840</v>
      </c>
      <c r="I946" s="2">
        <v>0.52266203703703706</v>
      </c>
      <c r="J946">
        <v>12</v>
      </c>
      <c r="R946" t="s">
        <v>30</v>
      </c>
      <c r="W946">
        <v>1</v>
      </c>
      <c r="X946" t="s">
        <v>30</v>
      </c>
      <c r="AC946" t="s">
        <v>2492</v>
      </c>
      <c r="AE946" s="135"/>
    </row>
    <row r="947" spans="1:31" ht="12.5" customHeight="1" x14ac:dyDescent="0.35">
      <c r="A947" t="s">
        <v>396</v>
      </c>
      <c r="C947" t="s">
        <v>2493</v>
      </c>
      <c r="D947" t="s">
        <v>385</v>
      </c>
      <c r="E947" s="133">
        <v>45841</v>
      </c>
      <c r="F947" s="2">
        <v>2.2731481481481481E-2</v>
      </c>
      <c r="G947">
        <v>0</v>
      </c>
      <c r="H947" s="133">
        <v>45840</v>
      </c>
      <c r="I947" s="2">
        <v>0.52273148148148152</v>
      </c>
      <c r="J947">
        <v>12</v>
      </c>
      <c r="R947" t="s">
        <v>30</v>
      </c>
      <c r="W947">
        <v>1</v>
      </c>
      <c r="X947" t="s">
        <v>30</v>
      </c>
      <c r="AC947" t="s">
        <v>2494</v>
      </c>
      <c r="AE947" s="135"/>
    </row>
    <row r="948" spans="1:31" ht="12.5" customHeight="1" x14ac:dyDescent="0.35">
      <c r="A948" t="s">
        <v>396</v>
      </c>
      <c r="C948" t="s">
        <v>2495</v>
      </c>
      <c r="D948" t="s">
        <v>385</v>
      </c>
      <c r="E948" s="133">
        <v>45841</v>
      </c>
      <c r="F948" s="2">
        <v>2.2824074074074076E-2</v>
      </c>
      <c r="G948">
        <v>0</v>
      </c>
      <c r="H948" s="133">
        <v>45840</v>
      </c>
      <c r="I948" s="2">
        <v>0.52282407407407405</v>
      </c>
      <c r="J948">
        <v>12</v>
      </c>
      <c r="R948" t="s">
        <v>30</v>
      </c>
      <c r="W948">
        <v>1</v>
      </c>
      <c r="X948" t="s">
        <v>30</v>
      </c>
      <c r="AC948" t="s">
        <v>2496</v>
      </c>
      <c r="AE948" s="135"/>
    </row>
    <row r="949" spans="1:31" ht="12.5" customHeight="1" x14ac:dyDescent="0.35">
      <c r="A949" t="s">
        <v>396</v>
      </c>
      <c r="C949" t="s">
        <v>2497</v>
      </c>
      <c r="D949" t="s">
        <v>385</v>
      </c>
      <c r="E949" s="133">
        <v>45841</v>
      </c>
      <c r="F949" s="2">
        <v>2.2893518518518521E-2</v>
      </c>
      <c r="G949">
        <v>0</v>
      </c>
      <c r="H949" s="133">
        <v>45840</v>
      </c>
      <c r="I949" s="2">
        <v>0.52289351851851851</v>
      </c>
      <c r="J949">
        <v>12</v>
      </c>
      <c r="R949" t="s">
        <v>30</v>
      </c>
      <c r="W949">
        <v>1</v>
      </c>
      <c r="X949" t="s">
        <v>30</v>
      </c>
      <c r="AC949" t="s">
        <v>2498</v>
      </c>
      <c r="AE949" s="135"/>
    </row>
    <row r="950" spans="1:31" ht="12.5" customHeight="1" x14ac:dyDescent="0.35">
      <c r="A950" t="s">
        <v>396</v>
      </c>
      <c r="C950" t="s">
        <v>2499</v>
      </c>
      <c r="D950" t="s">
        <v>385</v>
      </c>
      <c r="E950" s="133">
        <v>45841</v>
      </c>
      <c r="F950" s="2">
        <v>2.298611111111111E-2</v>
      </c>
      <c r="G950">
        <v>0</v>
      </c>
      <c r="H950" s="133">
        <v>45840</v>
      </c>
      <c r="I950" s="2">
        <v>0.52298611111111104</v>
      </c>
      <c r="J950">
        <v>12</v>
      </c>
      <c r="R950" t="s">
        <v>30</v>
      </c>
      <c r="W950">
        <v>1</v>
      </c>
      <c r="X950" t="s">
        <v>30</v>
      </c>
      <c r="AC950" t="s">
        <v>2500</v>
      </c>
      <c r="AE950" s="135"/>
    </row>
    <row r="951" spans="1:31" ht="12.5" customHeight="1" x14ac:dyDescent="0.35">
      <c r="A951" t="s">
        <v>396</v>
      </c>
      <c r="C951" t="s">
        <v>2501</v>
      </c>
      <c r="D951" t="s">
        <v>385</v>
      </c>
      <c r="E951" s="133">
        <v>45841</v>
      </c>
      <c r="F951" s="2">
        <v>2.3055555555555555E-2</v>
      </c>
      <c r="G951">
        <v>0</v>
      </c>
      <c r="H951" s="133">
        <v>45840</v>
      </c>
      <c r="I951" s="2">
        <v>0.5230555555555555</v>
      </c>
      <c r="J951">
        <v>12</v>
      </c>
      <c r="R951" t="s">
        <v>30</v>
      </c>
      <c r="W951">
        <v>1</v>
      </c>
      <c r="X951" t="s">
        <v>30</v>
      </c>
      <c r="AC951" t="s">
        <v>2502</v>
      </c>
      <c r="AE951" s="135"/>
    </row>
    <row r="952" spans="1:31" ht="12.5" customHeight="1" x14ac:dyDescent="0.35">
      <c r="A952" t="s">
        <v>396</v>
      </c>
      <c r="C952" t="s">
        <v>2503</v>
      </c>
      <c r="D952" t="s">
        <v>385</v>
      </c>
      <c r="E952" s="133">
        <v>45841</v>
      </c>
      <c r="F952" s="2">
        <v>2.314814814814815E-2</v>
      </c>
      <c r="G952">
        <v>0</v>
      </c>
      <c r="H952" s="133">
        <v>45840</v>
      </c>
      <c r="I952" s="2">
        <v>0.52314814814814814</v>
      </c>
      <c r="J952">
        <v>12</v>
      </c>
      <c r="R952" t="s">
        <v>30</v>
      </c>
      <c r="W952">
        <v>1</v>
      </c>
      <c r="X952" t="s">
        <v>30</v>
      </c>
      <c r="AC952" t="s">
        <v>2504</v>
      </c>
      <c r="AE952" s="135"/>
    </row>
    <row r="953" spans="1:31" ht="12.5" customHeight="1" x14ac:dyDescent="0.35">
      <c r="A953" t="s">
        <v>396</v>
      </c>
      <c r="C953" t="s">
        <v>2505</v>
      </c>
      <c r="D953" t="s">
        <v>385</v>
      </c>
      <c r="E953" s="133">
        <v>45841</v>
      </c>
      <c r="F953" s="2">
        <v>2.3217592592592592E-2</v>
      </c>
      <c r="G953">
        <v>0</v>
      </c>
      <c r="H953" s="133">
        <v>45840</v>
      </c>
      <c r="I953" s="2">
        <v>0.5232175925925926</v>
      </c>
      <c r="J953">
        <v>12</v>
      </c>
      <c r="R953" t="s">
        <v>30</v>
      </c>
      <c r="W953">
        <v>1</v>
      </c>
      <c r="X953" t="s">
        <v>30</v>
      </c>
      <c r="AC953" t="s">
        <v>2506</v>
      </c>
      <c r="AE953" s="135"/>
    </row>
    <row r="954" spans="1:31" ht="12.5" customHeight="1" x14ac:dyDescent="0.35">
      <c r="A954" t="s">
        <v>396</v>
      </c>
      <c r="C954" t="s">
        <v>2507</v>
      </c>
      <c r="D954" t="s">
        <v>385</v>
      </c>
      <c r="E954" s="133">
        <v>45841</v>
      </c>
      <c r="F954" s="2">
        <v>2.3310185185185187E-2</v>
      </c>
      <c r="G954">
        <v>0</v>
      </c>
      <c r="H954" s="133">
        <v>45840</v>
      </c>
      <c r="I954" s="2">
        <v>0.52331018518518524</v>
      </c>
      <c r="J954">
        <v>12</v>
      </c>
      <c r="R954" t="s">
        <v>30</v>
      </c>
      <c r="W954">
        <v>1</v>
      </c>
      <c r="X954" t="s">
        <v>30</v>
      </c>
      <c r="AC954" t="s">
        <v>2508</v>
      </c>
      <c r="AE954" s="135"/>
    </row>
    <row r="955" spans="1:31" ht="12.5" customHeight="1" x14ac:dyDescent="0.35">
      <c r="A955" t="s">
        <v>396</v>
      </c>
      <c r="C955" t="s">
        <v>2509</v>
      </c>
      <c r="D955" t="s">
        <v>385</v>
      </c>
      <c r="E955" s="133">
        <v>45841</v>
      </c>
      <c r="F955" s="2">
        <v>2.3379629629629629E-2</v>
      </c>
      <c r="G955">
        <v>0</v>
      </c>
      <c r="H955" s="133">
        <v>45840</v>
      </c>
      <c r="I955" s="2">
        <v>0.52337962962962969</v>
      </c>
      <c r="J955">
        <v>12</v>
      </c>
      <c r="R955" t="s">
        <v>30</v>
      </c>
      <c r="W955">
        <v>1</v>
      </c>
      <c r="X955" t="s">
        <v>30</v>
      </c>
      <c r="AC955" t="s">
        <v>2510</v>
      </c>
      <c r="AE955" s="135"/>
    </row>
    <row r="956" spans="1:31" ht="12.5" customHeight="1" x14ac:dyDescent="0.35">
      <c r="A956" t="s">
        <v>396</v>
      </c>
      <c r="C956" t="s">
        <v>2511</v>
      </c>
      <c r="D956" t="s">
        <v>385</v>
      </c>
      <c r="E956" s="133">
        <v>45841</v>
      </c>
      <c r="F956" s="2">
        <v>2.344907407407407E-2</v>
      </c>
      <c r="G956">
        <v>0</v>
      </c>
      <c r="H956" s="133">
        <v>45840</v>
      </c>
      <c r="I956" s="2">
        <v>0.52344907407407404</v>
      </c>
      <c r="J956">
        <v>12</v>
      </c>
      <c r="R956" t="s">
        <v>30</v>
      </c>
      <c r="W956">
        <v>1</v>
      </c>
      <c r="X956" t="s">
        <v>30</v>
      </c>
      <c r="AC956" t="s">
        <v>2512</v>
      </c>
      <c r="AE956" s="135"/>
    </row>
    <row r="957" spans="1:31" ht="12.5" customHeight="1" x14ac:dyDescent="0.35">
      <c r="A957" t="s">
        <v>396</v>
      </c>
      <c r="C957" t="s">
        <v>2513</v>
      </c>
      <c r="D957" t="s">
        <v>385</v>
      </c>
      <c r="E957" s="133">
        <v>45841</v>
      </c>
      <c r="F957" s="2">
        <v>2.3541666666666666E-2</v>
      </c>
      <c r="G957">
        <v>0</v>
      </c>
      <c r="H957" s="133">
        <v>45840</v>
      </c>
      <c r="I957" s="2">
        <v>0.52354166666666668</v>
      </c>
      <c r="J957">
        <v>12</v>
      </c>
      <c r="R957" t="s">
        <v>30</v>
      </c>
      <c r="W957">
        <v>1</v>
      </c>
      <c r="X957" t="s">
        <v>30</v>
      </c>
      <c r="AC957" t="s">
        <v>2514</v>
      </c>
      <c r="AE957" s="135"/>
    </row>
    <row r="958" spans="1:31" ht="12.5" customHeight="1" x14ac:dyDescent="0.35">
      <c r="A958" t="s">
        <v>396</v>
      </c>
      <c r="C958" t="s">
        <v>2515</v>
      </c>
      <c r="D958" t="s">
        <v>385</v>
      </c>
      <c r="E958" s="133">
        <v>45841</v>
      </c>
      <c r="F958" s="2">
        <v>2.361111111111111E-2</v>
      </c>
      <c r="G958">
        <v>0</v>
      </c>
      <c r="H958" s="133">
        <v>45840</v>
      </c>
      <c r="I958" s="2">
        <v>0.52361111111111114</v>
      </c>
      <c r="J958">
        <v>12</v>
      </c>
      <c r="R958" t="s">
        <v>30</v>
      </c>
      <c r="W958">
        <v>1</v>
      </c>
      <c r="X958" t="s">
        <v>30</v>
      </c>
      <c r="AC958" t="s">
        <v>2516</v>
      </c>
      <c r="AE958" s="135"/>
    </row>
    <row r="959" spans="1:31" ht="12.5" customHeight="1" x14ac:dyDescent="0.35">
      <c r="A959" t="s">
        <v>396</v>
      </c>
      <c r="C959" t="s">
        <v>2517</v>
      </c>
      <c r="D959" t="s">
        <v>385</v>
      </c>
      <c r="E959" s="133">
        <v>45841</v>
      </c>
      <c r="F959" s="2">
        <v>2.3680555555555555E-2</v>
      </c>
      <c r="G959">
        <v>0</v>
      </c>
      <c r="H959" s="133">
        <v>45840</v>
      </c>
      <c r="I959" s="2">
        <v>0.52368055555555559</v>
      </c>
      <c r="J959">
        <v>12</v>
      </c>
      <c r="R959" t="s">
        <v>30</v>
      </c>
      <c r="W959">
        <v>1</v>
      </c>
      <c r="X959" t="s">
        <v>30</v>
      </c>
      <c r="AC959" t="s">
        <v>2518</v>
      </c>
      <c r="AE959" s="135"/>
    </row>
    <row r="960" spans="1:31" ht="12.5" customHeight="1" x14ac:dyDescent="0.35">
      <c r="A960" t="s">
        <v>396</v>
      </c>
      <c r="C960" t="s">
        <v>2519</v>
      </c>
      <c r="D960" t="s">
        <v>385</v>
      </c>
      <c r="E960" s="133">
        <v>45841</v>
      </c>
      <c r="F960" s="2">
        <v>2.3773148148148151E-2</v>
      </c>
      <c r="G960">
        <v>0</v>
      </c>
      <c r="H960" s="133">
        <v>45840</v>
      </c>
      <c r="I960" s="2">
        <v>0.52377314814814813</v>
      </c>
      <c r="J960">
        <v>12</v>
      </c>
      <c r="R960" t="s">
        <v>30</v>
      </c>
      <c r="W960">
        <v>1</v>
      </c>
      <c r="X960" t="s">
        <v>30</v>
      </c>
      <c r="AC960" t="s">
        <v>2520</v>
      </c>
      <c r="AE960" s="135"/>
    </row>
    <row r="961" spans="1:31" ht="12.5" customHeight="1" x14ac:dyDescent="0.35">
      <c r="A961" t="s">
        <v>396</v>
      </c>
      <c r="C961" t="s">
        <v>2521</v>
      </c>
      <c r="D961" t="s">
        <v>385</v>
      </c>
      <c r="E961" s="133">
        <v>45841</v>
      </c>
      <c r="F961" s="2">
        <v>2.3842592592592596E-2</v>
      </c>
      <c r="G961">
        <v>0</v>
      </c>
      <c r="H961" s="133">
        <v>45840</v>
      </c>
      <c r="I961" s="2">
        <v>0.52384259259259258</v>
      </c>
      <c r="J961">
        <v>12</v>
      </c>
      <c r="R961" t="s">
        <v>30</v>
      </c>
      <c r="W961">
        <v>1</v>
      </c>
      <c r="X961" t="s">
        <v>30</v>
      </c>
      <c r="AC961" t="s">
        <v>2522</v>
      </c>
      <c r="AE961" s="135"/>
    </row>
    <row r="962" spans="1:31" ht="12.5" customHeight="1" x14ac:dyDescent="0.35">
      <c r="A962" t="s">
        <v>396</v>
      </c>
      <c r="C962" t="s">
        <v>2523</v>
      </c>
      <c r="D962" t="s">
        <v>385</v>
      </c>
      <c r="E962" s="133">
        <v>45841</v>
      </c>
      <c r="F962" s="2">
        <v>2.3935185185185184E-2</v>
      </c>
      <c r="G962">
        <v>0</v>
      </c>
      <c r="H962" s="133">
        <v>45840</v>
      </c>
      <c r="I962" s="2">
        <v>0.52393518518518511</v>
      </c>
      <c r="J962">
        <v>12</v>
      </c>
      <c r="R962" t="s">
        <v>30</v>
      </c>
      <c r="W962">
        <v>1</v>
      </c>
      <c r="X962" t="s">
        <v>30</v>
      </c>
      <c r="AC962" t="s">
        <v>2524</v>
      </c>
      <c r="AE962" s="135"/>
    </row>
    <row r="963" spans="1:31" ht="12.5" customHeight="1" x14ac:dyDescent="0.35">
      <c r="A963" t="s">
        <v>396</v>
      </c>
      <c r="C963" t="s">
        <v>2525</v>
      </c>
      <c r="D963" t="s">
        <v>385</v>
      </c>
      <c r="E963" s="133">
        <v>45841</v>
      </c>
      <c r="F963" s="2">
        <v>2.4004629629629629E-2</v>
      </c>
      <c r="G963">
        <v>0</v>
      </c>
      <c r="H963" s="133">
        <v>45840</v>
      </c>
      <c r="I963" s="2">
        <v>0.52400462962962957</v>
      </c>
      <c r="J963">
        <v>12</v>
      </c>
      <c r="R963" t="s">
        <v>30</v>
      </c>
      <c r="W963">
        <v>1</v>
      </c>
      <c r="X963" t="s">
        <v>30</v>
      </c>
      <c r="AC963" t="s">
        <v>2526</v>
      </c>
      <c r="AE963" s="135"/>
    </row>
    <row r="964" spans="1:31" ht="12.5" customHeight="1" x14ac:dyDescent="0.35">
      <c r="A964" t="s">
        <v>396</v>
      </c>
      <c r="C964" t="s">
        <v>2527</v>
      </c>
      <c r="D964" t="s">
        <v>385</v>
      </c>
      <c r="E964" s="133">
        <v>45841</v>
      </c>
      <c r="F964" s="2">
        <v>2.4097222222222225E-2</v>
      </c>
      <c r="G964">
        <v>0</v>
      </c>
      <c r="H964" s="133">
        <v>45840</v>
      </c>
      <c r="I964" s="2">
        <v>0.52409722222222221</v>
      </c>
      <c r="J964">
        <v>12</v>
      </c>
      <c r="R964" t="s">
        <v>30</v>
      </c>
      <c r="W964">
        <v>1</v>
      </c>
      <c r="X964" t="s">
        <v>30</v>
      </c>
      <c r="AC964" t="s">
        <v>2528</v>
      </c>
      <c r="AE964" s="135"/>
    </row>
    <row r="965" spans="1:31" ht="12.5" customHeight="1" x14ac:dyDescent="0.35">
      <c r="A965" t="s">
        <v>396</v>
      </c>
      <c r="C965" t="s">
        <v>2529</v>
      </c>
      <c r="D965" t="s">
        <v>385</v>
      </c>
      <c r="E965" s="133">
        <v>45841</v>
      </c>
      <c r="F965" s="2">
        <v>2.4166666666666666E-2</v>
      </c>
      <c r="G965">
        <v>0</v>
      </c>
      <c r="H965" s="133">
        <v>45840</v>
      </c>
      <c r="I965" s="2">
        <v>0.52416666666666667</v>
      </c>
      <c r="J965">
        <v>12</v>
      </c>
      <c r="R965" t="s">
        <v>30</v>
      </c>
      <c r="W965">
        <v>1</v>
      </c>
      <c r="X965" t="s">
        <v>30</v>
      </c>
      <c r="AC965" t="s">
        <v>2530</v>
      </c>
      <c r="AE965" s="135"/>
    </row>
    <row r="966" spans="1:31" ht="12.5" customHeight="1" x14ac:dyDescent="0.35">
      <c r="A966" t="s">
        <v>396</v>
      </c>
      <c r="C966" t="s">
        <v>2531</v>
      </c>
      <c r="D966" t="s">
        <v>385</v>
      </c>
      <c r="E966" s="133">
        <v>45841</v>
      </c>
      <c r="F966" s="2">
        <v>2.4259259259259258E-2</v>
      </c>
      <c r="G966">
        <v>0</v>
      </c>
      <c r="H966" s="133">
        <v>45840</v>
      </c>
      <c r="I966" s="2">
        <v>0.52425925925925931</v>
      </c>
      <c r="J966">
        <v>12</v>
      </c>
      <c r="R966" t="s">
        <v>30</v>
      </c>
      <c r="W966">
        <v>1</v>
      </c>
      <c r="X966" t="s">
        <v>30</v>
      </c>
      <c r="AC966" t="s">
        <v>2532</v>
      </c>
      <c r="AE966" s="135"/>
    </row>
    <row r="967" spans="1:31" ht="12.5" customHeight="1" x14ac:dyDescent="0.35">
      <c r="A967" t="s">
        <v>396</v>
      </c>
      <c r="C967" t="s">
        <v>2533</v>
      </c>
      <c r="D967" t="s">
        <v>385</v>
      </c>
      <c r="E967" s="133">
        <v>45841</v>
      </c>
      <c r="F967" s="2">
        <v>2.4328703703703703E-2</v>
      </c>
      <c r="G967">
        <v>0</v>
      </c>
      <c r="H967" s="133">
        <v>45840</v>
      </c>
      <c r="I967" s="2">
        <v>0.52432870370370377</v>
      </c>
      <c r="J967">
        <v>12</v>
      </c>
      <c r="R967" t="s">
        <v>30</v>
      </c>
      <c r="W967">
        <v>1</v>
      </c>
      <c r="X967" t="s">
        <v>30</v>
      </c>
      <c r="AC967" t="s">
        <v>2534</v>
      </c>
      <c r="AE967" s="135"/>
    </row>
    <row r="968" spans="1:31" ht="12.5" customHeight="1" x14ac:dyDescent="0.35">
      <c r="A968" t="s">
        <v>396</v>
      </c>
      <c r="C968" t="s">
        <v>2535</v>
      </c>
      <c r="D968" t="s">
        <v>385</v>
      </c>
      <c r="E968" s="133">
        <v>45841</v>
      </c>
      <c r="F968" s="2">
        <v>2.4421296296296292E-2</v>
      </c>
      <c r="G968">
        <v>0</v>
      </c>
      <c r="H968" s="133">
        <v>45840</v>
      </c>
      <c r="I968" s="2">
        <v>0.5244212962962963</v>
      </c>
      <c r="J968">
        <v>12</v>
      </c>
      <c r="R968" t="s">
        <v>30</v>
      </c>
      <c r="W968">
        <v>1</v>
      </c>
      <c r="X968" t="s">
        <v>30</v>
      </c>
      <c r="AC968" t="s">
        <v>2536</v>
      </c>
      <c r="AE968" s="135"/>
    </row>
    <row r="969" spans="1:31" ht="12.5" customHeight="1" x14ac:dyDescent="0.35">
      <c r="A969" t="s">
        <v>396</v>
      </c>
      <c r="C969" t="s">
        <v>2537</v>
      </c>
      <c r="D969" t="s">
        <v>385</v>
      </c>
      <c r="E969" s="133">
        <v>45841</v>
      </c>
      <c r="F969" s="2">
        <v>2.449074074074074E-2</v>
      </c>
      <c r="G969">
        <v>0</v>
      </c>
      <c r="H969" s="133">
        <v>45840</v>
      </c>
      <c r="I969" s="2">
        <v>0.52449074074074076</v>
      </c>
      <c r="J969">
        <v>12</v>
      </c>
      <c r="R969" t="s">
        <v>30</v>
      </c>
      <c r="W969">
        <v>1</v>
      </c>
      <c r="X969" t="s">
        <v>30</v>
      </c>
      <c r="AC969" t="s">
        <v>2538</v>
      </c>
      <c r="AE969" s="135"/>
    </row>
    <row r="970" spans="1:31" ht="12.5" customHeight="1" x14ac:dyDescent="0.35">
      <c r="A970" t="s">
        <v>396</v>
      </c>
      <c r="C970" t="s">
        <v>2539</v>
      </c>
      <c r="D970" t="s">
        <v>385</v>
      </c>
      <c r="E970" s="133">
        <v>45841</v>
      </c>
      <c r="F970" s="2">
        <v>2.4583333333333332E-2</v>
      </c>
      <c r="G970">
        <v>0</v>
      </c>
      <c r="H970" s="133">
        <v>45840</v>
      </c>
      <c r="I970" s="2">
        <v>0.52458333333333329</v>
      </c>
      <c r="J970">
        <v>12</v>
      </c>
      <c r="R970" t="s">
        <v>30</v>
      </c>
      <c r="W970">
        <v>1</v>
      </c>
      <c r="X970" t="s">
        <v>30</v>
      </c>
      <c r="AC970" t="s">
        <v>2540</v>
      </c>
      <c r="AE970" s="135"/>
    </row>
    <row r="971" spans="1:31" ht="12.5" customHeight="1" x14ac:dyDescent="0.35">
      <c r="A971" t="s">
        <v>396</v>
      </c>
      <c r="C971" t="s">
        <v>2541</v>
      </c>
      <c r="D971" t="s">
        <v>385</v>
      </c>
      <c r="E971" s="133">
        <v>45841</v>
      </c>
      <c r="F971" s="2">
        <v>2.4652777777777777E-2</v>
      </c>
      <c r="G971">
        <v>0</v>
      </c>
      <c r="H971" s="133">
        <v>45840</v>
      </c>
      <c r="I971" s="2">
        <v>0.52465277777777775</v>
      </c>
      <c r="J971">
        <v>12</v>
      </c>
      <c r="R971" t="s">
        <v>30</v>
      </c>
      <c r="W971">
        <v>1</v>
      </c>
      <c r="X971" t="s">
        <v>30</v>
      </c>
      <c r="AC971" t="s">
        <v>2542</v>
      </c>
      <c r="AE971" s="135"/>
    </row>
    <row r="972" spans="1:31" ht="12.5" customHeight="1" x14ac:dyDescent="0.35">
      <c r="A972" t="s">
        <v>396</v>
      </c>
      <c r="C972" t="s">
        <v>2543</v>
      </c>
      <c r="D972" t="s">
        <v>385</v>
      </c>
      <c r="E972" s="133">
        <v>45841</v>
      </c>
      <c r="F972" s="2">
        <v>2.4745370370370372E-2</v>
      </c>
      <c r="G972">
        <v>0</v>
      </c>
      <c r="H972" s="133">
        <v>45840</v>
      </c>
      <c r="I972" s="2">
        <v>0.52474537037037039</v>
      </c>
      <c r="J972">
        <v>12</v>
      </c>
      <c r="R972" t="s">
        <v>30</v>
      </c>
      <c r="W972">
        <v>1</v>
      </c>
      <c r="X972" t="s">
        <v>30</v>
      </c>
      <c r="AC972" t="s">
        <v>2544</v>
      </c>
      <c r="AE972" s="135"/>
    </row>
    <row r="973" spans="1:31" ht="12.5" customHeight="1" x14ac:dyDescent="0.35">
      <c r="A973" t="s">
        <v>396</v>
      </c>
      <c r="C973" t="s">
        <v>2545</v>
      </c>
      <c r="D973" t="s">
        <v>385</v>
      </c>
      <c r="E973" s="133">
        <v>45841</v>
      </c>
      <c r="F973" s="2">
        <v>2.4814814814814817E-2</v>
      </c>
      <c r="G973">
        <v>0</v>
      </c>
      <c r="H973" s="133">
        <v>45840</v>
      </c>
      <c r="I973" s="2">
        <v>0.52481481481481485</v>
      </c>
      <c r="J973">
        <v>12</v>
      </c>
      <c r="R973" t="s">
        <v>30</v>
      </c>
      <c r="W973">
        <v>1</v>
      </c>
      <c r="X973" t="s">
        <v>30</v>
      </c>
      <c r="AC973" t="s">
        <v>2546</v>
      </c>
      <c r="AE973" s="135"/>
    </row>
    <row r="974" spans="1:31" ht="12.5" customHeight="1" x14ac:dyDescent="0.35">
      <c r="A974" t="s">
        <v>396</v>
      </c>
      <c r="C974" t="s">
        <v>2547</v>
      </c>
      <c r="D974" t="s">
        <v>385</v>
      </c>
      <c r="E974" s="133">
        <v>45841</v>
      </c>
      <c r="F974" s="2">
        <v>2.4907407407407406E-2</v>
      </c>
      <c r="G974">
        <v>0</v>
      </c>
      <c r="H974" s="133">
        <v>45840</v>
      </c>
      <c r="I974" s="2">
        <v>0.52490740740740738</v>
      </c>
      <c r="J974">
        <v>12</v>
      </c>
      <c r="R974" t="s">
        <v>30</v>
      </c>
      <c r="W974">
        <v>1</v>
      </c>
      <c r="X974" t="s">
        <v>30</v>
      </c>
      <c r="AC974" t="s">
        <v>2548</v>
      </c>
      <c r="AE974" s="135"/>
    </row>
    <row r="975" spans="1:31" ht="12.5" customHeight="1" x14ac:dyDescent="0.35">
      <c r="A975" t="s">
        <v>396</v>
      </c>
      <c r="C975" t="s">
        <v>2549</v>
      </c>
      <c r="D975" t="s">
        <v>385</v>
      </c>
      <c r="E975" s="133">
        <v>45841</v>
      </c>
      <c r="F975" s="2">
        <v>2.4976851851851851E-2</v>
      </c>
      <c r="G975">
        <v>0</v>
      </c>
      <c r="H975" s="133">
        <v>45840</v>
      </c>
      <c r="I975" s="2">
        <v>0.52497685185185183</v>
      </c>
      <c r="J975">
        <v>12</v>
      </c>
      <c r="R975" t="s">
        <v>30</v>
      </c>
      <c r="W975">
        <v>1</v>
      </c>
      <c r="X975" t="s">
        <v>30</v>
      </c>
      <c r="AC975" t="s">
        <v>2550</v>
      </c>
      <c r="AE975" s="135"/>
    </row>
    <row r="976" spans="1:31" ht="12.5" customHeight="1" x14ac:dyDescent="0.35">
      <c r="A976" t="s">
        <v>396</v>
      </c>
      <c r="C976" t="s">
        <v>2551</v>
      </c>
      <c r="D976" t="s">
        <v>385</v>
      </c>
      <c r="E976" s="133">
        <v>45841</v>
      </c>
      <c r="F976" s="2">
        <v>2.5046296296296299E-2</v>
      </c>
      <c r="G976">
        <v>0</v>
      </c>
      <c r="H976" s="133">
        <v>45840</v>
      </c>
      <c r="I976" s="2">
        <v>0.52504629629629629</v>
      </c>
      <c r="J976">
        <v>12</v>
      </c>
      <c r="R976" t="s">
        <v>30</v>
      </c>
      <c r="W976">
        <v>1</v>
      </c>
      <c r="X976" t="s">
        <v>30</v>
      </c>
      <c r="AC976" t="s">
        <v>2552</v>
      </c>
      <c r="AE976" s="135"/>
    </row>
    <row r="977" spans="1:31" ht="12.5" customHeight="1" x14ac:dyDescent="0.35">
      <c r="A977" t="s">
        <v>396</v>
      </c>
      <c r="C977" t="s">
        <v>2553</v>
      </c>
      <c r="D977" t="s">
        <v>385</v>
      </c>
      <c r="E977" s="133">
        <v>45841</v>
      </c>
      <c r="F977" s="2">
        <v>2.5138888888888891E-2</v>
      </c>
      <c r="G977">
        <v>0</v>
      </c>
      <c r="H977" s="133">
        <v>45840</v>
      </c>
      <c r="I977" s="2">
        <v>0.52513888888888893</v>
      </c>
      <c r="J977">
        <v>12</v>
      </c>
      <c r="R977" t="s">
        <v>30</v>
      </c>
      <c r="W977">
        <v>1</v>
      </c>
      <c r="X977" t="s">
        <v>30</v>
      </c>
      <c r="AC977" t="s">
        <v>2554</v>
      </c>
      <c r="AE977" s="135"/>
    </row>
    <row r="978" spans="1:31" ht="12.5" customHeight="1" x14ac:dyDescent="0.35">
      <c r="A978" t="s">
        <v>396</v>
      </c>
      <c r="C978" t="s">
        <v>2555</v>
      </c>
      <c r="D978" t="s">
        <v>385</v>
      </c>
      <c r="E978" s="133">
        <v>45841</v>
      </c>
      <c r="F978" s="2">
        <v>2.5231481481481483E-2</v>
      </c>
      <c r="G978">
        <v>0</v>
      </c>
      <c r="H978" s="133">
        <v>45840</v>
      </c>
      <c r="I978" s="2">
        <v>0.52523148148148147</v>
      </c>
      <c r="J978">
        <v>12</v>
      </c>
      <c r="R978" t="s">
        <v>30</v>
      </c>
      <c r="W978">
        <v>1</v>
      </c>
      <c r="X978" t="s">
        <v>30</v>
      </c>
      <c r="AC978" t="s">
        <v>2556</v>
      </c>
      <c r="AE978" s="135"/>
    </row>
    <row r="979" spans="1:31" ht="12.5" customHeight="1" x14ac:dyDescent="0.35">
      <c r="A979" t="s">
        <v>396</v>
      </c>
      <c r="C979" t="s">
        <v>2557</v>
      </c>
      <c r="D979" t="s">
        <v>385</v>
      </c>
      <c r="E979" s="133">
        <v>45841</v>
      </c>
      <c r="F979" s="2">
        <v>2.5300925925925925E-2</v>
      </c>
      <c r="G979">
        <v>0</v>
      </c>
      <c r="H979" s="133">
        <v>45840</v>
      </c>
      <c r="I979" s="2">
        <v>0.52530092592592592</v>
      </c>
      <c r="J979">
        <v>12</v>
      </c>
      <c r="R979" t="s">
        <v>30</v>
      </c>
      <c r="W979">
        <v>1</v>
      </c>
      <c r="X979" t="s">
        <v>30</v>
      </c>
      <c r="AC979" t="s">
        <v>2558</v>
      </c>
      <c r="AE979" s="135"/>
    </row>
    <row r="980" spans="1:31" ht="12.5" customHeight="1" x14ac:dyDescent="0.35">
      <c r="A980" t="s">
        <v>396</v>
      </c>
      <c r="C980" t="s">
        <v>2559</v>
      </c>
      <c r="D980" t="s">
        <v>385</v>
      </c>
      <c r="E980" s="133">
        <v>45841</v>
      </c>
      <c r="F980" s="2">
        <v>2.539351851851852E-2</v>
      </c>
      <c r="G980">
        <v>0</v>
      </c>
      <c r="H980" s="133">
        <v>45840</v>
      </c>
      <c r="I980" s="2">
        <v>0.52539351851851845</v>
      </c>
      <c r="J980">
        <v>12</v>
      </c>
      <c r="R980" t="s">
        <v>30</v>
      </c>
      <c r="W980">
        <v>1</v>
      </c>
      <c r="X980" t="s">
        <v>30</v>
      </c>
      <c r="AC980" t="s">
        <v>2560</v>
      </c>
      <c r="AE980" s="135"/>
    </row>
    <row r="981" spans="1:31" ht="12.5" customHeight="1" x14ac:dyDescent="0.35">
      <c r="A981" t="s">
        <v>396</v>
      </c>
      <c r="C981" t="s">
        <v>2561</v>
      </c>
      <c r="D981" t="s">
        <v>385</v>
      </c>
      <c r="E981" s="133">
        <v>45841</v>
      </c>
      <c r="F981" s="2">
        <v>2.5462962962962962E-2</v>
      </c>
      <c r="G981">
        <v>0</v>
      </c>
      <c r="H981" s="133">
        <v>45840</v>
      </c>
      <c r="I981" s="2">
        <v>0.52546296296296291</v>
      </c>
      <c r="J981">
        <v>12</v>
      </c>
      <c r="R981" t="s">
        <v>30</v>
      </c>
      <c r="W981">
        <v>1</v>
      </c>
      <c r="X981" t="s">
        <v>30</v>
      </c>
      <c r="AC981" t="s">
        <v>2562</v>
      </c>
      <c r="AE981" s="135"/>
    </row>
    <row r="982" spans="1:31" ht="12.5" customHeight="1" x14ac:dyDescent="0.35">
      <c r="A982" t="s">
        <v>396</v>
      </c>
      <c r="C982" t="s">
        <v>2563</v>
      </c>
      <c r="D982" t="s">
        <v>385</v>
      </c>
      <c r="E982" s="133">
        <v>45841</v>
      </c>
      <c r="F982" s="2">
        <v>2.5532407407407406E-2</v>
      </c>
      <c r="G982">
        <v>0</v>
      </c>
      <c r="H982" s="133">
        <v>45840</v>
      </c>
      <c r="I982" s="2">
        <v>0.52553240740740736</v>
      </c>
      <c r="J982">
        <v>12</v>
      </c>
      <c r="R982" t="s">
        <v>30</v>
      </c>
      <c r="W982">
        <v>1</v>
      </c>
      <c r="X982" t="s">
        <v>30</v>
      </c>
      <c r="AC982" t="s">
        <v>2564</v>
      </c>
      <c r="AE982" s="135"/>
    </row>
    <row r="983" spans="1:31" ht="12.5" customHeight="1" x14ac:dyDescent="0.35">
      <c r="A983" t="s">
        <v>396</v>
      </c>
      <c r="C983" t="s">
        <v>2565</v>
      </c>
      <c r="D983" t="s">
        <v>385</v>
      </c>
      <c r="E983" s="133">
        <v>45841</v>
      </c>
      <c r="F983" s="2">
        <v>2.5624999999999998E-2</v>
      </c>
      <c r="G983">
        <v>0</v>
      </c>
      <c r="H983" s="133">
        <v>45840</v>
      </c>
      <c r="I983" s="2">
        <v>0.52562500000000001</v>
      </c>
      <c r="J983">
        <v>12</v>
      </c>
      <c r="R983" t="s">
        <v>30</v>
      </c>
      <c r="W983">
        <v>1</v>
      </c>
      <c r="X983" t="s">
        <v>30</v>
      </c>
      <c r="AC983" t="s">
        <v>2566</v>
      </c>
      <c r="AE983" s="135"/>
    </row>
    <row r="984" spans="1:31" ht="12.5" customHeight="1" x14ac:dyDescent="0.35">
      <c r="A984" t="s">
        <v>396</v>
      </c>
      <c r="C984" t="s">
        <v>2567</v>
      </c>
      <c r="D984" t="s">
        <v>385</v>
      </c>
      <c r="E984" s="133">
        <v>45841</v>
      </c>
      <c r="F984" s="2">
        <v>2.5694444444444447E-2</v>
      </c>
      <c r="G984">
        <v>0</v>
      </c>
      <c r="H984" s="133">
        <v>45840</v>
      </c>
      <c r="I984" s="2">
        <v>0.52569444444444446</v>
      </c>
      <c r="J984">
        <v>12</v>
      </c>
      <c r="R984" t="s">
        <v>30</v>
      </c>
      <c r="W984">
        <v>1</v>
      </c>
      <c r="X984" t="s">
        <v>30</v>
      </c>
      <c r="AC984" t="s">
        <v>2568</v>
      </c>
      <c r="AE984" s="135"/>
    </row>
    <row r="985" spans="1:31" ht="12.5" customHeight="1" x14ac:dyDescent="0.35">
      <c r="A985" t="s">
        <v>396</v>
      </c>
      <c r="C985" t="s">
        <v>2569</v>
      </c>
      <c r="D985" t="s">
        <v>385</v>
      </c>
      <c r="E985" s="133">
        <v>45841</v>
      </c>
      <c r="F985" s="2">
        <v>2.5787037037037039E-2</v>
      </c>
      <c r="G985">
        <v>0</v>
      </c>
      <c r="H985" s="133">
        <v>45840</v>
      </c>
      <c r="I985" s="2">
        <v>0.52578703703703711</v>
      </c>
      <c r="J985">
        <v>12</v>
      </c>
      <c r="R985" t="s">
        <v>30</v>
      </c>
      <c r="W985">
        <v>1</v>
      </c>
      <c r="X985" t="s">
        <v>30</v>
      </c>
      <c r="AC985" t="s">
        <v>2570</v>
      </c>
      <c r="AE985" s="135"/>
    </row>
    <row r="986" spans="1:31" ht="12.5" customHeight="1" x14ac:dyDescent="0.35">
      <c r="A986" t="s">
        <v>396</v>
      </c>
      <c r="C986" t="s">
        <v>2571</v>
      </c>
      <c r="D986" t="s">
        <v>385</v>
      </c>
      <c r="E986" s="133">
        <v>45841</v>
      </c>
      <c r="F986" s="2">
        <v>2.585648148148148E-2</v>
      </c>
      <c r="G986">
        <v>0</v>
      </c>
      <c r="H986" s="133">
        <v>45840</v>
      </c>
      <c r="I986" s="2">
        <v>0.52585648148148145</v>
      </c>
      <c r="J986">
        <v>12</v>
      </c>
      <c r="R986" t="s">
        <v>30</v>
      </c>
      <c r="W986">
        <v>1</v>
      </c>
      <c r="X986" t="s">
        <v>30</v>
      </c>
      <c r="AC986" t="s">
        <v>2572</v>
      </c>
      <c r="AE986" s="135"/>
    </row>
    <row r="987" spans="1:31" ht="12.5" customHeight="1" x14ac:dyDescent="0.35">
      <c r="A987" t="s">
        <v>396</v>
      </c>
      <c r="C987" t="s">
        <v>2573</v>
      </c>
      <c r="D987" t="s">
        <v>385</v>
      </c>
      <c r="E987" s="133">
        <v>45841</v>
      </c>
      <c r="F987" s="2">
        <v>2.5925925925925925E-2</v>
      </c>
      <c r="G987">
        <v>0</v>
      </c>
      <c r="H987" s="133">
        <v>45840</v>
      </c>
      <c r="I987" s="2">
        <v>0.52592592592592591</v>
      </c>
      <c r="J987">
        <v>12</v>
      </c>
      <c r="R987" t="s">
        <v>30</v>
      </c>
      <c r="W987">
        <v>1</v>
      </c>
      <c r="X987" t="s">
        <v>30</v>
      </c>
      <c r="AC987" t="s">
        <v>2574</v>
      </c>
      <c r="AE987" s="135"/>
    </row>
    <row r="988" spans="1:31" ht="12.5" customHeight="1" x14ac:dyDescent="0.35">
      <c r="A988" t="s">
        <v>396</v>
      </c>
      <c r="C988" t="s">
        <v>2575</v>
      </c>
      <c r="D988" t="s">
        <v>385</v>
      </c>
      <c r="E988" s="133">
        <v>45841</v>
      </c>
      <c r="F988" s="2">
        <v>2.6018518518518521E-2</v>
      </c>
      <c r="G988">
        <v>0</v>
      </c>
      <c r="H988" s="133">
        <v>45840</v>
      </c>
      <c r="I988" s="2">
        <v>0.52601851851851855</v>
      </c>
      <c r="J988">
        <v>12</v>
      </c>
      <c r="R988" t="s">
        <v>30</v>
      </c>
      <c r="W988">
        <v>1</v>
      </c>
      <c r="X988" t="s">
        <v>30</v>
      </c>
      <c r="AC988" t="s">
        <v>2576</v>
      </c>
      <c r="AE988" s="135"/>
    </row>
    <row r="989" spans="1:31" ht="12.5" customHeight="1" x14ac:dyDescent="0.35">
      <c r="A989" t="s">
        <v>396</v>
      </c>
      <c r="C989" t="s">
        <v>2577</v>
      </c>
      <c r="D989" t="s">
        <v>385</v>
      </c>
      <c r="E989" s="133">
        <v>45841</v>
      </c>
      <c r="F989" s="2">
        <v>2.6087962962962966E-2</v>
      </c>
      <c r="G989">
        <v>0</v>
      </c>
      <c r="H989" s="133">
        <v>45840</v>
      </c>
      <c r="I989" s="2">
        <v>0.52608796296296301</v>
      </c>
      <c r="J989">
        <v>12</v>
      </c>
      <c r="R989" t="s">
        <v>30</v>
      </c>
      <c r="W989">
        <v>1</v>
      </c>
      <c r="X989" t="s">
        <v>30</v>
      </c>
      <c r="AC989" t="s">
        <v>2578</v>
      </c>
      <c r="AE989" s="135"/>
    </row>
    <row r="990" spans="1:31" ht="12.5" customHeight="1" x14ac:dyDescent="0.35">
      <c r="A990" t="s">
        <v>396</v>
      </c>
      <c r="C990" t="s">
        <v>2579</v>
      </c>
      <c r="D990" t="s">
        <v>385</v>
      </c>
      <c r="E990" s="133">
        <v>45841</v>
      </c>
      <c r="F990" s="2">
        <v>2.6157407407407407E-2</v>
      </c>
      <c r="G990">
        <v>0</v>
      </c>
      <c r="H990" s="133">
        <v>45840</v>
      </c>
      <c r="I990" s="2">
        <v>0.52615740740740746</v>
      </c>
      <c r="J990">
        <v>12</v>
      </c>
      <c r="R990" t="s">
        <v>30</v>
      </c>
      <c r="W990">
        <v>1</v>
      </c>
      <c r="X990" t="s">
        <v>30</v>
      </c>
      <c r="AC990" t="s">
        <v>2580</v>
      </c>
      <c r="AE990" s="135"/>
    </row>
    <row r="991" spans="1:31" ht="12.5" customHeight="1" x14ac:dyDescent="0.35">
      <c r="A991" t="s">
        <v>396</v>
      </c>
      <c r="C991" t="s">
        <v>2581</v>
      </c>
      <c r="D991" t="s">
        <v>385</v>
      </c>
      <c r="E991" s="133">
        <v>45841</v>
      </c>
      <c r="F991" s="2">
        <v>2.6226851851851852E-2</v>
      </c>
      <c r="G991">
        <v>0</v>
      </c>
      <c r="H991" s="133">
        <v>45840</v>
      </c>
      <c r="I991" s="2">
        <v>0.52622685185185192</v>
      </c>
      <c r="J991">
        <v>12</v>
      </c>
      <c r="R991" t="s">
        <v>30</v>
      </c>
      <c r="W991">
        <v>1</v>
      </c>
      <c r="X991" t="s">
        <v>30</v>
      </c>
      <c r="AC991" t="s">
        <v>2582</v>
      </c>
      <c r="AE991" s="135"/>
    </row>
    <row r="992" spans="1:31" ht="12.5" customHeight="1" x14ac:dyDescent="0.35">
      <c r="A992" t="s">
        <v>396</v>
      </c>
      <c r="C992" t="s">
        <v>2583</v>
      </c>
      <c r="D992" t="s">
        <v>385</v>
      </c>
      <c r="E992" s="133">
        <v>45841</v>
      </c>
      <c r="F992" s="2">
        <v>2.631944444444444E-2</v>
      </c>
      <c r="G992">
        <v>0</v>
      </c>
      <c r="H992" s="133">
        <v>45840</v>
      </c>
      <c r="I992" s="2">
        <v>0.52631944444444445</v>
      </c>
      <c r="J992">
        <v>12</v>
      </c>
      <c r="R992" t="s">
        <v>30</v>
      </c>
      <c r="W992">
        <v>1</v>
      </c>
      <c r="X992" t="s">
        <v>30</v>
      </c>
      <c r="AC992" t="s">
        <v>2584</v>
      </c>
      <c r="AE992" s="135"/>
    </row>
    <row r="993" spans="1:31" ht="12.5" customHeight="1" x14ac:dyDescent="0.35">
      <c r="A993" t="s">
        <v>396</v>
      </c>
      <c r="C993" t="s">
        <v>2585</v>
      </c>
      <c r="D993" t="s">
        <v>385</v>
      </c>
      <c r="E993" s="133">
        <v>45841</v>
      </c>
      <c r="F993" s="2">
        <v>2.6388888888888889E-2</v>
      </c>
      <c r="G993">
        <v>0</v>
      </c>
      <c r="H993" s="133">
        <v>45840</v>
      </c>
      <c r="I993" s="2">
        <v>0.52638888888888891</v>
      </c>
      <c r="J993">
        <v>12</v>
      </c>
      <c r="R993" t="s">
        <v>30</v>
      </c>
      <c r="W993">
        <v>1</v>
      </c>
      <c r="X993" t="s">
        <v>30</v>
      </c>
      <c r="AC993" t="s">
        <v>2586</v>
      </c>
      <c r="AE993" s="135"/>
    </row>
    <row r="994" spans="1:31" ht="12.5" customHeight="1" x14ac:dyDescent="0.35">
      <c r="A994" t="s">
        <v>396</v>
      </c>
      <c r="C994" t="s">
        <v>2587</v>
      </c>
      <c r="D994" t="s">
        <v>385</v>
      </c>
      <c r="E994" s="133">
        <v>45841</v>
      </c>
      <c r="F994" s="2">
        <v>2.6458333333333334E-2</v>
      </c>
      <c r="G994">
        <v>0</v>
      </c>
      <c r="H994" s="133">
        <v>45840</v>
      </c>
      <c r="I994" s="2">
        <v>0.52645833333333336</v>
      </c>
      <c r="J994">
        <v>12</v>
      </c>
      <c r="R994" t="s">
        <v>30</v>
      </c>
      <c r="W994">
        <v>1</v>
      </c>
      <c r="X994" t="s">
        <v>30</v>
      </c>
      <c r="AC994" t="s">
        <v>2588</v>
      </c>
      <c r="AE994" s="135"/>
    </row>
    <row r="995" spans="1:31" ht="12.5" customHeight="1" x14ac:dyDescent="0.35">
      <c r="A995" t="s">
        <v>396</v>
      </c>
      <c r="C995" t="s">
        <v>2589</v>
      </c>
      <c r="D995" t="s">
        <v>385</v>
      </c>
      <c r="E995" s="133">
        <v>45841</v>
      </c>
      <c r="F995" s="2">
        <v>2.6527777777777779E-2</v>
      </c>
      <c r="G995">
        <v>0</v>
      </c>
      <c r="H995" s="133">
        <v>45840</v>
      </c>
      <c r="I995" s="2">
        <v>0.52652777777777782</v>
      </c>
      <c r="J995">
        <v>12</v>
      </c>
      <c r="R995" t="s">
        <v>30</v>
      </c>
      <c r="W995">
        <v>1</v>
      </c>
      <c r="X995" t="s">
        <v>30</v>
      </c>
      <c r="AC995" t="s">
        <v>2590</v>
      </c>
      <c r="AE995" s="135"/>
    </row>
    <row r="996" spans="1:31" ht="12.5" customHeight="1" x14ac:dyDescent="0.35">
      <c r="A996" t="s">
        <v>396</v>
      </c>
      <c r="C996" t="s">
        <v>2591</v>
      </c>
      <c r="D996" t="s">
        <v>385</v>
      </c>
      <c r="E996" s="133">
        <v>45841</v>
      </c>
      <c r="F996" s="2">
        <v>2.6620370370370374E-2</v>
      </c>
      <c r="G996">
        <v>0</v>
      </c>
      <c r="H996" s="133">
        <v>45840</v>
      </c>
      <c r="I996" s="2">
        <v>0.52662037037037035</v>
      </c>
      <c r="J996">
        <v>12</v>
      </c>
      <c r="R996" t="s">
        <v>30</v>
      </c>
      <c r="W996">
        <v>1</v>
      </c>
      <c r="X996" t="s">
        <v>30</v>
      </c>
      <c r="AC996" t="s">
        <v>2592</v>
      </c>
      <c r="AE996" s="135"/>
    </row>
    <row r="997" spans="1:31" ht="12.5" customHeight="1" x14ac:dyDescent="0.35">
      <c r="A997" t="s">
        <v>396</v>
      </c>
      <c r="C997" t="s">
        <v>2593</v>
      </c>
      <c r="D997" t="s">
        <v>385</v>
      </c>
      <c r="E997" s="133">
        <v>45841</v>
      </c>
      <c r="F997" s="2">
        <v>2.6689814814814816E-2</v>
      </c>
      <c r="G997">
        <v>0</v>
      </c>
      <c r="H997" s="133">
        <v>45840</v>
      </c>
      <c r="I997" s="2">
        <v>0.52668981481481481</v>
      </c>
      <c r="J997">
        <v>12</v>
      </c>
      <c r="R997" t="s">
        <v>30</v>
      </c>
      <c r="W997">
        <v>1</v>
      </c>
      <c r="X997" t="s">
        <v>30</v>
      </c>
      <c r="AC997" t="s">
        <v>2594</v>
      </c>
      <c r="AE997" s="135"/>
    </row>
    <row r="998" spans="1:31" ht="12.5" customHeight="1" x14ac:dyDescent="0.35">
      <c r="A998" t="s">
        <v>396</v>
      </c>
      <c r="C998" t="s">
        <v>2595</v>
      </c>
      <c r="D998" t="s">
        <v>385</v>
      </c>
      <c r="E998" s="133">
        <v>45841</v>
      </c>
      <c r="F998" s="2">
        <v>2.6759259259259257E-2</v>
      </c>
      <c r="G998">
        <v>0</v>
      </c>
      <c r="H998" s="133">
        <v>45840</v>
      </c>
      <c r="I998" s="2">
        <v>0.52675925925925926</v>
      </c>
      <c r="J998">
        <v>12</v>
      </c>
      <c r="R998" t="s">
        <v>30</v>
      </c>
      <c r="W998">
        <v>1</v>
      </c>
      <c r="X998" t="s">
        <v>30</v>
      </c>
      <c r="AC998" t="s">
        <v>2596</v>
      </c>
      <c r="AE998" s="135"/>
    </row>
    <row r="999" spans="1:31" ht="12.5" customHeight="1" x14ac:dyDescent="0.35">
      <c r="A999" t="s">
        <v>396</v>
      </c>
      <c r="C999" t="s">
        <v>2597</v>
      </c>
      <c r="D999" t="s">
        <v>385</v>
      </c>
      <c r="E999" s="133">
        <v>45841</v>
      </c>
      <c r="F999" s="2">
        <v>2.6828703703703702E-2</v>
      </c>
      <c r="G999">
        <v>0</v>
      </c>
      <c r="H999" s="133">
        <v>45840</v>
      </c>
      <c r="I999" s="2">
        <v>0.52682870370370372</v>
      </c>
      <c r="J999">
        <v>12</v>
      </c>
      <c r="R999" t="s">
        <v>30</v>
      </c>
      <c r="W999">
        <v>1</v>
      </c>
      <c r="X999" t="s">
        <v>30</v>
      </c>
      <c r="AC999" t="s">
        <v>2598</v>
      </c>
      <c r="AE999" s="135"/>
    </row>
    <row r="1000" spans="1:31" ht="12.5" customHeight="1" x14ac:dyDescent="0.35">
      <c r="A1000" t="s">
        <v>396</v>
      </c>
      <c r="C1000" t="s">
        <v>2599</v>
      </c>
      <c r="D1000" t="s">
        <v>385</v>
      </c>
      <c r="E1000" s="133">
        <v>45841</v>
      </c>
      <c r="F1000" s="2">
        <v>2.6921296296296294E-2</v>
      </c>
      <c r="G1000">
        <v>0</v>
      </c>
      <c r="H1000" s="133">
        <v>45840</v>
      </c>
      <c r="I1000" s="2">
        <v>0.52692129629629625</v>
      </c>
      <c r="J1000">
        <v>12</v>
      </c>
      <c r="R1000" t="s">
        <v>30</v>
      </c>
      <c r="W1000">
        <v>1</v>
      </c>
      <c r="X1000" t="s">
        <v>30</v>
      </c>
      <c r="AC1000" t="s">
        <v>2600</v>
      </c>
      <c r="AE1000" s="135"/>
    </row>
    <row r="1001" spans="1:31" ht="12.5" customHeight="1" x14ac:dyDescent="0.35">
      <c r="A1001" t="s">
        <v>396</v>
      </c>
      <c r="C1001" t="s">
        <v>2601</v>
      </c>
      <c r="D1001" t="s">
        <v>385</v>
      </c>
      <c r="E1001" s="133">
        <v>45841</v>
      </c>
      <c r="F1001" s="2">
        <v>2.6990740740740742E-2</v>
      </c>
      <c r="G1001">
        <v>0</v>
      </c>
      <c r="H1001" s="133">
        <v>45840</v>
      </c>
      <c r="I1001" s="2">
        <v>0.5269907407407407</v>
      </c>
      <c r="J1001">
        <v>12</v>
      </c>
      <c r="R1001" t="s">
        <v>30</v>
      </c>
      <c r="W1001">
        <v>1</v>
      </c>
      <c r="X1001" t="s">
        <v>30</v>
      </c>
      <c r="AC1001" t="s">
        <v>2602</v>
      </c>
      <c r="AE1001" s="135"/>
    </row>
    <row r="1002" spans="1:31" ht="12.5" customHeight="1" x14ac:dyDescent="0.35">
      <c r="A1002" t="s">
        <v>396</v>
      </c>
      <c r="C1002" t="s">
        <v>2603</v>
      </c>
      <c r="D1002" t="s">
        <v>385</v>
      </c>
      <c r="E1002" s="133">
        <v>45841</v>
      </c>
      <c r="F1002" s="2">
        <v>2.7060185185185187E-2</v>
      </c>
      <c r="G1002">
        <v>0</v>
      </c>
      <c r="H1002" s="133">
        <v>45840</v>
      </c>
      <c r="I1002" s="2">
        <v>0.52706018518518516</v>
      </c>
      <c r="J1002">
        <v>12</v>
      </c>
      <c r="R1002" t="s">
        <v>30</v>
      </c>
      <c r="W1002">
        <v>1</v>
      </c>
      <c r="X1002" t="s">
        <v>30</v>
      </c>
      <c r="AC1002" t="s">
        <v>2604</v>
      </c>
      <c r="AE1002" s="135"/>
    </row>
    <row r="1003" spans="1:31" ht="12.5" customHeight="1" x14ac:dyDescent="0.35">
      <c r="A1003" t="s">
        <v>396</v>
      </c>
      <c r="C1003" t="s">
        <v>2605</v>
      </c>
      <c r="D1003" t="s">
        <v>385</v>
      </c>
      <c r="E1003" s="133">
        <v>45841</v>
      </c>
      <c r="F1003" s="2">
        <v>2.7152777777777779E-2</v>
      </c>
      <c r="G1003">
        <v>0</v>
      </c>
      <c r="H1003" s="133">
        <v>45840</v>
      </c>
      <c r="I1003" s="2">
        <v>0.5271527777777778</v>
      </c>
      <c r="J1003">
        <v>12</v>
      </c>
      <c r="R1003" t="s">
        <v>30</v>
      </c>
      <c r="W1003">
        <v>1</v>
      </c>
      <c r="X1003" t="s">
        <v>30</v>
      </c>
      <c r="AC1003" t="s">
        <v>2606</v>
      </c>
      <c r="AE1003" s="135"/>
    </row>
    <row r="1004" spans="1:31" ht="12.5" customHeight="1" x14ac:dyDescent="0.35">
      <c r="A1004" t="s">
        <v>396</v>
      </c>
      <c r="C1004" t="s">
        <v>2607</v>
      </c>
      <c r="D1004" t="s">
        <v>385</v>
      </c>
      <c r="E1004" s="133">
        <v>45841</v>
      </c>
      <c r="F1004" s="2">
        <v>2.7222222222222228E-2</v>
      </c>
      <c r="G1004">
        <v>0</v>
      </c>
      <c r="H1004" s="133">
        <v>45840</v>
      </c>
      <c r="I1004" s="2">
        <v>0.52722222222222226</v>
      </c>
      <c r="J1004">
        <v>12</v>
      </c>
      <c r="R1004" t="s">
        <v>30</v>
      </c>
      <c r="W1004">
        <v>1</v>
      </c>
      <c r="X1004" t="s">
        <v>30</v>
      </c>
      <c r="AC1004" t="s">
        <v>2608</v>
      </c>
      <c r="AE1004" s="135"/>
    </row>
    <row r="1005" spans="1:31" ht="12.5" customHeight="1" x14ac:dyDescent="0.35">
      <c r="A1005" t="s">
        <v>396</v>
      </c>
      <c r="C1005" t="s">
        <v>2609</v>
      </c>
      <c r="D1005" t="s">
        <v>385</v>
      </c>
      <c r="E1005" s="133">
        <v>45841</v>
      </c>
      <c r="F1005" s="2">
        <v>2.7291666666666662E-2</v>
      </c>
      <c r="G1005">
        <v>0</v>
      </c>
      <c r="H1005" s="133">
        <v>45840</v>
      </c>
      <c r="I1005" s="2">
        <v>0.5272916666666666</v>
      </c>
      <c r="J1005">
        <v>12</v>
      </c>
      <c r="R1005" t="s">
        <v>30</v>
      </c>
      <c r="W1005">
        <v>1</v>
      </c>
      <c r="X1005" t="s">
        <v>30</v>
      </c>
      <c r="AC1005" t="s">
        <v>2610</v>
      </c>
      <c r="AE1005" s="135"/>
    </row>
    <row r="1006" spans="1:31" ht="12.5" customHeight="1" x14ac:dyDescent="0.35">
      <c r="A1006" t="s">
        <v>396</v>
      </c>
      <c r="C1006" t="s">
        <v>2611</v>
      </c>
      <c r="D1006" t="s">
        <v>385</v>
      </c>
      <c r="E1006" s="133">
        <v>45841</v>
      </c>
      <c r="F1006" s="2">
        <v>2.7384259259259257E-2</v>
      </c>
      <c r="G1006">
        <v>0</v>
      </c>
      <c r="H1006" s="133">
        <v>45840</v>
      </c>
      <c r="I1006" s="2">
        <v>0.52738425925925925</v>
      </c>
      <c r="J1006">
        <v>12</v>
      </c>
      <c r="R1006" t="s">
        <v>30</v>
      </c>
      <c r="W1006">
        <v>1</v>
      </c>
      <c r="X1006" t="s">
        <v>30</v>
      </c>
      <c r="AC1006" t="s">
        <v>2612</v>
      </c>
      <c r="AE1006" s="135"/>
    </row>
    <row r="1007" spans="1:31" ht="12.5" customHeight="1" x14ac:dyDescent="0.35">
      <c r="A1007" t="s">
        <v>396</v>
      </c>
      <c r="C1007" t="s">
        <v>2613</v>
      </c>
      <c r="D1007" t="s">
        <v>385</v>
      </c>
      <c r="E1007" s="133">
        <v>45841</v>
      </c>
      <c r="F1007" s="2">
        <v>2.7453703703703702E-2</v>
      </c>
      <c r="G1007">
        <v>0</v>
      </c>
      <c r="H1007" s="133">
        <v>45840</v>
      </c>
      <c r="I1007" s="2">
        <v>0.5274537037037037</v>
      </c>
      <c r="J1007">
        <v>12</v>
      </c>
      <c r="R1007" t="s">
        <v>30</v>
      </c>
      <c r="W1007">
        <v>1</v>
      </c>
      <c r="X1007" t="s">
        <v>30</v>
      </c>
      <c r="AC1007" t="s">
        <v>2614</v>
      </c>
      <c r="AE1007" s="135"/>
    </row>
    <row r="1008" spans="1:31" ht="12.5" customHeight="1" x14ac:dyDescent="0.35">
      <c r="A1008" t="s">
        <v>396</v>
      </c>
      <c r="C1008" t="s">
        <v>2615</v>
      </c>
      <c r="D1008" t="s">
        <v>385</v>
      </c>
      <c r="E1008" s="133">
        <v>45841</v>
      </c>
      <c r="F1008" s="2">
        <v>2.7523148148148147E-2</v>
      </c>
      <c r="G1008">
        <v>0</v>
      </c>
      <c r="H1008" s="133">
        <v>45840</v>
      </c>
      <c r="I1008" s="2">
        <v>0.52752314814814816</v>
      </c>
      <c r="J1008">
        <v>12</v>
      </c>
      <c r="R1008" t="s">
        <v>30</v>
      </c>
      <c r="W1008">
        <v>1</v>
      </c>
      <c r="X1008" t="s">
        <v>30</v>
      </c>
      <c r="AC1008" t="s">
        <v>2616</v>
      </c>
      <c r="AE1008" s="135"/>
    </row>
    <row r="1009" spans="1:31" ht="12.5" customHeight="1" x14ac:dyDescent="0.35">
      <c r="A1009" t="s">
        <v>396</v>
      </c>
      <c r="C1009" t="s">
        <v>2617</v>
      </c>
      <c r="D1009" t="s">
        <v>385</v>
      </c>
      <c r="E1009" s="133">
        <v>45841</v>
      </c>
      <c r="F1009" s="2">
        <v>2.7592592592592596E-2</v>
      </c>
      <c r="G1009">
        <v>0</v>
      </c>
      <c r="H1009" s="133">
        <v>45840</v>
      </c>
      <c r="I1009" s="2">
        <v>0.52759259259259261</v>
      </c>
      <c r="J1009">
        <v>12</v>
      </c>
      <c r="R1009" t="s">
        <v>30</v>
      </c>
      <c r="W1009">
        <v>1</v>
      </c>
      <c r="X1009" t="s">
        <v>30</v>
      </c>
      <c r="AC1009" t="s">
        <v>2618</v>
      </c>
      <c r="AE1009" s="135"/>
    </row>
    <row r="1010" spans="1:31" ht="12.5" customHeight="1" x14ac:dyDescent="0.35">
      <c r="A1010" t="s">
        <v>396</v>
      </c>
      <c r="C1010" t="s">
        <v>2619</v>
      </c>
      <c r="D1010" t="s">
        <v>385</v>
      </c>
      <c r="E1010" s="133">
        <v>45841</v>
      </c>
      <c r="F1010" s="2">
        <v>2.7685185185185188E-2</v>
      </c>
      <c r="G1010">
        <v>0</v>
      </c>
      <c r="H1010" s="133">
        <v>45840</v>
      </c>
      <c r="I1010" s="2">
        <v>0.52768518518518526</v>
      </c>
      <c r="J1010">
        <v>12</v>
      </c>
      <c r="R1010" t="s">
        <v>30</v>
      </c>
      <c r="W1010">
        <v>1</v>
      </c>
      <c r="X1010" t="s">
        <v>30</v>
      </c>
      <c r="AC1010" t="s">
        <v>2620</v>
      </c>
      <c r="AE1010" s="135"/>
    </row>
    <row r="1011" spans="1:31" ht="12.5" customHeight="1" x14ac:dyDescent="0.35">
      <c r="A1011" t="s">
        <v>396</v>
      </c>
      <c r="C1011" t="s">
        <v>2621</v>
      </c>
      <c r="D1011" t="s">
        <v>385</v>
      </c>
      <c r="E1011" s="133">
        <v>45841</v>
      </c>
      <c r="F1011" s="2">
        <v>2.7754629629629629E-2</v>
      </c>
      <c r="G1011">
        <v>0</v>
      </c>
      <c r="H1011" s="133">
        <v>45840</v>
      </c>
      <c r="I1011" s="2">
        <v>0.5277546296296296</v>
      </c>
      <c r="J1011">
        <v>12</v>
      </c>
      <c r="R1011" t="s">
        <v>30</v>
      </c>
      <c r="W1011">
        <v>1</v>
      </c>
      <c r="X1011" t="s">
        <v>30</v>
      </c>
      <c r="AC1011" t="s">
        <v>2622</v>
      </c>
      <c r="AE1011" s="135"/>
    </row>
    <row r="1012" spans="1:31" ht="12.5" customHeight="1" x14ac:dyDescent="0.35">
      <c r="A1012" t="s">
        <v>396</v>
      </c>
      <c r="C1012" t="s">
        <v>2623</v>
      </c>
      <c r="D1012" t="s">
        <v>385</v>
      </c>
      <c r="E1012" s="133">
        <v>45841</v>
      </c>
      <c r="F1012" s="2">
        <v>2.7824074074074074E-2</v>
      </c>
      <c r="G1012">
        <v>0</v>
      </c>
      <c r="H1012" s="133">
        <v>45840</v>
      </c>
      <c r="I1012" s="2">
        <v>0.52782407407407406</v>
      </c>
      <c r="J1012">
        <v>12</v>
      </c>
      <c r="R1012" t="s">
        <v>30</v>
      </c>
      <c r="W1012">
        <v>1</v>
      </c>
      <c r="X1012" t="s">
        <v>30</v>
      </c>
      <c r="AC1012" t="s">
        <v>2624</v>
      </c>
      <c r="AE1012" s="135"/>
    </row>
    <row r="1013" spans="1:31" ht="12.5" customHeight="1" x14ac:dyDescent="0.35">
      <c r="A1013" t="s">
        <v>396</v>
      </c>
      <c r="C1013" t="s">
        <v>2625</v>
      </c>
      <c r="D1013" t="s">
        <v>385</v>
      </c>
      <c r="E1013" s="133">
        <v>45841</v>
      </c>
      <c r="F1013" s="2">
        <v>2.7916666666666669E-2</v>
      </c>
      <c r="G1013">
        <v>0</v>
      </c>
      <c r="H1013" s="133">
        <v>45840</v>
      </c>
      <c r="I1013" s="2">
        <v>0.5279166666666667</v>
      </c>
      <c r="J1013">
        <v>12</v>
      </c>
      <c r="R1013" t="s">
        <v>30</v>
      </c>
      <c r="W1013">
        <v>1</v>
      </c>
      <c r="X1013" t="s">
        <v>30</v>
      </c>
      <c r="AC1013" t="s">
        <v>2626</v>
      </c>
      <c r="AE1013" s="135"/>
    </row>
    <row r="1014" spans="1:31" ht="12.5" customHeight="1" x14ac:dyDescent="0.35">
      <c r="A1014" t="s">
        <v>396</v>
      </c>
      <c r="C1014" t="s">
        <v>2627</v>
      </c>
      <c r="D1014" t="s">
        <v>385</v>
      </c>
      <c r="E1014" s="133">
        <v>45841</v>
      </c>
      <c r="F1014" s="2">
        <v>2.7986111111111111E-2</v>
      </c>
      <c r="G1014">
        <v>0</v>
      </c>
      <c r="H1014" s="133">
        <v>45840</v>
      </c>
      <c r="I1014" s="2">
        <v>0.52798611111111116</v>
      </c>
      <c r="J1014">
        <v>12</v>
      </c>
      <c r="R1014" t="s">
        <v>30</v>
      </c>
      <c r="W1014">
        <v>1</v>
      </c>
      <c r="X1014" t="s">
        <v>30</v>
      </c>
      <c r="AC1014" t="s">
        <v>2628</v>
      </c>
      <c r="AE1014" s="135"/>
    </row>
    <row r="1015" spans="1:31" ht="12.5" customHeight="1" x14ac:dyDescent="0.35">
      <c r="A1015" t="s">
        <v>396</v>
      </c>
      <c r="C1015" t="s">
        <v>2629</v>
      </c>
      <c r="D1015" t="s">
        <v>385</v>
      </c>
      <c r="E1015" s="133">
        <v>45841</v>
      </c>
      <c r="F1015" s="2">
        <v>2.8055555555555556E-2</v>
      </c>
      <c r="G1015">
        <v>0</v>
      </c>
      <c r="H1015" s="133">
        <v>45840</v>
      </c>
      <c r="I1015" s="2">
        <v>0.52805555555555561</v>
      </c>
      <c r="J1015">
        <v>12</v>
      </c>
      <c r="R1015" t="s">
        <v>30</v>
      </c>
      <c r="W1015">
        <v>1</v>
      </c>
      <c r="X1015" t="s">
        <v>30</v>
      </c>
      <c r="AC1015" t="s">
        <v>2630</v>
      </c>
      <c r="AE1015" s="135"/>
    </row>
    <row r="1016" spans="1:31" ht="12.5" customHeight="1" x14ac:dyDescent="0.35">
      <c r="A1016" t="s">
        <v>396</v>
      </c>
      <c r="C1016" t="s">
        <v>2631</v>
      </c>
      <c r="D1016" t="s">
        <v>385</v>
      </c>
      <c r="E1016" s="133">
        <v>45841</v>
      </c>
      <c r="F1016" s="2">
        <v>2.8148148148148148E-2</v>
      </c>
      <c r="G1016">
        <v>0</v>
      </c>
      <c r="H1016" s="133">
        <v>45840</v>
      </c>
      <c r="I1016" s="2">
        <v>0.52814814814814814</v>
      </c>
      <c r="J1016">
        <v>12</v>
      </c>
      <c r="R1016" t="s">
        <v>30</v>
      </c>
      <c r="W1016">
        <v>1</v>
      </c>
      <c r="X1016" t="s">
        <v>30</v>
      </c>
      <c r="AC1016" t="s">
        <v>2632</v>
      </c>
      <c r="AE1016" s="135"/>
    </row>
    <row r="1017" spans="1:31" ht="12.5" customHeight="1" x14ac:dyDescent="0.35">
      <c r="A1017" t="s">
        <v>396</v>
      </c>
      <c r="C1017" t="s">
        <v>2633</v>
      </c>
      <c r="D1017" t="s">
        <v>385</v>
      </c>
      <c r="E1017" s="133">
        <v>45841</v>
      </c>
      <c r="F1017" s="2">
        <v>2.8217592592592589E-2</v>
      </c>
      <c r="G1017">
        <v>0</v>
      </c>
      <c r="H1017" s="133">
        <v>45840</v>
      </c>
      <c r="I1017" s="2">
        <v>0.5282175925925926</v>
      </c>
      <c r="J1017">
        <v>12</v>
      </c>
      <c r="R1017" t="s">
        <v>30</v>
      </c>
      <c r="W1017">
        <v>1</v>
      </c>
      <c r="X1017" t="s">
        <v>30</v>
      </c>
      <c r="AC1017" t="s">
        <v>2634</v>
      </c>
      <c r="AE1017" s="135"/>
    </row>
    <row r="1018" spans="1:31" ht="12.5" customHeight="1" x14ac:dyDescent="0.35">
      <c r="A1018" t="s">
        <v>396</v>
      </c>
      <c r="C1018" t="s">
        <v>2635</v>
      </c>
      <c r="D1018" t="s">
        <v>385</v>
      </c>
      <c r="E1018" s="133">
        <v>45841</v>
      </c>
      <c r="F1018" s="2">
        <v>2.8287037037037038E-2</v>
      </c>
      <c r="G1018">
        <v>0</v>
      </c>
      <c r="H1018" s="133">
        <v>45840</v>
      </c>
      <c r="I1018" s="2">
        <v>0.52828703703703705</v>
      </c>
      <c r="J1018">
        <v>12</v>
      </c>
      <c r="R1018" t="s">
        <v>30</v>
      </c>
      <c r="W1018">
        <v>1</v>
      </c>
      <c r="X1018" t="s">
        <v>30</v>
      </c>
      <c r="AC1018" t="s">
        <v>2636</v>
      </c>
      <c r="AE1018" s="135"/>
    </row>
    <row r="1019" spans="1:31" ht="12.5" customHeight="1" x14ac:dyDescent="0.35">
      <c r="A1019" t="s">
        <v>396</v>
      </c>
      <c r="C1019" t="s">
        <v>2637</v>
      </c>
      <c r="D1019" t="s">
        <v>385</v>
      </c>
      <c r="E1019" s="133">
        <v>45841</v>
      </c>
      <c r="F1019" s="2">
        <v>2.837962962962963E-2</v>
      </c>
      <c r="G1019">
        <v>0</v>
      </c>
      <c r="H1019" s="133">
        <v>45840</v>
      </c>
      <c r="I1019" s="2">
        <v>0.52837962962962959</v>
      </c>
      <c r="J1019">
        <v>12</v>
      </c>
      <c r="R1019" t="s">
        <v>30</v>
      </c>
      <c r="W1019">
        <v>1</v>
      </c>
      <c r="X1019" t="s">
        <v>30</v>
      </c>
      <c r="AC1019" t="s">
        <v>2638</v>
      </c>
      <c r="AE1019" s="135"/>
    </row>
    <row r="1020" spans="1:31" ht="12.5" customHeight="1" x14ac:dyDescent="0.35">
      <c r="A1020" t="s">
        <v>396</v>
      </c>
      <c r="C1020" t="s">
        <v>2639</v>
      </c>
      <c r="D1020" t="s">
        <v>385</v>
      </c>
      <c r="E1020" s="133">
        <v>45841</v>
      </c>
      <c r="F1020" s="2">
        <v>2.8449074074074075E-2</v>
      </c>
      <c r="G1020">
        <v>0</v>
      </c>
      <c r="H1020" s="133">
        <v>45840</v>
      </c>
      <c r="I1020" s="2">
        <v>0.52844907407407404</v>
      </c>
      <c r="J1020">
        <v>12</v>
      </c>
      <c r="R1020" t="s">
        <v>30</v>
      </c>
      <c r="W1020">
        <v>1</v>
      </c>
      <c r="X1020" t="s">
        <v>30</v>
      </c>
      <c r="AC1020" t="s">
        <v>2640</v>
      </c>
      <c r="AE1020" s="135"/>
    </row>
    <row r="1021" spans="1:31" ht="12.5" customHeight="1" x14ac:dyDescent="0.35">
      <c r="A1021" t="s">
        <v>396</v>
      </c>
      <c r="C1021" t="s">
        <v>2641</v>
      </c>
      <c r="D1021" t="s">
        <v>385</v>
      </c>
      <c r="E1021" s="133">
        <v>45841</v>
      </c>
      <c r="F1021" s="2">
        <v>2.8518518518518523E-2</v>
      </c>
      <c r="G1021">
        <v>0</v>
      </c>
      <c r="H1021" s="133">
        <v>45840</v>
      </c>
      <c r="I1021" s="2">
        <v>0.5285185185185185</v>
      </c>
      <c r="J1021">
        <v>12</v>
      </c>
      <c r="R1021" t="s">
        <v>30</v>
      </c>
      <c r="W1021">
        <v>1</v>
      </c>
      <c r="X1021" t="s">
        <v>30</v>
      </c>
      <c r="AC1021" t="s">
        <v>2642</v>
      </c>
      <c r="AE1021" s="135"/>
    </row>
    <row r="1022" spans="1:31" ht="12.5" customHeight="1" x14ac:dyDescent="0.35">
      <c r="A1022" t="s">
        <v>396</v>
      </c>
      <c r="C1022" t="s">
        <v>2643</v>
      </c>
      <c r="D1022" t="s">
        <v>385</v>
      </c>
      <c r="E1022" s="133">
        <v>45841</v>
      </c>
      <c r="F1022" s="2">
        <v>2.8611111111111115E-2</v>
      </c>
      <c r="G1022">
        <v>0</v>
      </c>
      <c r="H1022" s="133">
        <v>45840</v>
      </c>
      <c r="I1022" s="2">
        <v>0.52861111111111114</v>
      </c>
      <c r="J1022">
        <v>12</v>
      </c>
      <c r="R1022" t="s">
        <v>30</v>
      </c>
      <c r="W1022">
        <v>1</v>
      </c>
      <c r="X1022" t="s">
        <v>30</v>
      </c>
      <c r="AC1022" t="s">
        <v>2644</v>
      </c>
      <c r="AE1022" s="135"/>
    </row>
    <row r="1023" spans="1:31" ht="12.5" customHeight="1" x14ac:dyDescent="0.35">
      <c r="A1023" t="s">
        <v>396</v>
      </c>
      <c r="C1023" t="s">
        <v>2645</v>
      </c>
      <c r="D1023" t="s">
        <v>385</v>
      </c>
      <c r="E1023" s="133">
        <v>45841</v>
      </c>
      <c r="F1023" s="2">
        <v>2.8680555555555553E-2</v>
      </c>
      <c r="G1023">
        <v>0</v>
      </c>
      <c r="H1023" s="133">
        <v>45840</v>
      </c>
      <c r="I1023" s="2">
        <v>0.52868055555555549</v>
      </c>
      <c r="J1023">
        <v>12</v>
      </c>
      <c r="R1023" t="s">
        <v>30</v>
      </c>
      <c r="W1023">
        <v>1</v>
      </c>
      <c r="X1023" t="s">
        <v>30</v>
      </c>
      <c r="AC1023" t="s">
        <v>2646</v>
      </c>
      <c r="AE1023" s="135"/>
    </row>
    <row r="1024" spans="1:31" ht="12.5" customHeight="1" x14ac:dyDescent="0.35">
      <c r="A1024" t="s">
        <v>396</v>
      </c>
      <c r="C1024" t="s">
        <v>2647</v>
      </c>
      <c r="D1024" t="s">
        <v>385</v>
      </c>
      <c r="E1024" s="133">
        <v>45841</v>
      </c>
      <c r="F1024" s="2">
        <v>2.8749999999999998E-2</v>
      </c>
      <c r="G1024">
        <v>0</v>
      </c>
      <c r="H1024" s="133">
        <v>45840</v>
      </c>
      <c r="I1024" s="2">
        <v>0.52874999999999994</v>
      </c>
      <c r="J1024">
        <v>12</v>
      </c>
      <c r="R1024" t="s">
        <v>30</v>
      </c>
      <c r="W1024">
        <v>1</v>
      </c>
      <c r="X1024" t="s">
        <v>30</v>
      </c>
      <c r="AC1024" t="s">
        <v>2648</v>
      </c>
      <c r="AE1024" s="135"/>
    </row>
    <row r="1025" spans="1:31" ht="12.5" customHeight="1" x14ac:dyDescent="0.35">
      <c r="A1025" t="s">
        <v>396</v>
      </c>
      <c r="C1025" t="s">
        <v>2649</v>
      </c>
      <c r="D1025" t="s">
        <v>385</v>
      </c>
      <c r="E1025" s="133">
        <v>45841</v>
      </c>
      <c r="F1025" s="2">
        <v>2.884259259259259E-2</v>
      </c>
      <c r="G1025">
        <v>0</v>
      </c>
      <c r="H1025" s="133">
        <v>45840</v>
      </c>
      <c r="I1025" s="2">
        <v>0.52884259259259259</v>
      </c>
      <c r="J1025">
        <v>12</v>
      </c>
      <c r="R1025" t="s">
        <v>30</v>
      </c>
      <c r="W1025">
        <v>1</v>
      </c>
      <c r="X1025" t="s">
        <v>30</v>
      </c>
      <c r="AC1025" t="s">
        <v>2650</v>
      </c>
      <c r="AE1025" s="135"/>
    </row>
    <row r="1026" spans="1:31" ht="12.5" customHeight="1" x14ac:dyDescent="0.35">
      <c r="A1026" t="s">
        <v>396</v>
      </c>
      <c r="C1026" t="s">
        <v>2651</v>
      </c>
      <c r="D1026" t="s">
        <v>385</v>
      </c>
      <c r="E1026" s="133">
        <v>45841</v>
      </c>
      <c r="F1026" s="2">
        <v>2.8912037037037038E-2</v>
      </c>
      <c r="G1026">
        <v>0</v>
      </c>
      <c r="H1026" s="133">
        <v>45840</v>
      </c>
      <c r="I1026" s="2">
        <v>0.52891203703703704</v>
      </c>
      <c r="J1026">
        <v>12</v>
      </c>
      <c r="R1026" t="s">
        <v>30</v>
      </c>
      <c r="W1026">
        <v>1</v>
      </c>
      <c r="X1026" t="s">
        <v>30</v>
      </c>
      <c r="AC1026" t="s">
        <v>2652</v>
      </c>
      <c r="AE1026" s="135"/>
    </row>
    <row r="1027" spans="1:31" ht="12.5" customHeight="1" x14ac:dyDescent="0.35">
      <c r="A1027" t="s">
        <v>396</v>
      </c>
      <c r="C1027" t="s">
        <v>2653</v>
      </c>
      <c r="D1027" t="s">
        <v>385</v>
      </c>
      <c r="E1027" s="133">
        <v>45841</v>
      </c>
      <c r="F1027" s="2">
        <v>2.8981481481481483E-2</v>
      </c>
      <c r="G1027">
        <v>0</v>
      </c>
      <c r="H1027" s="133">
        <v>45840</v>
      </c>
      <c r="I1027" s="2">
        <v>0.5289814814814815</v>
      </c>
      <c r="J1027">
        <v>12</v>
      </c>
      <c r="R1027" t="s">
        <v>30</v>
      </c>
      <c r="W1027">
        <v>1</v>
      </c>
      <c r="X1027" t="s">
        <v>30</v>
      </c>
      <c r="AC1027" t="s">
        <v>2654</v>
      </c>
      <c r="AE1027" s="135"/>
    </row>
    <row r="1028" spans="1:31" ht="12.5" customHeight="1" x14ac:dyDescent="0.35">
      <c r="A1028" t="s">
        <v>396</v>
      </c>
      <c r="C1028" t="s">
        <v>2655</v>
      </c>
      <c r="D1028" t="s">
        <v>385</v>
      </c>
      <c r="E1028" s="133">
        <v>45841</v>
      </c>
      <c r="F1028" s="2">
        <v>2.9074074074074075E-2</v>
      </c>
      <c r="G1028">
        <v>0</v>
      </c>
      <c r="H1028" s="133">
        <v>45840</v>
      </c>
      <c r="I1028" s="2">
        <v>0.52907407407407414</v>
      </c>
      <c r="J1028">
        <v>12</v>
      </c>
      <c r="R1028" t="s">
        <v>30</v>
      </c>
      <c r="W1028">
        <v>1</v>
      </c>
      <c r="X1028" t="s">
        <v>30</v>
      </c>
      <c r="AC1028" t="s">
        <v>2656</v>
      </c>
      <c r="AE1028" s="135"/>
    </row>
    <row r="1029" spans="1:31" ht="12.5" customHeight="1" x14ac:dyDescent="0.35">
      <c r="A1029" t="s">
        <v>396</v>
      </c>
      <c r="C1029" t="s">
        <v>2657</v>
      </c>
      <c r="D1029" t="s">
        <v>385</v>
      </c>
      <c r="E1029" s="133">
        <v>45841</v>
      </c>
      <c r="F1029" s="2">
        <v>2.9143518518518517E-2</v>
      </c>
      <c r="G1029">
        <v>0</v>
      </c>
      <c r="H1029" s="133">
        <v>45840</v>
      </c>
      <c r="I1029" s="2">
        <v>0.52914351851851849</v>
      </c>
      <c r="J1029">
        <v>12</v>
      </c>
      <c r="R1029" t="s">
        <v>30</v>
      </c>
      <c r="W1029">
        <v>1</v>
      </c>
      <c r="X1029" t="s">
        <v>30</v>
      </c>
      <c r="AC1029" t="s">
        <v>2658</v>
      </c>
      <c r="AE1029" s="135"/>
    </row>
    <row r="1030" spans="1:31" ht="12.5" customHeight="1" x14ac:dyDescent="0.35">
      <c r="A1030" t="s">
        <v>396</v>
      </c>
      <c r="C1030" t="s">
        <v>2659</v>
      </c>
      <c r="D1030" t="s">
        <v>385</v>
      </c>
      <c r="E1030" s="133">
        <v>45841</v>
      </c>
      <c r="F1030" s="2">
        <v>2.9212962962962965E-2</v>
      </c>
      <c r="G1030">
        <v>0</v>
      </c>
      <c r="H1030" s="133">
        <v>45840</v>
      </c>
      <c r="I1030" s="2">
        <v>0.52921296296296294</v>
      </c>
      <c r="J1030">
        <v>12</v>
      </c>
      <c r="R1030" t="s">
        <v>30</v>
      </c>
      <c r="W1030">
        <v>1</v>
      </c>
      <c r="X1030" t="s">
        <v>282</v>
      </c>
      <c r="AC1030" t="s">
        <v>2660</v>
      </c>
      <c r="AE1030" s="135"/>
    </row>
    <row r="1031" spans="1:31" ht="12.5" customHeight="1" x14ac:dyDescent="0.35">
      <c r="A1031" t="s">
        <v>396</v>
      </c>
      <c r="C1031" t="s">
        <v>2661</v>
      </c>
      <c r="D1031" t="s">
        <v>385</v>
      </c>
      <c r="E1031" s="133">
        <v>45841</v>
      </c>
      <c r="F1031" s="2">
        <v>2.9305555555555557E-2</v>
      </c>
      <c r="G1031">
        <v>0</v>
      </c>
      <c r="H1031" s="133">
        <v>45840</v>
      </c>
      <c r="I1031" s="2">
        <v>0.52930555555555558</v>
      </c>
      <c r="J1031">
        <v>12</v>
      </c>
      <c r="R1031" t="s">
        <v>30</v>
      </c>
      <c r="W1031">
        <v>1</v>
      </c>
      <c r="X1031" t="s">
        <v>30</v>
      </c>
      <c r="AC1031" t="s">
        <v>2662</v>
      </c>
      <c r="AE1031" s="135"/>
    </row>
    <row r="1032" spans="1:31" ht="12.5" customHeight="1" x14ac:dyDescent="0.35">
      <c r="A1032" t="s">
        <v>396</v>
      </c>
      <c r="C1032" t="s">
        <v>2663</v>
      </c>
      <c r="D1032" t="s">
        <v>385</v>
      </c>
      <c r="E1032" s="133">
        <v>45841</v>
      </c>
      <c r="F1032" s="2">
        <v>2.9374999999999998E-2</v>
      </c>
      <c r="G1032">
        <v>0</v>
      </c>
      <c r="H1032" s="133">
        <v>45840</v>
      </c>
      <c r="I1032" s="2">
        <v>0.52937500000000004</v>
      </c>
      <c r="J1032">
        <v>12</v>
      </c>
      <c r="R1032" t="s">
        <v>30</v>
      </c>
      <c r="W1032">
        <v>1</v>
      </c>
      <c r="X1032" t="s">
        <v>30</v>
      </c>
      <c r="AC1032" t="s">
        <v>2664</v>
      </c>
      <c r="AE1032" s="135"/>
    </row>
    <row r="1033" spans="1:31" ht="12.5" customHeight="1" x14ac:dyDescent="0.35">
      <c r="A1033" t="s">
        <v>396</v>
      </c>
      <c r="C1033" t="s">
        <v>2665</v>
      </c>
      <c r="D1033" t="s">
        <v>385</v>
      </c>
      <c r="E1033" s="133">
        <v>45841</v>
      </c>
      <c r="F1033" s="2">
        <v>2.946759259259259E-2</v>
      </c>
      <c r="G1033">
        <v>0</v>
      </c>
      <c r="H1033" s="133">
        <v>45840</v>
      </c>
      <c r="I1033" s="2">
        <v>0.52946759259259257</v>
      </c>
      <c r="J1033">
        <v>12</v>
      </c>
      <c r="R1033" t="s">
        <v>30</v>
      </c>
      <c r="W1033">
        <v>1</v>
      </c>
      <c r="X1033" t="s">
        <v>30</v>
      </c>
      <c r="AC1033" t="s">
        <v>2666</v>
      </c>
      <c r="AE1033" s="135"/>
    </row>
    <row r="1034" spans="1:31" ht="12.5" customHeight="1" x14ac:dyDescent="0.35">
      <c r="A1034" t="s">
        <v>396</v>
      </c>
      <c r="C1034" t="s">
        <v>2667</v>
      </c>
      <c r="D1034" t="s">
        <v>385</v>
      </c>
      <c r="E1034" s="133">
        <v>45841</v>
      </c>
      <c r="F1034" s="2">
        <v>2.9537037037037039E-2</v>
      </c>
      <c r="G1034">
        <v>0</v>
      </c>
      <c r="H1034" s="133">
        <v>45840</v>
      </c>
      <c r="I1034" s="2">
        <v>0.52953703703703703</v>
      </c>
      <c r="J1034">
        <v>12</v>
      </c>
      <c r="R1034" t="s">
        <v>30</v>
      </c>
      <c r="W1034">
        <v>1</v>
      </c>
      <c r="X1034" t="s">
        <v>30</v>
      </c>
      <c r="AC1034" t="s">
        <v>2668</v>
      </c>
      <c r="AE1034" s="135"/>
    </row>
    <row r="1035" spans="1:31" ht="12.5" customHeight="1" x14ac:dyDescent="0.35">
      <c r="A1035" t="s">
        <v>396</v>
      </c>
      <c r="C1035" t="s">
        <v>2669</v>
      </c>
      <c r="D1035" t="s">
        <v>385</v>
      </c>
      <c r="E1035" s="133">
        <v>45841</v>
      </c>
      <c r="F1035" s="2">
        <v>2.960648148148148E-2</v>
      </c>
      <c r="G1035">
        <v>0</v>
      </c>
      <c r="H1035" s="133">
        <v>45840</v>
      </c>
      <c r="I1035" s="2">
        <v>0.52960648148148148</v>
      </c>
      <c r="J1035">
        <v>12</v>
      </c>
      <c r="R1035" t="s">
        <v>30</v>
      </c>
      <c r="W1035">
        <v>1</v>
      </c>
      <c r="X1035" t="s">
        <v>30</v>
      </c>
      <c r="AC1035" t="s">
        <v>2670</v>
      </c>
      <c r="AE1035" s="135"/>
    </row>
    <row r="1036" spans="1:31" ht="12.5" customHeight="1" x14ac:dyDescent="0.35">
      <c r="A1036" t="s">
        <v>396</v>
      </c>
      <c r="C1036" t="s">
        <v>2671</v>
      </c>
      <c r="D1036" t="s">
        <v>385</v>
      </c>
      <c r="E1036" s="133">
        <v>45841</v>
      </c>
      <c r="F1036" s="2">
        <v>2.9699074074074072E-2</v>
      </c>
      <c r="G1036">
        <v>0</v>
      </c>
      <c r="H1036" s="133">
        <v>45840</v>
      </c>
      <c r="I1036" s="2">
        <v>0.52969907407407402</v>
      </c>
      <c r="J1036">
        <v>12</v>
      </c>
      <c r="R1036" t="s">
        <v>30</v>
      </c>
      <c r="W1036">
        <v>1</v>
      </c>
      <c r="X1036" t="s">
        <v>30</v>
      </c>
      <c r="AC1036" t="s">
        <v>2672</v>
      </c>
      <c r="AE1036" s="135"/>
    </row>
    <row r="1037" spans="1:31" ht="12.5" customHeight="1" x14ac:dyDescent="0.35">
      <c r="A1037" t="s">
        <v>396</v>
      </c>
      <c r="C1037" t="s">
        <v>2673</v>
      </c>
      <c r="D1037" t="s">
        <v>385</v>
      </c>
      <c r="E1037" s="133">
        <v>45841</v>
      </c>
      <c r="F1037" s="2">
        <v>2.9768518518518517E-2</v>
      </c>
      <c r="G1037">
        <v>0</v>
      </c>
      <c r="H1037" s="133">
        <v>45840</v>
      </c>
      <c r="I1037" s="2">
        <v>0.52976851851851847</v>
      </c>
      <c r="J1037">
        <v>12</v>
      </c>
      <c r="R1037" t="s">
        <v>30</v>
      </c>
      <c r="W1037">
        <v>1</v>
      </c>
      <c r="X1037" t="s">
        <v>30</v>
      </c>
      <c r="AC1037" t="s">
        <v>2674</v>
      </c>
      <c r="AE1037" s="135"/>
    </row>
    <row r="1038" spans="1:31" ht="12.5" customHeight="1" x14ac:dyDescent="0.35">
      <c r="A1038" t="s">
        <v>396</v>
      </c>
      <c r="C1038" t="s">
        <v>2675</v>
      </c>
      <c r="D1038" t="s">
        <v>385</v>
      </c>
      <c r="E1038" s="133">
        <v>45841</v>
      </c>
      <c r="F1038" s="2">
        <v>2.9861111111111113E-2</v>
      </c>
      <c r="G1038">
        <v>0</v>
      </c>
      <c r="H1038" s="133">
        <v>45840</v>
      </c>
      <c r="I1038" s="2">
        <v>0.52986111111111112</v>
      </c>
      <c r="J1038">
        <v>12</v>
      </c>
      <c r="R1038" t="s">
        <v>30</v>
      </c>
      <c r="W1038">
        <v>1</v>
      </c>
      <c r="X1038" t="s">
        <v>30</v>
      </c>
      <c r="AC1038" t="s">
        <v>2676</v>
      </c>
      <c r="AE1038" s="135"/>
    </row>
    <row r="1039" spans="1:31" ht="12.5" customHeight="1" x14ac:dyDescent="0.35">
      <c r="A1039" t="s">
        <v>396</v>
      </c>
      <c r="C1039" t="s">
        <v>2677</v>
      </c>
      <c r="D1039" t="s">
        <v>385</v>
      </c>
      <c r="E1039" s="133">
        <v>45841</v>
      </c>
      <c r="F1039" s="2">
        <v>2.9953703703703705E-2</v>
      </c>
      <c r="G1039">
        <v>0</v>
      </c>
      <c r="H1039" s="133">
        <v>45840</v>
      </c>
      <c r="I1039" s="2">
        <v>0.52995370370370376</v>
      </c>
      <c r="J1039">
        <v>12</v>
      </c>
      <c r="R1039" t="s">
        <v>30</v>
      </c>
      <c r="W1039">
        <v>1</v>
      </c>
      <c r="X1039" t="s">
        <v>30</v>
      </c>
      <c r="AC1039" t="s">
        <v>2678</v>
      </c>
      <c r="AE1039" s="135"/>
    </row>
    <row r="1040" spans="1:31" ht="12.5" customHeight="1" x14ac:dyDescent="0.35">
      <c r="A1040" t="s">
        <v>396</v>
      </c>
      <c r="C1040" t="s">
        <v>2679</v>
      </c>
      <c r="D1040" t="s">
        <v>385</v>
      </c>
      <c r="E1040" s="133">
        <v>45841</v>
      </c>
      <c r="F1040" s="2">
        <v>3.0023148148148149E-2</v>
      </c>
      <c r="G1040">
        <v>0</v>
      </c>
      <c r="H1040" s="133">
        <v>45840</v>
      </c>
      <c r="I1040" s="2">
        <v>0.53002314814814822</v>
      </c>
      <c r="J1040">
        <v>12</v>
      </c>
      <c r="R1040" t="s">
        <v>30</v>
      </c>
      <c r="W1040">
        <v>1</v>
      </c>
      <c r="X1040" t="s">
        <v>30</v>
      </c>
      <c r="AC1040" t="s">
        <v>2680</v>
      </c>
      <c r="AE1040" s="135"/>
    </row>
    <row r="1041" spans="1:31" ht="12.5" customHeight="1" x14ac:dyDescent="0.35">
      <c r="A1041" t="s">
        <v>396</v>
      </c>
      <c r="C1041" t="s">
        <v>2681</v>
      </c>
      <c r="D1041" t="s">
        <v>385</v>
      </c>
      <c r="E1041" s="133">
        <v>45841</v>
      </c>
      <c r="F1041" s="2">
        <v>3.0092592592592591E-2</v>
      </c>
      <c r="G1041">
        <v>0</v>
      </c>
      <c r="H1041" s="133">
        <v>45840</v>
      </c>
      <c r="I1041" s="2">
        <v>0.53009259259259256</v>
      </c>
      <c r="J1041">
        <v>12</v>
      </c>
      <c r="R1041" t="s">
        <v>30</v>
      </c>
      <c r="W1041">
        <v>1</v>
      </c>
      <c r="X1041" t="s">
        <v>30</v>
      </c>
      <c r="AC1041" t="s">
        <v>2682</v>
      </c>
      <c r="AE1041" s="135"/>
    </row>
    <row r="1042" spans="1:31" ht="12.5" customHeight="1" x14ac:dyDescent="0.35">
      <c r="A1042" t="s">
        <v>396</v>
      </c>
      <c r="C1042" t="s">
        <v>2683</v>
      </c>
      <c r="D1042" t="s">
        <v>385</v>
      </c>
      <c r="E1042" s="133">
        <v>45841</v>
      </c>
      <c r="F1042" s="2">
        <v>3.0185185185185186E-2</v>
      </c>
      <c r="G1042">
        <v>0</v>
      </c>
      <c r="H1042" s="133">
        <v>45840</v>
      </c>
      <c r="I1042" s="2">
        <v>0.5301851851851852</v>
      </c>
      <c r="J1042">
        <v>12</v>
      </c>
      <c r="R1042" t="s">
        <v>30</v>
      </c>
      <c r="W1042">
        <v>1</v>
      </c>
      <c r="X1042" t="s">
        <v>30</v>
      </c>
      <c r="AC1042" t="s">
        <v>2684</v>
      </c>
      <c r="AE1042" s="135"/>
    </row>
    <row r="1043" spans="1:31" ht="12.5" customHeight="1" x14ac:dyDescent="0.35">
      <c r="A1043" t="s">
        <v>396</v>
      </c>
      <c r="C1043" t="s">
        <v>2685</v>
      </c>
      <c r="D1043" t="s">
        <v>385</v>
      </c>
      <c r="E1043" s="133">
        <v>45841</v>
      </c>
      <c r="F1043" s="2">
        <v>3.0254629629629631E-2</v>
      </c>
      <c r="G1043">
        <v>0</v>
      </c>
      <c r="H1043" s="133">
        <v>45840</v>
      </c>
      <c r="I1043" s="2">
        <v>0.53025462962962966</v>
      </c>
      <c r="J1043">
        <v>12</v>
      </c>
      <c r="R1043" t="s">
        <v>30</v>
      </c>
      <c r="W1043">
        <v>1</v>
      </c>
      <c r="X1043" t="s">
        <v>30</v>
      </c>
      <c r="AC1043" t="s">
        <v>2686</v>
      </c>
      <c r="AE1043" s="135"/>
    </row>
    <row r="1044" spans="1:31" ht="12.5" customHeight="1" x14ac:dyDescent="0.35">
      <c r="A1044" t="s">
        <v>396</v>
      </c>
      <c r="C1044" t="s">
        <v>2687</v>
      </c>
      <c r="D1044" t="s">
        <v>385</v>
      </c>
      <c r="E1044" s="133">
        <v>45841</v>
      </c>
      <c r="F1044" s="2">
        <v>3.0324074074074073E-2</v>
      </c>
      <c r="G1044">
        <v>0</v>
      </c>
      <c r="H1044" s="133">
        <v>45840</v>
      </c>
      <c r="I1044" s="2">
        <v>0.53032407407407411</v>
      </c>
      <c r="J1044">
        <v>12</v>
      </c>
      <c r="R1044" t="s">
        <v>30</v>
      </c>
      <c r="W1044">
        <v>1</v>
      </c>
      <c r="X1044" t="s">
        <v>30</v>
      </c>
      <c r="AC1044" t="s">
        <v>2688</v>
      </c>
      <c r="AE1044" s="135"/>
    </row>
    <row r="1045" spans="1:31" ht="12.5" customHeight="1" x14ac:dyDescent="0.35">
      <c r="A1045" t="s">
        <v>396</v>
      </c>
      <c r="C1045" t="s">
        <v>2689</v>
      </c>
      <c r="D1045" t="s">
        <v>385</v>
      </c>
      <c r="E1045" s="133">
        <v>45841</v>
      </c>
      <c r="F1045" s="2">
        <v>3.0416666666666665E-2</v>
      </c>
      <c r="G1045">
        <v>0</v>
      </c>
      <c r="H1045" s="133">
        <v>45840</v>
      </c>
      <c r="I1045" s="2">
        <v>0.53041666666666665</v>
      </c>
      <c r="J1045">
        <v>12</v>
      </c>
      <c r="R1045" t="s">
        <v>30</v>
      </c>
      <c r="W1045">
        <v>1</v>
      </c>
      <c r="X1045" t="s">
        <v>30</v>
      </c>
      <c r="AC1045" t="s">
        <v>2690</v>
      </c>
      <c r="AE1045" s="135"/>
    </row>
    <row r="1046" spans="1:31" ht="12.5" customHeight="1" x14ac:dyDescent="0.35">
      <c r="A1046" t="s">
        <v>396</v>
      </c>
      <c r="C1046" t="s">
        <v>2691</v>
      </c>
      <c r="D1046" t="s">
        <v>385</v>
      </c>
      <c r="E1046" s="133">
        <v>45841</v>
      </c>
      <c r="F1046" s="2">
        <v>3.0486111111111113E-2</v>
      </c>
      <c r="G1046">
        <v>0</v>
      </c>
      <c r="H1046" s="133">
        <v>45840</v>
      </c>
      <c r="I1046" s="2">
        <v>0.5304861111111111</v>
      </c>
      <c r="J1046">
        <v>12</v>
      </c>
      <c r="R1046" t="s">
        <v>30</v>
      </c>
      <c r="W1046">
        <v>1</v>
      </c>
      <c r="X1046" t="s">
        <v>30</v>
      </c>
      <c r="AC1046" t="s">
        <v>2692</v>
      </c>
      <c r="AE1046" s="135"/>
    </row>
    <row r="1047" spans="1:31" ht="12.5" customHeight="1" x14ac:dyDescent="0.35">
      <c r="A1047" t="s">
        <v>396</v>
      </c>
      <c r="C1047" t="s">
        <v>2693</v>
      </c>
      <c r="D1047" t="s">
        <v>385</v>
      </c>
      <c r="E1047" s="133">
        <v>45841</v>
      </c>
      <c r="F1047" s="2">
        <v>3.0578703703703702E-2</v>
      </c>
      <c r="G1047">
        <v>0</v>
      </c>
      <c r="H1047" s="133">
        <v>45840</v>
      </c>
      <c r="I1047" s="2">
        <v>0.53057870370370364</v>
      </c>
      <c r="J1047">
        <v>12</v>
      </c>
      <c r="R1047" t="s">
        <v>30</v>
      </c>
      <c r="W1047">
        <v>1</v>
      </c>
      <c r="X1047" t="s">
        <v>30</v>
      </c>
      <c r="AC1047" t="s">
        <v>2694</v>
      </c>
      <c r="AE1047" s="135"/>
    </row>
    <row r="1048" spans="1:31" ht="12.5" customHeight="1" x14ac:dyDescent="0.35">
      <c r="A1048" t="s">
        <v>396</v>
      </c>
      <c r="C1048" t="s">
        <v>2695</v>
      </c>
      <c r="D1048" t="s">
        <v>385</v>
      </c>
      <c r="E1048" s="133">
        <v>45841</v>
      </c>
      <c r="F1048" s="2">
        <v>3.0648148148148147E-2</v>
      </c>
      <c r="G1048">
        <v>0</v>
      </c>
      <c r="H1048" s="133">
        <v>45840</v>
      </c>
      <c r="I1048" s="2">
        <v>0.53064814814814809</v>
      </c>
      <c r="J1048">
        <v>12</v>
      </c>
      <c r="R1048" t="s">
        <v>30</v>
      </c>
      <c r="W1048">
        <v>1</v>
      </c>
      <c r="X1048" t="s">
        <v>30</v>
      </c>
      <c r="AC1048" t="s">
        <v>2696</v>
      </c>
      <c r="AE1048" s="135"/>
    </row>
    <row r="1049" spans="1:31" ht="12.5" customHeight="1" x14ac:dyDescent="0.35">
      <c r="A1049" t="s">
        <v>396</v>
      </c>
      <c r="C1049" t="s">
        <v>2697</v>
      </c>
      <c r="D1049" t="s">
        <v>385</v>
      </c>
      <c r="E1049" s="133">
        <v>45841</v>
      </c>
      <c r="F1049" s="2">
        <v>3.0717592592592591E-2</v>
      </c>
      <c r="G1049">
        <v>0</v>
      </c>
      <c r="H1049" s="133">
        <v>45840</v>
      </c>
      <c r="I1049" s="2">
        <v>0.53071759259259255</v>
      </c>
      <c r="J1049">
        <v>12</v>
      </c>
      <c r="R1049" t="s">
        <v>30</v>
      </c>
      <c r="W1049">
        <v>1</v>
      </c>
      <c r="X1049" t="s">
        <v>30</v>
      </c>
      <c r="AC1049" t="s">
        <v>2698</v>
      </c>
      <c r="AE1049" s="135"/>
    </row>
    <row r="1050" spans="1:31" ht="12.5" customHeight="1" x14ac:dyDescent="0.35">
      <c r="A1050" t="s">
        <v>396</v>
      </c>
      <c r="C1050" t="s">
        <v>2699</v>
      </c>
      <c r="D1050" t="s">
        <v>385</v>
      </c>
      <c r="E1050" s="133">
        <v>45841</v>
      </c>
      <c r="F1050" s="2">
        <v>3.0810185185185187E-2</v>
      </c>
      <c r="G1050">
        <v>0</v>
      </c>
      <c r="H1050" s="133">
        <v>45840</v>
      </c>
      <c r="I1050" s="2">
        <v>0.53081018518518519</v>
      </c>
      <c r="J1050">
        <v>12</v>
      </c>
      <c r="R1050" t="s">
        <v>30</v>
      </c>
      <c r="W1050">
        <v>1</v>
      </c>
      <c r="X1050" t="s">
        <v>30</v>
      </c>
      <c r="AC1050" t="s">
        <v>2700</v>
      </c>
      <c r="AE1050" s="135"/>
    </row>
    <row r="1051" spans="1:31" ht="12.5" customHeight="1" x14ac:dyDescent="0.35">
      <c r="A1051" t="s">
        <v>396</v>
      </c>
      <c r="C1051" t="s">
        <v>2701</v>
      </c>
      <c r="D1051" t="s">
        <v>385</v>
      </c>
      <c r="E1051" s="133">
        <v>45841</v>
      </c>
      <c r="F1051" s="2">
        <v>3.0879629629629632E-2</v>
      </c>
      <c r="G1051">
        <v>0</v>
      </c>
      <c r="H1051" s="133">
        <v>45840</v>
      </c>
      <c r="I1051" s="2">
        <v>0.53087962962962965</v>
      </c>
      <c r="J1051">
        <v>12</v>
      </c>
      <c r="R1051" t="s">
        <v>30</v>
      </c>
      <c r="W1051">
        <v>1</v>
      </c>
      <c r="X1051" t="s">
        <v>30</v>
      </c>
      <c r="AC1051" t="s">
        <v>2702</v>
      </c>
      <c r="AE1051" s="135"/>
    </row>
    <row r="1052" spans="1:31" ht="12.5" customHeight="1" x14ac:dyDescent="0.35">
      <c r="A1052" t="s">
        <v>396</v>
      </c>
      <c r="C1052" t="s">
        <v>2703</v>
      </c>
      <c r="D1052" t="s">
        <v>385</v>
      </c>
      <c r="E1052" s="133">
        <v>45841</v>
      </c>
      <c r="F1052" s="2">
        <v>3.0972222222222224E-2</v>
      </c>
      <c r="G1052">
        <v>0</v>
      </c>
      <c r="H1052" s="133">
        <v>45840</v>
      </c>
      <c r="I1052" s="2">
        <v>0.53097222222222229</v>
      </c>
      <c r="J1052">
        <v>12</v>
      </c>
      <c r="R1052" t="s">
        <v>30</v>
      </c>
      <c r="W1052">
        <v>1</v>
      </c>
      <c r="X1052" t="s">
        <v>30</v>
      </c>
      <c r="AC1052" t="s">
        <v>2704</v>
      </c>
      <c r="AE1052" s="135"/>
    </row>
    <row r="1053" spans="1:31" ht="12.5" customHeight="1" x14ac:dyDescent="0.35">
      <c r="A1053" t="s">
        <v>396</v>
      </c>
      <c r="C1053" t="s">
        <v>2705</v>
      </c>
      <c r="D1053" t="s">
        <v>385</v>
      </c>
      <c r="E1053" s="133">
        <v>45841</v>
      </c>
      <c r="F1053" s="2">
        <v>3.1041666666666665E-2</v>
      </c>
      <c r="G1053">
        <v>0</v>
      </c>
      <c r="H1053" s="133">
        <v>45840</v>
      </c>
      <c r="I1053" s="2">
        <v>0.53104166666666663</v>
      </c>
      <c r="J1053">
        <v>12</v>
      </c>
      <c r="K1053" t="s">
        <v>384</v>
      </c>
      <c r="L1053" t="s">
        <v>390</v>
      </c>
      <c r="R1053" t="s">
        <v>432</v>
      </c>
      <c r="S1053">
        <v>4</v>
      </c>
      <c r="T1053">
        <v>0</v>
      </c>
      <c r="U1053">
        <v>0</v>
      </c>
      <c r="V1053">
        <v>0</v>
      </c>
      <c r="W1053">
        <v>1</v>
      </c>
      <c r="X1053" t="s">
        <v>282</v>
      </c>
      <c r="AC1053" t="s">
        <v>2706</v>
      </c>
      <c r="AE1053" s="135"/>
    </row>
    <row r="1054" spans="1:31" ht="12.5" customHeight="1" x14ac:dyDescent="0.35">
      <c r="A1054" t="s">
        <v>396</v>
      </c>
      <c r="C1054" t="s">
        <v>2707</v>
      </c>
      <c r="D1054" t="s">
        <v>385</v>
      </c>
      <c r="E1054" s="133">
        <v>45841</v>
      </c>
      <c r="F1054" s="2">
        <v>3.1134259259259261E-2</v>
      </c>
      <c r="G1054">
        <v>0</v>
      </c>
      <c r="H1054" s="133">
        <v>45840</v>
      </c>
      <c r="I1054" s="2">
        <v>0.53113425925925928</v>
      </c>
      <c r="J1054">
        <v>12</v>
      </c>
      <c r="K1054" t="s">
        <v>434</v>
      </c>
      <c r="R1054" t="s">
        <v>384</v>
      </c>
      <c r="S1054">
        <v>6</v>
      </c>
      <c r="T1054">
        <v>4</v>
      </c>
      <c r="U1054" t="s">
        <v>393</v>
      </c>
      <c r="V1054" t="s">
        <v>2708</v>
      </c>
      <c r="W1054">
        <v>1</v>
      </c>
      <c r="X1054" t="s">
        <v>282</v>
      </c>
      <c r="AC1054" t="s">
        <v>2709</v>
      </c>
      <c r="AE1054" s="135"/>
    </row>
    <row r="1055" spans="1:31" ht="12.5" customHeight="1" x14ac:dyDescent="0.35">
      <c r="A1055" t="s">
        <v>396</v>
      </c>
      <c r="C1055" t="s">
        <v>2710</v>
      </c>
      <c r="D1055" t="s">
        <v>385</v>
      </c>
      <c r="E1055" s="133">
        <v>45841</v>
      </c>
      <c r="F1055" s="2">
        <v>3.1203703703703702E-2</v>
      </c>
      <c r="G1055">
        <v>0</v>
      </c>
      <c r="H1055" s="133">
        <v>45840</v>
      </c>
      <c r="I1055" s="2">
        <v>0.53120370370370373</v>
      </c>
      <c r="J1055">
        <v>12</v>
      </c>
      <c r="R1055" t="s">
        <v>384</v>
      </c>
      <c r="S1055">
        <v>3</v>
      </c>
      <c r="T1055">
        <v>3</v>
      </c>
      <c r="U1055">
        <v>1</v>
      </c>
      <c r="V1055" t="s">
        <v>2711</v>
      </c>
      <c r="W1055">
        <v>1</v>
      </c>
      <c r="X1055" t="s">
        <v>282</v>
      </c>
      <c r="AC1055" t="s">
        <v>2712</v>
      </c>
      <c r="AE1055" s="135"/>
    </row>
    <row r="1056" spans="1:31" ht="12.5" customHeight="1" x14ac:dyDescent="0.35">
      <c r="A1056" t="s">
        <v>396</v>
      </c>
      <c r="C1056" t="s">
        <v>2713</v>
      </c>
      <c r="D1056" t="s">
        <v>385</v>
      </c>
      <c r="E1056" s="133">
        <v>45841</v>
      </c>
      <c r="F1056" s="2">
        <v>3.1273148148148147E-2</v>
      </c>
      <c r="G1056">
        <v>0</v>
      </c>
      <c r="H1056" s="133">
        <v>45840</v>
      </c>
      <c r="I1056" s="2">
        <v>0.53127314814814819</v>
      </c>
      <c r="J1056">
        <v>12</v>
      </c>
      <c r="R1056" t="s">
        <v>384</v>
      </c>
      <c r="S1056">
        <v>8</v>
      </c>
      <c r="T1056">
        <v>8</v>
      </c>
      <c r="U1056">
        <v>1</v>
      </c>
      <c r="V1056" t="s">
        <v>2714</v>
      </c>
      <c r="W1056">
        <v>1</v>
      </c>
      <c r="X1056" t="s">
        <v>282</v>
      </c>
      <c r="AC1056" t="s">
        <v>2715</v>
      </c>
      <c r="AE1056" s="135"/>
    </row>
    <row r="1057" spans="1:31" ht="12.5" customHeight="1" x14ac:dyDescent="0.35">
      <c r="A1057" t="s">
        <v>396</v>
      </c>
      <c r="C1057" t="s">
        <v>2716</v>
      </c>
      <c r="D1057" t="s">
        <v>385</v>
      </c>
      <c r="E1057" s="133">
        <v>45841</v>
      </c>
      <c r="F1057" s="2">
        <v>3.1365740740740743E-2</v>
      </c>
      <c r="G1057">
        <v>0</v>
      </c>
      <c r="H1057" s="133">
        <v>45840</v>
      </c>
      <c r="I1057" s="2">
        <v>0.53136574074074072</v>
      </c>
      <c r="J1057">
        <v>12</v>
      </c>
      <c r="R1057" t="s">
        <v>30</v>
      </c>
      <c r="W1057">
        <v>1</v>
      </c>
      <c r="X1057" t="s">
        <v>30</v>
      </c>
      <c r="AC1057" t="s">
        <v>2717</v>
      </c>
      <c r="AE1057" s="135"/>
    </row>
    <row r="1058" spans="1:31" ht="12.5" customHeight="1" x14ac:dyDescent="0.35">
      <c r="A1058" t="s">
        <v>396</v>
      </c>
      <c r="C1058" t="s">
        <v>2718</v>
      </c>
      <c r="D1058" t="s">
        <v>385</v>
      </c>
      <c r="E1058" s="133">
        <v>45841</v>
      </c>
      <c r="F1058" s="2">
        <v>3.1435185185185184E-2</v>
      </c>
      <c r="G1058">
        <v>0</v>
      </c>
      <c r="H1058" s="133">
        <v>45840</v>
      </c>
      <c r="I1058" s="2">
        <v>0.53143518518518518</v>
      </c>
      <c r="J1058">
        <v>12</v>
      </c>
      <c r="R1058" t="s">
        <v>30</v>
      </c>
      <c r="W1058">
        <v>1</v>
      </c>
      <c r="X1058" t="s">
        <v>30</v>
      </c>
      <c r="AC1058" t="s">
        <v>2719</v>
      </c>
      <c r="AE1058" s="135"/>
    </row>
    <row r="1059" spans="1:31" ht="12.5" customHeight="1" x14ac:dyDescent="0.35">
      <c r="A1059" t="s">
        <v>396</v>
      </c>
      <c r="C1059" t="s">
        <v>2720</v>
      </c>
      <c r="D1059" t="s">
        <v>385</v>
      </c>
      <c r="E1059" s="133">
        <v>45841</v>
      </c>
      <c r="F1059" s="2">
        <v>3.1504629629629625E-2</v>
      </c>
      <c r="G1059">
        <v>0</v>
      </c>
      <c r="H1059" s="133">
        <v>45840</v>
      </c>
      <c r="I1059" s="2">
        <v>0.53150462962962963</v>
      </c>
      <c r="J1059">
        <v>12</v>
      </c>
      <c r="R1059" t="s">
        <v>30</v>
      </c>
      <c r="W1059">
        <v>1</v>
      </c>
      <c r="X1059" t="s">
        <v>30</v>
      </c>
      <c r="AC1059" t="s">
        <v>2721</v>
      </c>
      <c r="AE1059" s="135"/>
    </row>
    <row r="1060" spans="1:31" ht="12.5" customHeight="1" x14ac:dyDescent="0.35">
      <c r="A1060" t="s">
        <v>396</v>
      </c>
      <c r="C1060" t="s">
        <v>2722</v>
      </c>
      <c r="D1060" t="s">
        <v>385</v>
      </c>
      <c r="E1060" s="133">
        <v>45841</v>
      </c>
      <c r="F1060" s="2">
        <v>3.1597222222222221E-2</v>
      </c>
      <c r="G1060">
        <v>0</v>
      </c>
      <c r="H1060" s="133">
        <v>45840</v>
      </c>
      <c r="I1060" s="2">
        <v>0.53159722222222217</v>
      </c>
      <c r="J1060">
        <v>12</v>
      </c>
      <c r="R1060" t="s">
        <v>30</v>
      </c>
      <c r="W1060">
        <v>1</v>
      </c>
      <c r="X1060" t="s">
        <v>30</v>
      </c>
      <c r="AC1060" t="s">
        <v>2723</v>
      </c>
      <c r="AE1060" s="135"/>
    </row>
    <row r="1061" spans="1:31" ht="12.5" customHeight="1" x14ac:dyDescent="0.35">
      <c r="A1061" t="s">
        <v>396</v>
      </c>
      <c r="C1061" t="s">
        <v>2724</v>
      </c>
      <c r="D1061" t="s">
        <v>385</v>
      </c>
      <c r="E1061" s="133">
        <v>45841</v>
      </c>
      <c r="F1061" s="2">
        <v>3.1666666666666669E-2</v>
      </c>
      <c r="G1061">
        <v>0</v>
      </c>
      <c r="H1061" s="133">
        <v>45840</v>
      </c>
      <c r="I1061" s="2">
        <v>0.53166666666666662</v>
      </c>
      <c r="J1061">
        <v>12</v>
      </c>
      <c r="R1061" t="s">
        <v>30</v>
      </c>
      <c r="W1061">
        <v>1</v>
      </c>
      <c r="X1061" t="s">
        <v>30</v>
      </c>
      <c r="AC1061" t="s">
        <v>2725</v>
      </c>
      <c r="AE1061" s="135"/>
    </row>
    <row r="1062" spans="1:31" ht="12.5" customHeight="1" x14ac:dyDescent="0.35">
      <c r="A1062" t="s">
        <v>396</v>
      </c>
      <c r="C1062" t="s">
        <v>2726</v>
      </c>
      <c r="D1062" t="s">
        <v>385</v>
      </c>
      <c r="E1062" s="133">
        <v>45841</v>
      </c>
      <c r="F1062" s="2">
        <v>3.1736111111111111E-2</v>
      </c>
      <c r="G1062">
        <v>0</v>
      </c>
      <c r="H1062" s="133">
        <v>45840</v>
      </c>
      <c r="I1062" s="2">
        <v>0.53173611111111108</v>
      </c>
      <c r="J1062">
        <v>12</v>
      </c>
      <c r="R1062" t="s">
        <v>30</v>
      </c>
      <c r="W1062">
        <v>1</v>
      </c>
      <c r="X1062" t="s">
        <v>30</v>
      </c>
      <c r="AC1062" t="s">
        <v>2727</v>
      </c>
      <c r="AE1062" s="135"/>
    </row>
    <row r="1063" spans="1:31" ht="12.5" customHeight="1" x14ac:dyDescent="0.35">
      <c r="A1063" t="s">
        <v>396</v>
      </c>
      <c r="C1063" t="s">
        <v>2728</v>
      </c>
      <c r="D1063" t="s">
        <v>385</v>
      </c>
      <c r="E1063" s="133">
        <v>45841</v>
      </c>
      <c r="F1063" s="2">
        <v>3.1828703703703706E-2</v>
      </c>
      <c r="G1063">
        <v>0</v>
      </c>
      <c r="H1063" s="133">
        <v>45840</v>
      </c>
      <c r="I1063" s="2">
        <v>0.53182870370370372</v>
      </c>
      <c r="J1063">
        <v>12</v>
      </c>
      <c r="R1063" t="s">
        <v>30</v>
      </c>
      <c r="W1063">
        <v>1</v>
      </c>
      <c r="X1063" t="s">
        <v>30</v>
      </c>
      <c r="AC1063" t="s">
        <v>2729</v>
      </c>
      <c r="AE1063" s="135"/>
    </row>
    <row r="1064" spans="1:31" ht="12.5" customHeight="1" x14ac:dyDescent="0.35">
      <c r="A1064" t="s">
        <v>396</v>
      </c>
      <c r="C1064" t="s">
        <v>2730</v>
      </c>
      <c r="D1064" t="s">
        <v>385</v>
      </c>
      <c r="E1064" s="133">
        <v>45841</v>
      </c>
      <c r="F1064" s="2">
        <v>3.1921296296296302E-2</v>
      </c>
      <c r="G1064">
        <v>0</v>
      </c>
      <c r="H1064" s="133">
        <v>45840</v>
      </c>
      <c r="I1064" s="2">
        <v>0.53192129629629636</v>
      </c>
      <c r="J1064">
        <v>12</v>
      </c>
      <c r="R1064" t="s">
        <v>30</v>
      </c>
      <c r="W1064">
        <v>1</v>
      </c>
      <c r="X1064" t="s">
        <v>30</v>
      </c>
      <c r="AC1064" t="s">
        <v>2731</v>
      </c>
      <c r="AE1064" s="135"/>
    </row>
    <row r="1065" spans="1:31" ht="12.5" customHeight="1" x14ac:dyDescent="0.35">
      <c r="A1065" t="s">
        <v>396</v>
      </c>
      <c r="C1065" t="s">
        <v>2732</v>
      </c>
      <c r="D1065" t="s">
        <v>385</v>
      </c>
      <c r="E1065" s="133">
        <v>45841</v>
      </c>
      <c r="F1065" s="2">
        <v>3.1990740740740743E-2</v>
      </c>
      <c r="G1065">
        <v>0</v>
      </c>
      <c r="H1065" s="133">
        <v>45840</v>
      </c>
      <c r="I1065" s="2">
        <v>0.53199074074074071</v>
      </c>
      <c r="J1065">
        <v>12</v>
      </c>
      <c r="R1065" t="s">
        <v>30</v>
      </c>
      <c r="W1065">
        <v>1</v>
      </c>
      <c r="X1065" t="s">
        <v>30</v>
      </c>
      <c r="AC1065" t="s">
        <v>2733</v>
      </c>
      <c r="AE1065" s="135"/>
    </row>
    <row r="1066" spans="1:31" ht="12.5" customHeight="1" x14ac:dyDescent="0.35">
      <c r="A1066" t="s">
        <v>396</v>
      </c>
      <c r="C1066" t="s">
        <v>2734</v>
      </c>
      <c r="D1066" t="s">
        <v>385</v>
      </c>
      <c r="E1066" s="133">
        <v>45841</v>
      </c>
      <c r="F1066" s="2">
        <v>3.2060185185185185E-2</v>
      </c>
      <c r="G1066">
        <v>0</v>
      </c>
      <c r="H1066" s="133">
        <v>45840</v>
      </c>
      <c r="I1066" s="2">
        <v>0.53206018518518516</v>
      </c>
      <c r="J1066">
        <v>12</v>
      </c>
      <c r="R1066" t="s">
        <v>30</v>
      </c>
      <c r="W1066">
        <v>1</v>
      </c>
      <c r="X1066" t="s">
        <v>30</v>
      </c>
      <c r="AC1066" t="s">
        <v>2735</v>
      </c>
      <c r="AE1066" s="135"/>
    </row>
    <row r="1067" spans="1:31" ht="12.5" customHeight="1" x14ac:dyDescent="0.35">
      <c r="A1067" t="s">
        <v>396</v>
      </c>
      <c r="C1067" t="s">
        <v>2736</v>
      </c>
      <c r="D1067" t="s">
        <v>385</v>
      </c>
      <c r="E1067" s="133">
        <v>45841</v>
      </c>
      <c r="F1067" s="2">
        <v>3.2152777777777773E-2</v>
      </c>
      <c r="G1067">
        <v>0</v>
      </c>
      <c r="H1067" s="133">
        <v>45840</v>
      </c>
      <c r="I1067" s="2">
        <v>0.53215277777777781</v>
      </c>
      <c r="J1067">
        <v>12</v>
      </c>
      <c r="R1067" t="s">
        <v>30</v>
      </c>
      <c r="W1067">
        <v>1</v>
      </c>
      <c r="X1067" t="s">
        <v>30</v>
      </c>
      <c r="AC1067" t="s">
        <v>2737</v>
      </c>
      <c r="AE1067" s="135"/>
    </row>
    <row r="1068" spans="1:31" ht="12.5" customHeight="1" x14ac:dyDescent="0.35">
      <c r="A1068" t="s">
        <v>396</v>
      </c>
      <c r="C1068" t="s">
        <v>2738</v>
      </c>
      <c r="D1068" t="s">
        <v>385</v>
      </c>
      <c r="E1068" s="133">
        <v>45841</v>
      </c>
      <c r="F1068" s="2">
        <v>3.2222222222222222E-2</v>
      </c>
      <c r="G1068">
        <v>0</v>
      </c>
      <c r="H1068" s="133">
        <v>45840</v>
      </c>
      <c r="I1068" s="2">
        <v>0.53222222222222226</v>
      </c>
      <c r="J1068">
        <v>12</v>
      </c>
      <c r="R1068" t="s">
        <v>30</v>
      </c>
      <c r="W1068">
        <v>1</v>
      </c>
      <c r="X1068" t="s">
        <v>30</v>
      </c>
      <c r="AC1068" t="s">
        <v>2739</v>
      </c>
      <c r="AE1068" s="135"/>
    </row>
    <row r="1069" spans="1:31" ht="12.5" customHeight="1" x14ac:dyDescent="0.35">
      <c r="A1069" t="s">
        <v>396</v>
      </c>
      <c r="C1069" t="s">
        <v>2740</v>
      </c>
      <c r="D1069" t="s">
        <v>385</v>
      </c>
      <c r="E1069" s="133">
        <v>45841</v>
      </c>
      <c r="F1069" s="2">
        <v>3.229166666666667E-2</v>
      </c>
      <c r="G1069">
        <v>0</v>
      </c>
      <c r="H1069" s="133">
        <v>45840</v>
      </c>
      <c r="I1069" s="2">
        <v>0.53229166666666672</v>
      </c>
      <c r="J1069">
        <v>12</v>
      </c>
      <c r="R1069" t="s">
        <v>30</v>
      </c>
      <c r="W1069">
        <v>1</v>
      </c>
      <c r="X1069" t="s">
        <v>30</v>
      </c>
      <c r="AC1069" t="s">
        <v>2741</v>
      </c>
      <c r="AE1069" s="135"/>
    </row>
    <row r="1070" spans="1:31" ht="12.5" customHeight="1" x14ac:dyDescent="0.35">
      <c r="A1070" t="s">
        <v>396</v>
      </c>
      <c r="C1070" t="s">
        <v>2742</v>
      </c>
      <c r="D1070" t="s">
        <v>385</v>
      </c>
      <c r="E1070" s="133">
        <v>45841</v>
      </c>
      <c r="F1070" s="2">
        <v>3.2384259259259258E-2</v>
      </c>
      <c r="G1070">
        <v>0</v>
      </c>
      <c r="H1070" s="133">
        <v>45840</v>
      </c>
      <c r="I1070" s="2">
        <v>0.53238425925925925</v>
      </c>
      <c r="J1070">
        <v>12</v>
      </c>
      <c r="R1070" t="s">
        <v>30</v>
      </c>
      <c r="W1070">
        <v>1</v>
      </c>
      <c r="X1070" t="s">
        <v>30</v>
      </c>
      <c r="AC1070" t="s">
        <v>2743</v>
      </c>
      <c r="AE1070" s="135"/>
    </row>
    <row r="1071" spans="1:31" ht="12.5" customHeight="1" x14ac:dyDescent="0.35">
      <c r="A1071" t="s">
        <v>396</v>
      </c>
      <c r="C1071" t="s">
        <v>2744</v>
      </c>
      <c r="D1071" t="s">
        <v>385</v>
      </c>
      <c r="E1071" s="133">
        <v>45841</v>
      </c>
      <c r="F1071" s="2">
        <v>3.24537037037037E-2</v>
      </c>
      <c r="G1071">
        <v>0</v>
      </c>
      <c r="H1071" s="133">
        <v>45840</v>
      </c>
      <c r="I1071" s="2">
        <v>0.53245370370370371</v>
      </c>
      <c r="J1071">
        <v>12</v>
      </c>
      <c r="R1071" t="s">
        <v>30</v>
      </c>
      <c r="W1071">
        <v>1</v>
      </c>
      <c r="X1071" t="s">
        <v>30</v>
      </c>
      <c r="AC1071" t="s">
        <v>2745</v>
      </c>
      <c r="AE1071" s="135"/>
    </row>
    <row r="1072" spans="1:31" ht="12.5" customHeight="1" x14ac:dyDescent="0.35">
      <c r="A1072" t="s">
        <v>396</v>
      </c>
      <c r="C1072" t="s">
        <v>2746</v>
      </c>
      <c r="D1072" t="s">
        <v>385</v>
      </c>
      <c r="E1072" s="133">
        <v>45841</v>
      </c>
      <c r="F1072" s="2">
        <v>3.2546296296296295E-2</v>
      </c>
      <c r="G1072">
        <v>0</v>
      </c>
      <c r="H1072" s="133">
        <v>45840</v>
      </c>
      <c r="I1072" s="2">
        <v>0.53254629629629624</v>
      </c>
      <c r="J1072">
        <v>12</v>
      </c>
      <c r="R1072" t="s">
        <v>30</v>
      </c>
      <c r="W1072">
        <v>1</v>
      </c>
      <c r="X1072" t="s">
        <v>30</v>
      </c>
      <c r="AC1072" t="s">
        <v>2747</v>
      </c>
      <c r="AE1072" s="135"/>
    </row>
    <row r="1073" spans="1:31" ht="12.5" customHeight="1" x14ac:dyDescent="0.35">
      <c r="A1073" t="s">
        <v>396</v>
      </c>
      <c r="C1073" t="s">
        <v>2748</v>
      </c>
      <c r="D1073" t="s">
        <v>385</v>
      </c>
      <c r="E1073" s="133">
        <v>45841</v>
      </c>
      <c r="F1073" s="2">
        <v>3.2615740740740744E-2</v>
      </c>
      <c r="G1073">
        <v>0</v>
      </c>
      <c r="H1073" s="133">
        <v>45840</v>
      </c>
      <c r="I1073" s="2">
        <v>0.5326157407407407</v>
      </c>
      <c r="J1073">
        <v>12</v>
      </c>
      <c r="R1073" t="s">
        <v>30</v>
      </c>
      <c r="W1073">
        <v>1</v>
      </c>
      <c r="X1073" t="s">
        <v>30</v>
      </c>
      <c r="AC1073" t="s">
        <v>2749</v>
      </c>
      <c r="AE1073" s="135"/>
    </row>
    <row r="1074" spans="1:31" ht="12.5" customHeight="1" x14ac:dyDescent="0.35">
      <c r="A1074" t="s">
        <v>396</v>
      </c>
      <c r="C1074" t="s">
        <v>2750</v>
      </c>
      <c r="D1074" t="s">
        <v>385</v>
      </c>
      <c r="E1074" s="133">
        <v>45841</v>
      </c>
      <c r="F1074" s="2">
        <v>3.2708333333333332E-2</v>
      </c>
      <c r="G1074">
        <v>0</v>
      </c>
      <c r="H1074" s="133">
        <v>45840</v>
      </c>
      <c r="I1074" s="2">
        <v>0.53270833333333334</v>
      </c>
      <c r="J1074">
        <v>12</v>
      </c>
      <c r="R1074" t="s">
        <v>30</v>
      </c>
      <c r="W1074">
        <v>1</v>
      </c>
      <c r="X1074" t="s">
        <v>30</v>
      </c>
      <c r="AC1074" t="s">
        <v>2751</v>
      </c>
      <c r="AE1074" s="135"/>
    </row>
    <row r="1075" spans="1:31" ht="12.5" customHeight="1" x14ac:dyDescent="0.35">
      <c r="A1075" t="s">
        <v>396</v>
      </c>
      <c r="C1075" t="s">
        <v>2752</v>
      </c>
      <c r="D1075" t="s">
        <v>385</v>
      </c>
      <c r="E1075" s="133">
        <v>45841</v>
      </c>
      <c r="F1075" s="2">
        <v>3.2777777777777781E-2</v>
      </c>
      <c r="G1075">
        <v>0</v>
      </c>
      <c r="H1075" s="133">
        <v>45840</v>
      </c>
      <c r="I1075" s="2">
        <v>0.53277777777777779</v>
      </c>
      <c r="J1075">
        <v>12</v>
      </c>
      <c r="R1075" t="s">
        <v>30</v>
      </c>
      <c r="W1075">
        <v>1</v>
      </c>
      <c r="X1075" t="s">
        <v>30</v>
      </c>
      <c r="AC1075" t="s">
        <v>2753</v>
      </c>
      <c r="AE1075" s="135"/>
    </row>
    <row r="1076" spans="1:31" ht="12.5" customHeight="1" x14ac:dyDescent="0.35">
      <c r="A1076" t="s">
        <v>396</v>
      </c>
      <c r="C1076" t="s">
        <v>2754</v>
      </c>
      <c r="D1076" t="s">
        <v>385</v>
      </c>
      <c r="E1076" s="133">
        <v>45841</v>
      </c>
      <c r="F1076" s="2">
        <v>3.2870370370370376E-2</v>
      </c>
      <c r="G1076">
        <v>0</v>
      </c>
      <c r="H1076" s="133">
        <v>45840</v>
      </c>
      <c r="I1076" s="2">
        <v>0.53287037037037044</v>
      </c>
      <c r="J1076">
        <v>12</v>
      </c>
      <c r="R1076" t="s">
        <v>30</v>
      </c>
      <c r="W1076">
        <v>1</v>
      </c>
      <c r="X1076" t="s">
        <v>30</v>
      </c>
      <c r="AC1076" t="s">
        <v>2755</v>
      </c>
      <c r="AE1076" s="135"/>
    </row>
    <row r="1077" spans="1:31" ht="12.5" customHeight="1" x14ac:dyDescent="0.35">
      <c r="A1077" t="s">
        <v>396</v>
      </c>
      <c r="C1077" t="s">
        <v>2756</v>
      </c>
      <c r="D1077" t="s">
        <v>385</v>
      </c>
      <c r="E1077" s="133">
        <v>45841</v>
      </c>
      <c r="F1077" s="2">
        <v>3.2939814814814811E-2</v>
      </c>
      <c r="G1077">
        <v>0</v>
      </c>
      <c r="H1077" s="133">
        <v>45840</v>
      </c>
      <c r="I1077" s="2">
        <v>0.53293981481481478</v>
      </c>
      <c r="J1077">
        <v>12</v>
      </c>
      <c r="R1077" t="s">
        <v>30</v>
      </c>
      <c r="W1077">
        <v>1</v>
      </c>
      <c r="X1077" t="s">
        <v>30</v>
      </c>
      <c r="AC1077" t="s">
        <v>2757</v>
      </c>
      <c r="AE1077" s="135"/>
    </row>
    <row r="1078" spans="1:31" ht="12.5" customHeight="1" x14ac:dyDescent="0.35">
      <c r="A1078" t="s">
        <v>396</v>
      </c>
      <c r="C1078" t="s">
        <v>2758</v>
      </c>
      <c r="D1078" t="s">
        <v>385</v>
      </c>
      <c r="E1078" s="133">
        <v>45841</v>
      </c>
      <c r="F1078" s="2">
        <v>3.3032407407407406E-2</v>
      </c>
      <c r="G1078">
        <v>0</v>
      </c>
      <c r="H1078" s="133">
        <v>45840</v>
      </c>
      <c r="I1078" s="2">
        <v>0.53303240740740743</v>
      </c>
      <c r="J1078">
        <v>12</v>
      </c>
      <c r="R1078" t="s">
        <v>30</v>
      </c>
      <c r="W1078">
        <v>1</v>
      </c>
      <c r="X1078" t="s">
        <v>30</v>
      </c>
      <c r="AC1078" t="s">
        <v>2759</v>
      </c>
      <c r="AE1078" s="135"/>
    </row>
    <row r="1079" spans="1:31" ht="12.5" customHeight="1" x14ac:dyDescent="0.35">
      <c r="A1079" t="s">
        <v>396</v>
      </c>
      <c r="C1079" t="s">
        <v>2760</v>
      </c>
      <c r="D1079" t="s">
        <v>385</v>
      </c>
      <c r="E1079" s="133">
        <v>45841</v>
      </c>
      <c r="F1079" s="2">
        <v>3.3125000000000002E-2</v>
      </c>
      <c r="G1079">
        <v>0</v>
      </c>
      <c r="H1079" s="133">
        <v>45840</v>
      </c>
      <c r="I1079" s="2">
        <v>0.53312499999999996</v>
      </c>
      <c r="J1079">
        <v>12</v>
      </c>
      <c r="R1079" t="s">
        <v>30</v>
      </c>
      <c r="W1079">
        <v>1</v>
      </c>
      <c r="X1079" t="s">
        <v>30</v>
      </c>
      <c r="AC1079" t="s">
        <v>2761</v>
      </c>
      <c r="AE1079" s="135"/>
    </row>
    <row r="1080" spans="1:31" ht="12.5" customHeight="1" x14ac:dyDescent="0.35">
      <c r="A1080" t="s">
        <v>396</v>
      </c>
      <c r="C1080" t="s">
        <v>2762</v>
      </c>
      <c r="D1080" t="s">
        <v>385</v>
      </c>
      <c r="E1080" s="133">
        <v>45841</v>
      </c>
      <c r="F1080" s="2">
        <v>3.3194444444444443E-2</v>
      </c>
      <c r="G1080">
        <v>0</v>
      </c>
      <c r="H1080" s="133">
        <v>45840</v>
      </c>
      <c r="I1080" s="2">
        <v>0.53319444444444442</v>
      </c>
      <c r="J1080">
        <v>12</v>
      </c>
      <c r="R1080" t="s">
        <v>30</v>
      </c>
      <c r="W1080">
        <v>1</v>
      </c>
      <c r="X1080" t="s">
        <v>30</v>
      </c>
      <c r="AC1080" t="s">
        <v>2763</v>
      </c>
      <c r="AE1080" s="135"/>
    </row>
    <row r="1081" spans="1:31" ht="12.5" customHeight="1" x14ac:dyDescent="0.35">
      <c r="A1081" t="s">
        <v>396</v>
      </c>
      <c r="C1081" t="s">
        <v>2764</v>
      </c>
      <c r="D1081" t="s">
        <v>385</v>
      </c>
      <c r="E1081" s="133">
        <v>45841</v>
      </c>
      <c r="F1081" s="2">
        <v>3.3263888888888891E-2</v>
      </c>
      <c r="G1081">
        <v>0</v>
      </c>
      <c r="H1081" s="133">
        <v>45840</v>
      </c>
      <c r="I1081" s="2">
        <v>0.53326388888888887</v>
      </c>
      <c r="J1081">
        <v>12</v>
      </c>
      <c r="R1081" t="s">
        <v>30</v>
      </c>
      <c r="W1081">
        <v>1</v>
      </c>
      <c r="X1081" t="s">
        <v>30</v>
      </c>
      <c r="AC1081" t="s">
        <v>2765</v>
      </c>
      <c r="AE1081" s="135"/>
    </row>
    <row r="1082" spans="1:31" ht="12.5" customHeight="1" x14ac:dyDescent="0.35">
      <c r="A1082" t="s">
        <v>396</v>
      </c>
      <c r="C1082" t="s">
        <v>2766</v>
      </c>
      <c r="D1082" t="s">
        <v>385</v>
      </c>
      <c r="E1082" s="133">
        <v>45841</v>
      </c>
      <c r="F1082" s="2">
        <v>3.335648148148148E-2</v>
      </c>
      <c r="G1082">
        <v>0</v>
      </c>
      <c r="H1082" s="133">
        <v>45840</v>
      </c>
      <c r="I1082" s="2">
        <v>0.53335648148148151</v>
      </c>
      <c r="J1082">
        <v>12</v>
      </c>
      <c r="R1082" t="s">
        <v>30</v>
      </c>
      <c r="W1082">
        <v>1</v>
      </c>
      <c r="X1082" t="s">
        <v>30</v>
      </c>
      <c r="AC1082" t="s">
        <v>2767</v>
      </c>
      <c r="AE1082" s="135"/>
    </row>
    <row r="1083" spans="1:31" ht="12.5" customHeight="1" x14ac:dyDescent="0.35">
      <c r="A1083" t="s">
        <v>396</v>
      </c>
      <c r="C1083" t="s">
        <v>2768</v>
      </c>
      <c r="D1083" t="s">
        <v>385</v>
      </c>
      <c r="E1083" s="133">
        <v>45841</v>
      </c>
      <c r="F1083" s="2">
        <v>3.3425925925925921E-2</v>
      </c>
      <c r="G1083">
        <v>0</v>
      </c>
      <c r="H1083" s="133">
        <v>45840</v>
      </c>
      <c r="I1083" s="2">
        <v>0.53342592592592586</v>
      </c>
      <c r="J1083">
        <v>12</v>
      </c>
      <c r="R1083" t="s">
        <v>30</v>
      </c>
      <c r="W1083">
        <v>1</v>
      </c>
      <c r="X1083" t="s">
        <v>30</v>
      </c>
      <c r="AC1083" t="s">
        <v>2769</v>
      </c>
      <c r="AE1083" s="135"/>
    </row>
    <row r="1084" spans="1:31" ht="12.5" customHeight="1" x14ac:dyDescent="0.35">
      <c r="A1084" t="s">
        <v>396</v>
      </c>
      <c r="C1084" t="s">
        <v>2770</v>
      </c>
      <c r="D1084" t="s">
        <v>385</v>
      </c>
      <c r="E1084" s="133">
        <v>45841</v>
      </c>
      <c r="F1084" s="2">
        <v>3.349537037037037E-2</v>
      </c>
      <c r="G1084">
        <v>0</v>
      </c>
      <c r="H1084" s="133">
        <v>45840</v>
      </c>
      <c r="I1084" s="2">
        <v>0.53349537037037031</v>
      </c>
      <c r="J1084">
        <v>12</v>
      </c>
      <c r="R1084" t="s">
        <v>30</v>
      </c>
      <c r="W1084">
        <v>1</v>
      </c>
      <c r="X1084" t="s">
        <v>30</v>
      </c>
      <c r="AC1084" t="s">
        <v>2771</v>
      </c>
      <c r="AE1084" s="135"/>
    </row>
    <row r="1085" spans="1:31" ht="12.5" customHeight="1" x14ac:dyDescent="0.35">
      <c r="A1085" t="s">
        <v>396</v>
      </c>
      <c r="C1085" t="s">
        <v>2772</v>
      </c>
      <c r="D1085" t="s">
        <v>385</v>
      </c>
      <c r="E1085" s="133">
        <v>45841</v>
      </c>
      <c r="F1085" s="2">
        <v>3.3587962962962965E-2</v>
      </c>
      <c r="G1085">
        <v>0</v>
      </c>
      <c r="H1085" s="133">
        <v>45840</v>
      </c>
      <c r="I1085" s="2">
        <v>0.53358796296296296</v>
      </c>
      <c r="J1085">
        <v>12</v>
      </c>
      <c r="R1085" t="s">
        <v>30</v>
      </c>
      <c r="W1085">
        <v>1</v>
      </c>
      <c r="X1085" t="s">
        <v>30</v>
      </c>
      <c r="AC1085" t="s">
        <v>2773</v>
      </c>
      <c r="AE1085" s="135"/>
    </row>
    <row r="1086" spans="1:31" ht="12.5" customHeight="1" x14ac:dyDescent="0.35">
      <c r="A1086" t="s">
        <v>396</v>
      </c>
      <c r="C1086" t="s">
        <v>2774</v>
      </c>
      <c r="D1086" t="s">
        <v>385</v>
      </c>
      <c r="E1086" s="133">
        <v>45841</v>
      </c>
      <c r="F1086" s="2">
        <v>3.3657407407407407E-2</v>
      </c>
      <c r="G1086">
        <v>0</v>
      </c>
      <c r="H1086" s="133">
        <v>45840</v>
      </c>
      <c r="I1086" s="2">
        <v>0.53365740740740741</v>
      </c>
      <c r="J1086">
        <v>12</v>
      </c>
      <c r="R1086" t="s">
        <v>30</v>
      </c>
      <c r="W1086">
        <v>1</v>
      </c>
      <c r="X1086" t="s">
        <v>30</v>
      </c>
      <c r="AC1086" t="s">
        <v>2775</v>
      </c>
      <c r="AE1086" s="135"/>
    </row>
    <row r="1087" spans="1:31" ht="12.5" customHeight="1" x14ac:dyDescent="0.35">
      <c r="A1087" t="s">
        <v>396</v>
      </c>
      <c r="C1087" t="s">
        <v>2776</v>
      </c>
      <c r="D1087" t="s">
        <v>385</v>
      </c>
      <c r="E1087" s="133">
        <v>45841</v>
      </c>
      <c r="F1087" s="2">
        <v>3.3726851851851855E-2</v>
      </c>
      <c r="G1087">
        <v>0</v>
      </c>
      <c r="H1087" s="133">
        <v>45840</v>
      </c>
      <c r="I1087" s="2">
        <v>0.53372685185185187</v>
      </c>
      <c r="J1087">
        <v>12</v>
      </c>
      <c r="R1087" t="s">
        <v>30</v>
      </c>
      <c r="W1087">
        <v>1</v>
      </c>
      <c r="X1087" t="s">
        <v>30</v>
      </c>
      <c r="AC1087" t="s">
        <v>2777</v>
      </c>
      <c r="AE1087" s="135"/>
    </row>
    <row r="1088" spans="1:31" ht="12.5" customHeight="1" x14ac:dyDescent="0.35">
      <c r="A1088" t="s">
        <v>396</v>
      </c>
      <c r="C1088" t="s">
        <v>2778</v>
      </c>
      <c r="D1088" t="s">
        <v>385</v>
      </c>
      <c r="E1088" s="133">
        <v>45841</v>
      </c>
      <c r="F1088" s="2">
        <v>3.3819444444444451E-2</v>
      </c>
      <c r="G1088">
        <v>0</v>
      </c>
      <c r="H1088" s="133">
        <v>45840</v>
      </c>
      <c r="I1088" s="2">
        <v>0.53381944444444451</v>
      </c>
      <c r="J1088">
        <v>12</v>
      </c>
      <c r="R1088" t="s">
        <v>30</v>
      </c>
      <c r="W1088">
        <v>1</v>
      </c>
      <c r="X1088" t="s">
        <v>30</v>
      </c>
      <c r="AC1088" t="s">
        <v>2779</v>
      </c>
      <c r="AE1088" s="135"/>
    </row>
    <row r="1089" spans="1:31" ht="12.5" customHeight="1" x14ac:dyDescent="0.35">
      <c r="A1089" t="s">
        <v>396</v>
      </c>
      <c r="C1089" t="s">
        <v>2780</v>
      </c>
      <c r="D1089" t="s">
        <v>385</v>
      </c>
      <c r="E1089" s="133">
        <v>45841</v>
      </c>
      <c r="F1089" s="2">
        <v>3.3888888888888885E-2</v>
      </c>
      <c r="G1089">
        <v>0</v>
      </c>
      <c r="H1089" s="133">
        <v>45840</v>
      </c>
      <c r="I1089" s="2">
        <v>0.53388888888888886</v>
      </c>
      <c r="J1089">
        <v>12</v>
      </c>
      <c r="R1089" t="s">
        <v>30</v>
      </c>
      <c r="W1089">
        <v>1</v>
      </c>
      <c r="X1089" t="s">
        <v>30</v>
      </c>
      <c r="AC1089" t="s">
        <v>2781</v>
      </c>
      <c r="AE1089" s="135"/>
    </row>
    <row r="1090" spans="1:31" ht="12.5" customHeight="1" x14ac:dyDescent="0.35">
      <c r="A1090" t="s">
        <v>396</v>
      </c>
      <c r="C1090" t="s">
        <v>2782</v>
      </c>
      <c r="D1090" t="s">
        <v>385</v>
      </c>
      <c r="E1090" s="133">
        <v>45841</v>
      </c>
      <c r="F1090" s="2">
        <v>3.3958333333333333E-2</v>
      </c>
      <c r="G1090">
        <v>0</v>
      </c>
      <c r="H1090" s="133">
        <v>45840</v>
      </c>
      <c r="I1090" s="2">
        <v>0.53395833333333331</v>
      </c>
      <c r="J1090">
        <v>12</v>
      </c>
      <c r="R1090" t="s">
        <v>30</v>
      </c>
      <c r="W1090">
        <v>1</v>
      </c>
      <c r="X1090" t="s">
        <v>30</v>
      </c>
      <c r="AC1090" t="s">
        <v>2783</v>
      </c>
      <c r="AE1090" s="135"/>
    </row>
    <row r="1091" spans="1:31" ht="12.5" customHeight="1" x14ac:dyDescent="0.35">
      <c r="A1091" t="s">
        <v>396</v>
      </c>
      <c r="C1091" t="s">
        <v>2784</v>
      </c>
      <c r="D1091" t="s">
        <v>385</v>
      </c>
      <c r="E1091" s="133">
        <v>45841</v>
      </c>
      <c r="F1091" s="2">
        <v>3.4050925925925922E-2</v>
      </c>
      <c r="G1091">
        <v>0</v>
      </c>
      <c r="H1091" s="133">
        <v>45840</v>
      </c>
      <c r="I1091" s="2">
        <v>0.53405092592592596</v>
      </c>
      <c r="J1091">
        <v>12</v>
      </c>
      <c r="R1091" t="s">
        <v>30</v>
      </c>
      <c r="W1091">
        <v>1</v>
      </c>
      <c r="X1091" t="s">
        <v>30</v>
      </c>
      <c r="AC1091" t="s">
        <v>2785</v>
      </c>
      <c r="AE1091" s="135"/>
    </row>
    <row r="1092" spans="1:31" ht="12.5" customHeight="1" x14ac:dyDescent="0.35">
      <c r="A1092" t="s">
        <v>396</v>
      </c>
      <c r="C1092" t="s">
        <v>2786</v>
      </c>
      <c r="D1092" t="s">
        <v>385</v>
      </c>
      <c r="E1092" s="133">
        <v>45841</v>
      </c>
      <c r="F1092" s="2">
        <v>3.412037037037037E-2</v>
      </c>
      <c r="G1092">
        <v>0</v>
      </c>
      <c r="H1092" s="133">
        <v>45840</v>
      </c>
      <c r="I1092" s="2">
        <v>0.53412037037037041</v>
      </c>
      <c r="J1092">
        <v>12</v>
      </c>
      <c r="R1092" t="s">
        <v>30</v>
      </c>
      <c r="W1092">
        <v>1</v>
      </c>
      <c r="X1092" t="s">
        <v>30</v>
      </c>
      <c r="AC1092" t="s">
        <v>2787</v>
      </c>
      <c r="AE1092" s="135"/>
    </row>
    <row r="1093" spans="1:31" ht="12.5" customHeight="1" x14ac:dyDescent="0.35">
      <c r="A1093" t="s">
        <v>396</v>
      </c>
      <c r="C1093" t="s">
        <v>2788</v>
      </c>
      <c r="D1093" t="s">
        <v>385</v>
      </c>
      <c r="E1093" s="133">
        <v>45841</v>
      </c>
      <c r="F1093" s="2">
        <v>3.4236111111111113E-2</v>
      </c>
      <c r="G1093">
        <v>0</v>
      </c>
      <c r="H1093" s="133">
        <v>45840</v>
      </c>
      <c r="I1093" s="2">
        <v>0.53423611111111113</v>
      </c>
      <c r="J1093">
        <v>12</v>
      </c>
      <c r="R1093" t="s">
        <v>30</v>
      </c>
      <c r="W1093">
        <v>1</v>
      </c>
      <c r="X1093" t="s">
        <v>30</v>
      </c>
      <c r="AC1093" t="s">
        <v>2789</v>
      </c>
      <c r="AE1093" s="135"/>
    </row>
    <row r="1094" spans="1:31" ht="12.5" customHeight="1" x14ac:dyDescent="0.35">
      <c r="A1094" t="s">
        <v>396</v>
      </c>
      <c r="C1094" t="s">
        <v>2790</v>
      </c>
      <c r="D1094" t="s">
        <v>385</v>
      </c>
      <c r="E1094" s="133">
        <v>45841</v>
      </c>
      <c r="F1094" s="2">
        <v>3.4305555555555554E-2</v>
      </c>
      <c r="G1094">
        <v>0</v>
      </c>
      <c r="H1094" s="133">
        <v>45840</v>
      </c>
      <c r="I1094" s="2">
        <v>0.53430555555555559</v>
      </c>
      <c r="J1094">
        <v>12</v>
      </c>
      <c r="R1094" t="s">
        <v>30</v>
      </c>
      <c r="W1094">
        <v>1</v>
      </c>
      <c r="X1094" t="s">
        <v>30</v>
      </c>
      <c r="AC1094" t="s">
        <v>2791</v>
      </c>
      <c r="AE1094" s="135"/>
    </row>
    <row r="1095" spans="1:31" ht="12.5" customHeight="1" x14ac:dyDescent="0.35">
      <c r="A1095" t="s">
        <v>396</v>
      </c>
      <c r="C1095" t="s">
        <v>2792</v>
      </c>
      <c r="D1095" t="s">
        <v>385</v>
      </c>
      <c r="E1095" s="133">
        <v>45841</v>
      </c>
      <c r="F1095" s="2">
        <v>3.4398148148148143E-2</v>
      </c>
      <c r="G1095">
        <v>0</v>
      </c>
      <c r="H1095" s="133">
        <v>45840</v>
      </c>
      <c r="I1095" s="2">
        <v>0.53439814814814812</v>
      </c>
      <c r="J1095">
        <v>12</v>
      </c>
      <c r="R1095" t="s">
        <v>30</v>
      </c>
      <c r="W1095">
        <v>1</v>
      </c>
      <c r="X1095" t="s">
        <v>30</v>
      </c>
      <c r="AC1095" t="s">
        <v>2793</v>
      </c>
      <c r="AE1095" s="135"/>
    </row>
    <row r="1096" spans="1:31" ht="12.5" customHeight="1" x14ac:dyDescent="0.35">
      <c r="A1096" t="s">
        <v>396</v>
      </c>
      <c r="C1096" t="s">
        <v>2794</v>
      </c>
      <c r="D1096" t="s">
        <v>385</v>
      </c>
      <c r="E1096" s="133">
        <v>45841</v>
      </c>
      <c r="F1096" s="2">
        <v>3.4490740740740738E-2</v>
      </c>
      <c r="G1096">
        <v>0</v>
      </c>
      <c r="H1096" s="133">
        <v>45840</v>
      </c>
      <c r="I1096" s="2">
        <v>0.53449074074074077</v>
      </c>
      <c r="J1096">
        <v>12</v>
      </c>
      <c r="R1096" t="s">
        <v>30</v>
      </c>
      <c r="W1096">
        <v>1</v>
      </c>
      <c r="X1096" t="s">
        <v>30</v>
      </c>
      <c r="AC1096" t="s">
        <v>2795</v>
      </c>
      <c r="AE1096" s="135"/>
    </row>
    <row r="1097" spans="1:31" ht="12.5" customHeight="1" x14ac:dyDescent="0.35">
      <c r="A1097" t="s">
        <v>396</v>
      </c>
      <c r="C1097" t="s">
        <v>2796</v>
      </c>
      <c r="D1097" t="s">
        <v>385</v>
      </c>
      <c r="E1097" s="133">
        <v>45841</v>
      </c>
      <c r="F1097" s="2">
        <v>3.4583333333333334E-2</v>
      </c>
      <c r="G1097">
        <v>0</v>
      </c>
      <c r="H1097" s="133">
        <v>45840</v>
      </c>
      <c r="I1097" s="2">
        <v>0.5345833333333333</v>
      </c>
      <c r="J1097">
        <v>12</v>
      </c>
      <c r="R1097" t="s">
        <v>30</v>
      </c>
      <c r="W1097">
        <v>1</v>
      </c>
      <c r="X1097" t="s">
        <v>30</v>
      </c>
      <c r="AC1097" t="s">
        <v>2797</v>
      </c>
      <c r="AE1097" s="135"/>
    </row>
    <row r="1098" spans="1:31" ht="12.5" customHeight="1" x14ac:dyDescent="0.35">
      <c r="A1098" t="s">
        <v>396</v>
      </c>
      <c r="C1098" t="s">
        <v>2798</v>
      </c>
      <c r="D1098" t="s">
        <v>385</v>
      </c>
      <c r="E1098" s="133">
        <v>45841</v>
      </c>
      <c r="F1098" s="2">
        <v>3.4652777777777775E-2</v>
      </c>
      <c r="G1098">
        <v>0</v>
      </c>
      <c r="H1098" s="133">
        <v>45840</v>
      </c>
      <c r="I1098" s="2">
        <v>0.53465277777777775</v>
      </c>
      <c r="J1098">
        <v>12</v>
      </c>
      <c r="R1098" t="s">
        <v>30</v>
      </c>
      <c r="W1098">
        <v>1</v>
      </c>
      <c r="X1098" t="s">
        <v>30</v>
      </c>
      <c r="AC1098" t="s">
        <v>2799</v>
      </c>
      <c r="AE1098" s="135"/>
    </row>
    <row r="1099" spans="1:31" ht="12.5" customHeight="1" x14ac:dyDescent="0.35">
      <c r="A1099" t="s">
        <v>396</v>
      </c>
      <c r="C1099" t="s">
        <v>2800</v>
      </c>
      <c r="D1099" t="s">
        <v>385</v>
      </c>
      <c r="E1099" s="133">
        <v>45841</v>
      </c>
      <c r="F1099" s="2">
        <v>3.4722222222222224E-2</v>
      </c>
      <c r="G1099">
        <v>0</v>
      </c>
      <c r="H1099" s="133">
        <v>45840</v>
      </c>
      <c r="I1099" s="2">
        <v>0.53472222222222221</v>
      </c>
      <c r="J1099">
        <v>12</v>
      </c>
      <c r="R1099" t="s">
        <v>30</v>
      </c>
      <c r="W1099">
        <v>1</v>
      </c>
      <c r="X1099" t="s">
        <v>30</v>
      </c>
      <c r="AC1099" t="s">
        <v>2801</v>
      </c>
      <c r="AE1099" s="135"/>
    </row>
    <row r="1100" spans="1:31" ht="12.5" customHeight="1" x14ac:dyDescent="0.35">
      <c r="A1100" t="s">
        <v>396</v>
      </c>
      <c r="C1100" t="s">
        <v>2802</v>
      </c>
      <c r="D1100" t="s">
        <v>385</v>
      </c>
      <c r="E1100" s="133">
        <v>45841</v>
      </c>
      <c r="F1100" s="2">
        <v>3.4814814814814812E-2</v>
      </c>
      <c r="G1100">
        <v>0</v>
      </c>
      <c r="H1100" s="133">
        <v>45840</v>
      </c>
      <c r="I1100" s="2">
        <v>0.53481481481481474</v>
      </c>
      <c r="J1100">
        <v>12</v>
      </c>
      <c r="R1100" t="s">
        <v>30</v>
      </c>
      <c r="W1100">
        <v>1</v>
      </c>
      <c r="X1100" t="s">
        <v>30</v>
      </c>
      <c r="AC1100" t="s">
        <v>2803</v>
      </c>
      <c r="AE1100" s="135"/>
    </row>
    <row r="1101" spans="1:31" ht="12.5" customHeight="1" x14ac:dyDescent="0.35">
      <c r="A1101" t="s">
        <v>396</v>
      </c>
      <c r="C1101" t="s">
        <v>2804</v>
      </c>
      <c r="D1101" t="s">
        <v>385</v>
      </c>
      <c r="E1101" s="133">
        <v>45841</v>
      </c>
      <c r="F1101" s="2">
        <v>3.4884259259259261E-2</v>
      </c>
      <c r="G1101">
        <v>0</v>
      </c>
      <c r="H1101" s="133">
        <v>45840</v>
      </c>
      <c r="I1101" s="2">
        <v>0.5348842592592592</v>
      </c>
      <c r="J1101">
        <v>12</v>
      </c>
      <c r="R1101" t="s">
        <v>30</v>
      </c>
      <c r="W1101">
        <v>1</v>
      </c>
      <c r="X1101" t="s">
        <v>30</v>
      </c>
      <c r="AC1101" t="s">
        <v>2805</v>
      </c>
      <c r="AE1101" s="135"/>
    </row>
    <row r="1102" spans="1:31" ht="12.5" customHeight="1" x14ac:dyDescent="0.35">
      <c r="A1102" t="s">
        <v>396</v>
      </c>
      <c r="C1102" t="s">
        <v>2806</v>
      </c>
      <c r="D1102" t="s">
        <v>385</v>
      </c>
      <c r="E1102" s="133">
        <v>45841</v>
      </c>
      <c r="F1102" s="2">
        <v>3.4953703703703702E-2</v>
      </c>
      <c r="G1102">
        <v>0</v>
      </c>
      <c r="H1102" s="133">
        <v>45840</v>
      </c>
      <c r="I1102" s="2">
        <v>0.53495370370370365</v>
      </c>
      <c r="J1102">
        <v>12</v>
      </c>
      <c r="R1102" t="s">
        <v>30</v>
      </c>
      <c r="W1102">
        <v>1</v>
      </c>
      <c r="X1102" t="s">
        <v>30</v>
      </c>
      <c r="AC1102" t="s">
        <v>2807</v>
      </c>
      <c r="AE1102" s="135"/>
    </row>
    <row r="1103" spans="1:31" ht="12.5" customHeight="1" x14ac:dyDescent="0.35">
      <c r="A1103" t="s">
        <v>396</v>
      </c>
      <c r="C1103" t="s">
        <v>2808</v>
      </c>
      <c r="D1103" t="s">
        <v>385</v>
      </c>
      <c r="E1103" s="133">
        <v>45841</v>
      </c>
      <c r="F1103" s="2">
        <v>3.5046296296296298E-2</v>
      </c>
      <c r="G1103">
        <v>0</v>
      </c>
      <c r="H1103" s="133">
        <v>45840</v>
      </c>
      <c r="I1103" s="2">
        <v>0.5350462962962963</v>
      </c>
      <c r="J1103">
        <v>12</v>
      </c>
      <c r="R1103" t="s">
        <v>30</v>
      </c>
      <c r="W1103">
        <v>1</v>
      </c>
      <c r="X1103" t="s">
        <v>30</v>
      </c>
      <c r="AC1103" t="s">
        <v>2809</v>
      </c>
      <c r="AE1103" s="135"/>
    </row>
    <row r="1104" spans="1:31" ht="12.5" customHeight="1" x14ac:dyDescent="0.35">
      <c r="A1104" t="s">
        <v>396</v>
      </c>
      <c r="C1104" t="s">
        <v>2810</v>
      </c>
      <c r="D1104" t="s">
        <v>385</v>
      </c>
      <c r="E1104" s="133">
        <v>45841</v>
      </c>
      <c r="F1104" s="2">
        <v>3.5115740740740746E-2</v>
      </c>
      <c r="G1104">
        <v>0</v>
      </c>
      <c r="H1104" s="133">
        <v>45840</v>
      </c>
      <c r="I1104" s="2">
        <v>0.53511574074074075</v>
      </c>
      <c r="J1104">
        <v>12</v>
      </c>
      <c r="R1104" t="s">
        <v>30</v>
      </c>
      <c r="W1104">
        <v>1</v>
      </c>
      <c r="X1104" t="s">
        <v>30</v>
      </c>
      <c r="AC1104" t="s">
        <v>2811</v>
      </c>
      <c r="AE1104" s="135"/>
    </row>
    <row r="1105" spans="1:31" ht="12.5" customHeight="1" x14ac:dyDescent="0.35">
      <c r="A1105" t="s">
        <v>396</v>
      </c>
      <c r="C1105" t="s">
        <v>2812</v>
      </c>
      <c r="D1105" t="s">
        <v>385</v>
      </c>
      <c r="E1105" s="133">
        <v>45841</v>
      </c>
      <c r="F1105" s="2">
        <v>3.5208333333333335E-2</v>
      </c>
      <c r="G1105">
        <v>0</v>
      </c>
      <c r="H1105" s="133">
        <v>45840</v>
      </c>
      <c r="I1105" s="2">
        <v>0.5352083333333334</v>
      </c>
      <c r="J1105">
        <v>12</v>
      </c>
      <c r="R1105" t="s">
        <v>30</v>
      </c>
      <c r="W1105">
        <v>1</v>
      </c>
      <c r="X1105" t="s">
        <v>30</v>
      </c>
      <c r="AC1105" t="s">
        <v>2813</v>
      </c>
      <c r="AE1105" s="135"/>
    </row>
    <row r="1106" spans="1:31" ht="12.5" customHeight="1" x14ac:dyDescent="0.35">
      <c r="A1106" t="s">
        <v>396</v>
      </c>
      <c r="C1106" t="s">
        <v>2814</v>
      </c>
      <c r="D1106" t="s">
        <v>385</v>
      </c>
      <c r="E1106" s="133">
        <v>45841</v>
      </c>
      <c r="F1106" s="2">
        <v>3.5300925925925923E-2</v>
      </c>
      <c r="G1106">
        <v>0</v>
      </c>
      <c r="H1106" s="133">
        <v>45840</v>
      </c>
      <c r="I1106" s="2">
        <v>0.53530092592592593</v>
      </c>
      <c r="J1106">
        <v>12</v>
      </c>
      <c r="R1106" t="s">
        <v>30</v>
      </c>
      <c r="W1106">
        <v>1</v>
      </c>
      <c r="X1106" t="s">
        <v>30</v>
      </c>
      <c r="AC1106" t="s">
        <v>2815</v>
      </c>
      <c r="AE1106" s="135"/>
    </row>
    <row r="1107" spans="1:31" ht="12.5" customHeight="1" x14ac:dyDescent="0.35">
      <c r="A1107" t="s">
        <v>396</v>
      </c>
      <c r="C1107" t="s">
        <v>2816</v>
      </c>
      <c r="D1107" t="s">
        <v>385</v>
      </c>
      <c r="E1107" s="133">
        <v>45841</v>
      </c>
      <c r="F1107" s="2">
        <v>3.5370370370370365E-2</v>
      </c>
      <c r="G1107">
        <v>0</v>
      </c>
      <c r="H1107" s="133">
        <v>45840</v>
      </c>
      <c r="I1107" s="2">
        <v>0.53537037037037039</v>
      </c>
      <c r="J1107">
        <v>12</v>
      </c>
      <c r="R1107" t="s">
        <v>30</v>
      </c>
      <c r="W1107">
        <v>1</v>
      </c>
      <c r="X1107" t="s">
        <v>30</v>
      </c>
      <c r="AC1107" t="s">
        <v>2817</v>
      </c>
      <c r="AE1107" s="135"/>
    </row>
    <row r="1108" spans="1:31" ht="12.5" customHeight="1" x14ac:dyDescent="0.35">
      <c r="A1108" t="s">
        <v>396</v>
      </c>
      <c r="C1108" t="s">
        <v>2818</v>
      </c>
      <c r="D1108" t="s">
        <v>385</v>
      </c>
      <c r="E1108" s="133">
        <v>45841</v>
      </c>
      <c r="F1108" s="2">
        <v>3.5462962962962967E-2</v>
      </c>
      <c r="G1108">
        <v>0</v>
      </c>
      <c r="H1108" s="133">
        <v>45840</v>
      </c>
      <c r="I1108" s="2">
        <v>0.53546296296296292</v>
      </c>
      <c r="J1108">
        <v>12</v>
      </c>
      <c r="R1108" t="s">
        <v>30</v>
      </c>
      <c r="W1108">
        <v>1</v>
      </c>
      <c r="X1108" t="s">
        <v>30</v>
      </c>
      <c r="AC1108" t="s">
        <v>2819</v>
      </c>
      <c r="AE1108" s="135"/>
    </row>
    <row r="1109" spans="1:31" ht="12.5" customHeight="1" x14ac:dyDescent="0.35">
      <c r="A1109" t="s">
        <v>396</v>
      </c>
      <c r="C1109" t="s">
        <v>2820</v>
      </c>
      <c r="D1109" t="s">
        <v>385</v>
      </c>
      <c r="E1109" s="133">
        <v>45841</v>
      </c>
      <c r="F1109" s="2">
        <v>3.5532407407407408E-2</v>
      </c>
      <c r="G1109">
        <v>0</v>
      </c>
      <c r="H1109" s="133">
        <v>45840</v>
      </c>
      <c r="I1109" s="2">
        <v>0.53553240740740737</v>
      </c>
      <c r="J1109">
        <v>12</v>
      </c>
      <c r="R1109" t="s">
        <v>30</v>
      </c>
      <c r="W1109">
        <v>1</v>
      </c>
      <c r="X1109" t="s">
        <v>30</v>
      </c>
      <c r="AC1109" t="s">
        <v>2821</v>
      </c>
      <c r="AE1109" s="135"/>
    </row>
    <row r="1110" spans="1:31" ht="12.5" customHeight="1" x14ac:dyDescent="0.35">
      <c r="A1110" t="s">
        <v>396</v>
      </c>
      <c r="C1110" t="s">
        <v>2822</v>
      </c>
      <c r="D1110" t="s">
        <v>385</v>
      </c>
      <c r="E1110" s="133">
        <v>45841</v>
      </c>
      <c r="F1110" s="2">
        <v>3.560185185185185E-2</v>
      </c>
      <c r="G1110">
        <v>0</v>
      </c>
      <c r="H1110" s="133">
        <v>45840</v>
      </c>
      <c r="I1110" s="2">
        <v>0.53560185185185183</v>
      </c>
      <c r="J1110">
        <v>12</v>
      </c>
      <c r="R1110" t="s">
        <v>30</v>
      </c>
      <c r="W1110">
        <v>1</v>
      </c>
      <c r="X1110" t="s">
        <v>30</v>
      </c>
      <c r="AC1110" t="s">
        <v>2823</v>
      </c>
      <c r="AE1110" s="135"/>
    </row>
    <row r="1111" spans="1:31" ht="12.5" customHeight="1" x14ac:dyDescent="0.35">
      <c r="A1111" t="s">
        <v>396</v>
      </c>
      <c r="C1111" t="s">
        <v>2824</v>
      </c>
      <c r="D1111" t="s">
        <v>385</v>
      </c>
      <c r="E1111" s="133">
        <v>45841</v>
      </c>
      <c r="F1111" s="2">
        <v>3.5694444444444445E-2</v>
      </c>
      <c r="G1111">
        <v>0</v>
      </c>
      <c r="H1111" s="133">
        <v>45840</v>
      </c>
      <c r="I1111" s="2">
        <v>0.53569444444444447</v>
      </c>
      <c r="J1111">
        <v>12</v>
      </c>
      <c r="R1111" t="s">
        <v>30</v>
      </c>
      <c r="W1111">
        <v>1</v>
      </c>
      <c r="X1111" t="s">
        <v>30</v>
      </c>
      <c r="AC1111" t="s">
        <v>2825</v>
      </c>
      <c r="AE1111" s="135"/>
    </row>
    <row r="1112" spans="1:31" ht="12.5" customHeight="1" x14ac:dyDescent="0.35">
      <c r="A1112" t="s">
        <v>396</v>
      </c>
      <c r="C1112" t="s">
        <v>2826</v>
      </c>
      <c r="D1112" t="s">
        <v>385</v>
      </c>
      <c r="E1112" s="133">
        <v>45841</v>
      </c>
      <c r="F1112" s="2">
        <v>3.5763888888888887E-2</v>
      </c>
      <c r="G1112">
        <v>0</v>
      </c>
      <c r="H1112" s="133">
        <v>45840</v>
      </c>
      <c r="I1112" s="2">
        <v>0.53576388888888882</v>
      </c>
      <c r="J1112">
        <v>12</v>
      </c>
      <c r="R1112" t="s">
        <v>30</v>
      </c>
      <c r="W1112">
        <v>1</v>
      </c>
      <c r="X1112" t="s">
        <v>30</v>
      </c>
      <c r="AC1112" t="s">
        <v>2827</v>
      </c>
      <c r="AE1112" s="135"/>
    </row>
    <row r="1113" spans="1:31" ht="12.5" customHeight="1" x14ac:dyDescent="0.35">
      <c r="A1113" t="s">
        <v>396</v>
      </c>
      <c r="C1113" t="s">
        <v>2828</v>
      </c>
      <c r="D1113" t="s">
        <v>385</v>
      </c>
      <c r="E1113" s="133">
        <v>45841</v>
      </c>
      <c r="F1113" s="2">
        <v>3.5856481481481482E-2</v>
      </c>
      <c r="G1113">
        <v>0</v>
      </c>
      <c r="H1113" s="133">
        <v>45840</v>
      </c>
      <c r="I1113" s="2">
        <v>0.53585648148148146</v>
      </c>
      <c r="J1113">
        <v>12</v>
      </c>
      <c r="R1113" t="s">
        <v>30</v>
      </c>
      <c r="W1113">
        <v>1</v>
      </c>
      <c r="X1113" t="s">
        <v>30</v>
      </c>
      <c r="AC1113" t="s">
        <v>2829</v>
      </c>
      <c r="AE1113" s="135"/>
    </row>
    <row r="1114" spans="1:31" ht="12.5" customHeight="1" x14ac:dyDescent="0.35">
      <c r="A1114" t="s">
        <v>396</v>
      </c>
      <c r="C1114" t="s">
        <v>2830</v>
      </c>
      <c r="D1114" t="s">
        <v>385</v>
      </c>
      <c r="E1114" s="133">
        <v>45841</v>
      </c>
      <c r="F1114" s="2">
        <v>3.5949074074074071E-2</v>
      </c>
      <c r="G1114">
        <v>0</v>
      </c>
      <c r="H1114" s="133">
        <v>45840</v>
      </c>
      <c r="I1114" s="2">
        <v>0.53594907407407411</v>
      </c>
      <c r="J1114">
        <v>12</v>
      </c>
      <c r="R1114" t="s">
        <v>30</v>
      </c>
      <c r="W1114">
        <v>1</v>
      </c>
      <c r="X1114" t="s">
        <v>30</v>
      </c>
      <c r="AC1114" t="s">
        <v>2831</v>
      </c>
      <c r="AE1114" s="135"/>
    </row>
    <row r="1115" spans="1:31" ht="12.5" customHeight="1" x14ac:dyDescent="0.35">
      <c r="A1115" t="s">
        <v>396</v>
      </c>
      <c r="C1115" t="s">
        <v>2832</v>
      </c>
      <c r="D1115" t="s">
        <v>385</v>
      </c>
      <c r="E1115" s="133">
        <v>45841</v>
      </c>
      <c r="F1115" s="2">
        <v>3.6018518518518519E-2</v>
      </c>
      <c r="G1115">
        <v>0</v>
      </c>
      <c r="H1115" s="133">
        <v>45840</v>
      </c>
      <c r="I1115" s="2">
        <v>0.53601851851851856</v>
      </c>
      <c r="J1115">
        <v>12</v>
      </c>
      <c r="R1115" t="s">
        <v>30</v>
      </c>
      <c r="W1115">
        <v>1</v>
      </c>
      <c r="X1115" t="s">
        <v>30</v>
      </c>
      <c r="AC1115" t="s">
        <v>2833</v>
      </c>
      <c r="AE1115" s="135"/>
    </row>
    <row r="1116" spans="1:31" ht="12.5" customHeight="1" x14ac:dyDescent="0.35">
      <c r="A1116" t="s">
        <v>396</v>
      </c>
      <c r="C1116" t="s">
        <v>2834</v>
      </c>
      <c r="D1116" t="s">
        <v>385</v>
      </c>
      <c r="E1116" s="133">
        <v>45841</v>
      </c>
      <c r="F1116" s="2">
        <v>3.6087962962962968E-2</v>
      </c>
      <c r="G1116">
        <v>0</v>
      </c>
      <c r="H1116" s="133">
        <v>45840</v>
      </c>
      <c r="I1116" s="2">
        <v>0.53608796296296302</v>
      </c>
      <c r="J1116">
        <v>12</v>
      </c>
      <c r="R1116" t="s">
        <v>30</v>
      </c>
      <c r="W1116">
        <v>1</v>
      </c>
      <c r="X1116" t="s">
        <v>30</v>
      </c>
      <c r="AC1116" t="s">
        <v>2835</v>
      </c>
      <c r="AE1116" s="135"/>
    </row>
    <row r="1117" spans="1:31" ht="12.5" customHeight="1" x14ac:dyDescent="0.35">
      <c r="A1117" t="s">
        <v>396</v>
      </c>
      <c r="C1117" t="s">
        <v>2836</v>
      </c>
      <c r="D1117" t="s">
        <v>385</v>
      </c>
      <c r="E1117" s="133">
        <v>45841</v>
      </c>
      <c r="F1117" s="2">
        <v>3.6180555555555556E-2</v>
      </c>
      <c r="G1117">
        <v>0</v>
      </c>
      <c r="H1117" s="133">
        <v>45840</v>
      </c>
      <c r="I1117" s="2">
        <v>0.53618055555555555</v>
      </c>
      <c r="J1117">
        <v>12</v>
      </c>
      <c r="R1117" t="s">
        <v>30</v>
      </c>
      <c r="W1117">
        <v>1</v>
      </c>
      <c r="X1117" t="s">
        <v>30</v>
      </c>
      <c r="AC1117" t="s">
        <v>2837</v>
      </c>
      <c r="AE1117" s="135"/>
    </row>
    <row r="1118" spans="1:31" ht="12.5" customHeight="1" x14ac:dyDescent="0.35">
      <c r="A1118" t="s">
        <v>396</v>
      </c>
      <c r="C1118" t="s">
        <v>2838</v>
      </c>
      <c r="D1118" t="s">
        <v>385</v>
      </c>
      <c r="E1118" s="133">
        <v>45841</v>
      </c>
      <c r="F1118" s="2">
        <v>3.6249999999999998E-2</v>
      </c>
      <c r="G1118">
        <v>0</v>
      </c>
      <c r="H1118" s="133">
        <v>45840</v>
      </c>
      <c r="I1118" s="2">
        <v>0.53625</v>
      </c>
      <c r="J1118">
        <v>12</v>
      </c>
      <c r="R1118" t="s">
        <v>30</v>
      </c>
      <c r="W1118">
        <v>1</v>
      </c>
      <c r="X1118" t="s">
        <v>30</v>
      </c>
      <c r="AC1118" t="s">
        <v>2839</v>
      </c>
      <c r="AE1118" s="135"/>
    </row>
    <row r="1119" spans="1:31" ht="12.5" customHeight="1" x14ac:dyDescent="0.35">
      <c r="A1119" t="s">
        <v>396</v>
      </c>
      <c r="C1119" t="s">
        <v>2840</v>
      </c>
      <c r="D1119" t="s">
        <v>385</v>
      </c>
      <c r="E1119" s="133">
        <v>45841</v>
      </c>
      <c r="F1119" s="2">
        <v>3.6342592592592593E-2</v>
      </c>
      <c r="G1119">
        <v>0</v>
      </c>
      <c r="H1119" s="133">
        <v>45840</v>
      </c>
      <c r="I1119" s="2">
        <v>0.53634259259259254</v>
      </c>
      <c r="J1119">
        <v>12</v>
      </c>
      <c r="R1119" t="s">
        <v>30</v>
      </c>
      <c r="W1119">
        <v>1</v>
      </c>
      <c r="X1119" t="s">
        <v>30</v>
      </c>
      <c r="AC1119" t="s">
        <v>2841</v>
      </c>
      <c r="AE1119" s="135"/>
    </row>
    <row r="1120" spans="1:31" ht="12.5" customHeight="1" x14ac:dyDescent="0.35">
      <c r="A1120" t="s">
        <v>396</v>
      </c>
      <c r="C1120" t="s">
        <v>2842</v>
      </c>
      <c r="D1120" t="s">
        <v>385</v>
      </c>
      <c r="E1120" s="133">
        <v>45841</v>
      </c>
      <c r="F1120" s="2">
        <v>3.6412037037037034E-2</v>
      </c>
      <c r="G1120">
        <v>0</v>
      </c>
      <c r="H1120" s="133">
        <v>45840</v>
      </c>
      <c r="I1120" s="2">
        <v>0.53641203703703699</v>
      </c>
      <c r="J1120">
        <v>12</v>
      </c>
      <c r="R1120" t="s">
        <v>30</v>
      </c>
      <c r="W1120">
        <v>1</v>
      </c>
      <c r="X1120" t="s">
        <v>30</v>
      </c>
      <c r="AC1120" t="s">
        <v>2843</v>
      </c>
      <c r="AE1120" s="135"/>
    </row>
    <row r="1121" spans="1:31" ht="12.5" customHeight="1" x14ac:dyDescent="0.35">
      <c r="A1121" t="s">
        <v>396</v>
      </c>
      <c r="C1121" t="s">
        <v>2844</v>
      </c>
      <c r="D1121" t="s">
        <v>385</v>
      </c>
      <c r="E1121" s="133">
        <v>45841</v>
      </c>
      <c r="F1121" s="2">
        <v>3.650462962962963E-2</v>
      </c>
      <c r="G1121">
        <v>0</v>
      </c>
      <c r="H1121" s="133">
        <v>45840</v>
      </c>
      <c r="I1121" s="2">
        <v>0.53650462962962964</v>
      </c>
      <c r="J1121">
        <v>12</v>
      </c>
      <c r="R1121" t="s">
        <v>30</v>
      </c>
      <c r="W1121">
        <v>1</v>
      </c>
      <c r="X1121" t="s">
        <v>30</v>
      </c>
      <c r="AC1121" t="s">
        <v>2845</v>
      </c>
      <c r="AE1121" s="135"/>
    </row>
    <row r="1122" spans="1:31" ht="12.5" customHeight="1" x14ac:dyDescent="0.35">
      <c r="A1122" t="s">
        <v>396</v>
      </c>
      <c r="C1122" t="s">
        <v>2846</v>
      </c>
      <c r="D1122" t="s">
        <v>385</v>
      </c>
      <c r="E1122" s="133">
        <v>45841</v>
      </c>
      <c r="F1122" s="2">
        <v>3.6597222222222225E-2</v>
      </c>
      <c r="G1122">
        <v>0</v>
      </c>
      <c r="H1122" s="133">
        <v>45840</v>
      </c>
      <c r="I1122" s="2">
        <v>0.53659722222222228</v>
      </c>
      <c r="J1122">
        <v>12</v>
      </c>
      <c r="R1122" t="s">
        <v>30</v>
      </c>
      <c r="W1122">
        <v>1</v>
      </c>
      <c r="X1122" t="s">
        <v>30</v>
      </c>
      <c r="AC1122" t="s">
        <v>2847</v>
      </c>
      <c r="AE1122" s="135"/>
    </row>
    <row r="1123" spans="1:31" ht="12.5" customHeight="1" x14ac:dyDescent="0.35">
      <c r="A1123" t="s">
        <v>396</v>
      </c>
      <c r="C1123" t="s">
        <v>2848</v>
      </c>
      <c r="D1123" t="s">
        <v>385</v>
      </c>
      <c r="E1123" s="133">
        <v>45841</v>
      </c>
      <c r="F1123" s="2">
        <v>3.6666666666666667E-2</v>
      </c>
      <c r="G1123">
        <v>0</v>
      </c>
      <c r="H1123" s="133">
        <v>45840</v>
      </c>
      <c r="I1123" s="2">
        <v>0.53666666666666674</v>
      </c>
      <c r="J1123">
        <v>12</v>
      </c>
      <c r="R1123" t="s">
        <v>30</v>
      </c>
      <c r="W1123">
        <v>1</v>
      </c>
      <c r="X1123" t="s">
        <v>30</v>
      </c>
      <c r="AC1123" t="s">
        <v>2849</v>
      </c>
      <c r="AE1123" s="135"/>
    </row>
    <row r="1124" spans="1:31" ht="12.5" customHeight="1" x14ac:dyDescent="0.35">
      <c r="A1124" t="s">
        <v>396</v>
      </c>
      <c r="C1124" t="s">
        <v>2850</v>
      </c>
      <c r="D1124" t="s">
        <v>385</v>
      </c>
      <c r="E1124" s="133">
        <v>45841</v>
      </c>
      <c r="F1124" s="2">
        <v>3.6759259259259255E-2</v>
      </c>
      <c r="G1124">
        <v>0</v>
      </c>
      <c r="H1124" s="133">
        <v>45840</v>
      </c>
      <c r="I1124" s="2">
        <v>0.53675925925925927</v>
      </c>
      <c r="J1124">
        <v>12</v>
      </c>
      <c r="R1124" t="s">
        <v>30</v>
      </c>
      <c r="W1124">
        <v>1</v>
      </c>
      <c r="X1124" t="s">
        <v>30</v>
      </c>
      <c r="AC1124" t="s">
        <v>2851</v>
      </c>
      <c r="AE1124" s="135"/>
    </row>
    <row r="1125" spans="1:31" ht="12.5" customHeight="1" x14ac:dyDescent="0.35">
      <c r="A1125" t="s">
        <v>396</v>
      </c>
      <c r="C1125" t="s">
        <v>2852</v>
      </c>
      <c r="D1125" t="s">
        <v>385</v>
      </c>
      <c r="E1125" s="133">
        <v>45841</v>
      </c>
      <c r="F1125" s="2">
        <v>3.6851851851851851E-2</v>
      </c>
      <c r="G1125">
        <v>0</v>
      </c>
      <c r="H1125" s="133">
        <v>45840</v>
      </c>
      <c r="I1125" s="2">
        <v>0.5368518518518518</v>
      </c>
      <c r="J1125">
        <v>12</v>
      </c>
      <c r="R1125" t="s">
        <v>30</v>
      </c>
      <c r="W1125">
        <v>1</v>
      </c>
      <c r="X1125" t="s">
        <v>30</v>
      </c>
      <c r="AC1125" t="s">
        <v>2853</v>
      </c>
      <c r="AE1125" s="135"/>
    </row>
    <row r="1126" spans="1:31" ht="12.5" customHeight="1" x14ac:dyDescent="0.35">
      <c r="A1126" t="s">
        <v>396</v>
      </c>
      <c r="C1126" t="s">
        <v>2854</v>
      </c>
      <c r="D1126" t="s">
        <v>385</v>
      </c>
      <c r="E1126" s="133">
        <v>45841</v>
      </c>
      <c r="F1126" s="2">
        <v>3.6921296296296292E-2</v>
      </c>
      <c r="G1126">
        <v>0</v>
      </c>
      <c r="H1126" s="133">
        <v>45840</v>
      </c>
      <c r="I1126" s="2">
        <v>0.53692129629629626</v>
      </c>
      <c r="J1126">
        <v>12</v>
      </c>
      <c r="R1126" t="s">
        <v>30</v>
      </c>
      <c r="W1126">
        <v>1</v>
      </c>
      <c r="X1126" t="s">
        <v>30</v>
      </c>
      <c r="AC1126" t="s">
        <v>2855</v>
      </c>
      <c r="AE1126" s="135"/>
    </row>
    <row r="1127" spans="1:31" ht="12.5" customHeight="1" x14ac:dyDescent="0.35">
      <c r="A1127" t="s">
        <v>396</v>
      </c>
      <c r="C1127" t="s">
        <v>2856</v>
      </c>
      <c r="D1127" t="s">
        <v>385</v>
      </c>
      <c r="E1127" s="133">
        <v>45841</v>
      </c>
      <c r="F1127" s="2">
        <v>3.7013888888888888E-2</v>
      </c>
      <c r="G1127">
        <v>0</v>
      </c>
      <c r="H1127" s="133">
        <v>45840</v>
      </c>
      <c r="I1127" s="2">
        <v>0.5370138888888889</v>
      </c>
      <c r="J1127">
        <v>12</v>
      </c>
      <c r="R1127" t="s">
        <v>30</v>
      </c>
      <c r="W1127">
        <v>1</v>
      </c>
      <c r="X1127" t="s">
        <v>30</v>
      </c>
      <c r="AC1127" t="s">
        <v>2857</v>
      </c>
      <c r="AE1127" s="135"/>
    </row>
    <row r="1128" spans="1:31" ht="12.5" customHeight="1" x14ac:dyDescent="0.35">
      <c r="A1128" t="s">
        <v>396</v>
      </c>
      <c r="C1128" t="s">
        <v>2858</v>
      </c>
      <c r="D1128" t="s">
        <v>385</v>
      </c>
      <c r="E1128" s="133">
        <v>45841</v>
      </c>
      <c r="F1128" s="2">
        <v>3.7083333333333336E-2</v>
      </c>
      <c r="G1128">
        <v>0</v>
      </c>
      <c r="H1128" s="133">
        <v>45840</v>
      </c>
      <c r="I1128" s="2">
        <v>0.53708333333333336</v>
      </c>
      <c r="J1128">
        <v>12</v>
      </c>
      <c r="R1128" t="s">
        <v>30</v>
      </c>
      <c r="W1128">
        <v>1</v>
      </c>
      <c r="X1128" t="s">
        <v>30</v>
      </c>
      <c r="AC1128" t="s">
        <v>2859</v>
      </c>
      <c r="AE1128" s="135"/>
    </row>
    <row r="1129" spans="1:31" ht="12.5" customHeight="1" x14ac:dyDescent="0.35">
      <c r="A1129" t="s">
        <v>396</v>
      </c>
      <c r="C1129" t="s">
        <v>2860</v>
      </c>
      <c r="D1129" t="s">
        <v>385</v>
      </c>
      <c r="E1129" s="133">
        <v>45841</v>
      </c>
      <c r="F1129" s="2">
        <v>3.7175925925925925E-2</v>
      </c>
      <c r="G1129">
        <v>0</v>
      </c>
      <c r="H1129" s="133">
        <v>45840</v>
      </c>
      <c r="I1129" s="2">
        <v>0.53717592592592589</v>
      </c>
      <c r="J1129">
        <v>12</v>
      </c>
      <c r="R1129" t="s">
        <v>30</v>
      </c>
      <c r="W1129">
        <v>1</v>
      </c>
      <c r="X1129" t="s">
        <v>30</v>
      </c>
      <c r="AC1129" t="s">
        <v>2861</v>
      </c>
      <c r="AE1129" s="135"/>
    </row>
    <row r="1130" spans="1:31" ht="12.5" customHeight="1" x14ac:dyDescent="0.35">
      <c r="A1130" t="s">
        <v>396</v>
      </c>
      <c r="C1130" t="s">
        <v>2862</v>
      </c>
      <c r="D1130" t="s">
        <v>385</v>
      </c>
      <c r="E1130" s="133">
        <v>45841</v>
      </c>
      <c r="F1130" s="2">
        <v>3.7245370370370366E-2</v>
      </c>
      <c r="G1130">
        <v>0</v>
      </c>
      <c r="H1130" s="133">
        <v>45840</v>
      </c>
      <c r="I1130" s="2">
        <v>0.53724537037037035</v>
      </c>
      <c r="J1130">
        <v>12</v>
      </c>
      <c r="R1130" t="s">
        <v>30</v>
      </c>
      <c r="W1130">
        <v>1</v>
      </c>
      <c r="X1130" t="s">
        <v>30</v>
      </c>
      <c r="AC1130" t="s">
        <v>2863</v>
      </c>
      <c r="AE1130" s="135"/>
    </row>
    <row r="1131" spans="1:31" ht="12.5" customHeight="1" x14ac:dyDescent="0.35">
      <c r="A1131" t="s">
        <v>396</v>
      </c>
      <c r="C1131" t="s">
        <v>2864</v>
      </c>
      <c r="D1131" t="s">
        <v>385</v>
      </c>
      <c r="E1131" s="133">
        <v>45841</v>
      </c>
      <c r="F1131" s="2">
        <v>3.7337962962962962E-2</v>
      </c>
      <c r="G1131">
        <v>0</v>
      </c>
      <c r="H1131" s="133">
        <v>45840</v>
      </c>
      <c r="I1131" s="2">
        <v>0.53733796296296299</v>
      </c>
      <c r="J1131">
        <v>12</v>
      </c>
      <c r="R1131" t="s">
        <v>30</v>
      </c>
      <c r="W1131">
        <v>1</v>
      </c>
      <c r="X1131" t="s">
        <v>30</v>
      </c>
      <c r="AC1131" t="s">
        <v>2865</v>
      </c>
      <c r="AE1131" s="135"/>
    </row>
    <row r="1132" spans="1:31" ht="12.5" customHeight="1" x14ac:dyDescent="0.35">
      <c r="A1132" t="s">
        <v>396</v>
      </c>
      <c r="C1132" t="s">
        <v>2866</v>
      </c>
      <c r="D1132" t="s">
        <v>385</v>
      </c>
      <c r="E1132" s="133">
        <v>45841</v>
      </c>
      <c r="F1132" s="2">
        <v>3.740740740740741E-2</v>
      </c>
      <c r="G1132">
        <v>0</v>
      </c>
      <c r="H1132" s="133">
        <v>45840</v>
      </c>
      <c r="I1132" s="2">
        <v>0.53740740740740744</v>
      </c>
      <c r="J1132">
        <v>12</v>
      </c>
      <c r="R1132" t="s">
        <v>30</v>
      </c>
      <c r="W1132">
        <v>1</v>
      </c>
      <c r="X1132" t="s">
        <v>30</v>
      </c>
      <c r="AC1132" t="s">
        <v>2867</v>
      </c>
      <c r="AE1132" s="135"/>
    </row>
    <row r="1133" spans="1:31" ht="12.5" customHeight="1" x14ac:dyDescent="0.35">
      <c r="A1133" t="s">
        <v>396</v>
      </c>
      <c r="C1133" t="s">
        <v>2868</v>
      </c>
      <c r="D1133" t="s">
        <v>385</v>
      </c>
      <c r="E1133" s="133">
        <v>45841</v>
      </c>
      <c r="F1133" s="2">
        <v>3.7476851851851851E-2</v>
      </c>
      <c r="G1133">
        <v>0</v>
      </c>
      <c r="H1133" s="133">
        <v>45840</v>
      </c>
      <c r="I1133" s="2">
        <v>0.5374768518518519</v>
      </c>
      <c r="J1133">
        <v>12</v>
      </c>
      <c r="R1133" t="s">
        <v>30</v>
      </c>
      <c r="W1133">
        <v>1</v>
      </c>
      <c r="X1133" t="s">
        <v>30</v>
      </c>
      <c r="AC1133" t="s">
        <v>2869</v>
      </c>
      <c r="AE1133" s="135"/>
    </row>
    <row r="1134" spans="1:31" ht="12.5" customHeight="1" x14ac:dyDescent="0.35">
      <c r="A1134" t="s">
        <v>396</v>
      </c>
      <c r="C1134" t="s">
        <v>2870</v>
      </c>
      <c r="D1134" t="s">
        <v>385</v>
      </c>
      <c r="E1134" s="133">
        <v>45841</v>
      </c>
      <c r="F1134" s="2">
        <v>3.7569444444444447E-2</v>
      </c>
      <c r="G1134">
        <v>0</v>
      </c>
      <c r="H1134" s="133">
        <v>45840</v>
      </c>
      <c r="I1134" s="2">
        <v>0.53756944444444443</v>
      </c>
      <c r="J1134">
        <v>12</v>
      </c>
      <c r="R1134" t="s">
        <v>30</v>
      </c>
      <c r="W1134">
        <v>1</v>
      </c>
      <c r="X1134" t="s">
        <v>30</v>
      </c>
      <c r="AC1134" t="s">
        <v>2871</v>
      </c>
      <c r="AE1134" s="135"/>
    </row>
    <row r="1135" spans="1:31" ht="12.5" customHeight="1" x14ac:dyDescent="0.35">
      <c r="A1135" t="s">
        <v>396</v>
      </c>
      <c r="C1135" t="s">
        <v>2872</v>
      </c>
      <c r="D1135" t="s">
        <v>385</v>
      </c>
      <c r="E1135" s="133">
        <v>45841</v>
      </c>
      <c r="F1135" s="2">
        <v>3.7638888888888895E-2</v>
      </c>
      <c r="G1135">
        <v>0</v>
      </c>
      <c r="H1135" s="133">
        <v>45840</v>
      </c>
      <c r="I1135" s="2">
        <v>0.53763888888888889</v>
      </c>
      <c r="J1135">
        <v>12</v>
      </c>
      <c r="R1135" t="s">
        <v>30</v>
      </c>
      <c r="W1135">
        <v>1</v>
      </c>
      <c r="X1135" t="s">
        <v>30</v>
      </c>
      <c r="AC1135" t="s">
        <v>2873</v>
      </c>
      <c r="AE1135" s="135"/>
    </row>
    <row r="1136" spans="1:31" ht="12.5" customHeight="1" x14ac:dyDescent="0.35">
      <c r="A1136" t="s">
        <v>396</v>
      </c>
      <c r="C1136" t="s">
        <v>2874</v>
      </c>
      <c r="D1136" t="s">
        <v>385</v>
      </c>
      <c r="E1136" s="133">
        <v>45841</v>
      </c>
      <c r="F1136" s="2">
        <v>3.7731481481481484E-2</v>
      </c>
      <c r="G1136">
        <v>0</v>
      </c>
      <c r="H1136" s="133">
        <v>45840</v>
      </c>
      <c r="I1136" s="2">
        <v>0.53773148148148142</v>
      </c>
      <c r="J1136">
        <v>12</v>
      </c>
      <c r="R1136" t="s">
        <v>30</v>
      </c>
      <c r="W1136">
        <v>1</v>
      </c>
      <c r="X1136" t="s">
        <v>30</v>
      </c>
      <c r="AC1136" t="s">
        <v>2875</v>
      </c>
      <c r="AE1136" s="135"/>
    </row>
    <row r="1137" spans="1:31" ht="12.5" customHeight="1" x14ac:dyDescent="0.35">
      <c r="A1137" t="s">
        <v>396</v>
      </c>
      <c r="C1137" t="s">
        <v>2876</v>
      </c>
      <c r="D1137" t="s">
        <v>385</v>
      </c>
      <c r="E1137" s="133">
        <v>45841</v>
      </c>
      <c r="F1137" s="2">
        <v>3.7800925925925925E-2</v>
      </c>
      <c r="G1137">
        <v>0</v>
      </c>
      <c r="H1137" s="133">
        <v>45840</v>
      </c>
      <c r="I1137" s="2">
        <v>0.53780092592592588</v>
      </c>
      <c r="J1137">
        <v>12</v>
      </c>
      <c r="R1137" t="s">
        <v>30</v>
      </c>
      <c r="W1137">
        <v>1</v>
      </c>
      <c r="X1137" t="s">
        <v>30</v>
      </c>
      <c r="AC1137" t="s">
        <v>2877</v>
      </c>
      <c r="AE1137" s="135"/>
    </row>
    <row r="1138" spans="1:31" ht="12.5" customHeight="1" x14ac:dyDescent="0.35">
      <c r="A1138" t="s">
        <v>396</v>
      </c>
      <c r="C1138" t="s">
        <v>2878</v>
      </c>
      <c r="D1138" t="s">
        <v>385</v>
      </c>
      <c r="E1138" s="133">
        <v>45841</v>
      </c>
      <c r="F1138" s="2">
        <v>3.7870370370370367E-2</v>
      </c>
      <c r="G1138">
        <v>0</v>
      </c>
      <c r="H1138" s="133">
        <v>45840</v>
      </c>
      <c r="I1138" s="2">
        <v>0.53787037037037033</v>
      </c>
      <c r="J1138">
        <v>12</v>
      </c>
      <c r="R1138" t="s">
        <v>30</v>
      </c>
      <c r="W1138">
        <v>1</v>
      </c>
      <c r="X1138" t="s">
        <v>30</v>
      </c>
      <c r="AC1138" t="s">
        <v>2879</v>
      </c>
      <c r="AE1138" s="135"/>
    </row>
    <row r="1139" spans="1:31" ht="12.5" customHeight="1" x14ac:dyDescent="0.35">
      <c r="A1139" t="s">
        <v>396</v>
      </c>
      <c r="C1139" t="s">
        <v>2880</v>
      </c>
      <c r="D1139" t="s">
        <v>385</v>
      </c>
      <c r="E1139" s="133">
        <v>45841</v>
      </c>
      <c r="F1139" s="2">
        <v>3.7962962962962962E-2</v>
      </c>
      <c r="G1139">
        <v>0</v>
      </c>
      <c r="H1139" s="133">
        <v>45840</v>
      </c>
      <c r="I1139" s="2">
        <v>0.53796296296296298</v>
      </c>
      <c r="J1139">
        <v>12</v>
      </c>
      <c r="R1139" t="s">
        <v>30</v>
      </c>
      <c r="W1139">
        <v>1</v>
      </c>
      <c r="X1139" t="s">
        <v>30</v>
      </c>
      <c r="AC1139" t="s">
        <v>2881</v>
      </c>
      <c r="AE1139" s="135"/>
    </row>
    <row r="1140" spans="1:31" ht="12.5" customHeight="1" x14ac:dyDescent="0.35">
      <c r="A1140" t="s">
        <v>396</v>
      </c>
      <c r="C1140" t="s">
        <v>2882</v>
      </c>
      <c r="D1140" t="s">
        <v>385</v>
      </c>
      <c r="E1140" s="133">
        <v>45841</v>
      </c>
      <c r="F1140" s="2">
        <v>3.8032407407407411E-2</v>
      </c>
      <c r="G1140">
        <v>0</v>
      </c>
      <c r="H1140" s="133">
        <v>45840</v>
      </c>
      <c r="I1140" s="2">
        <v>0.53803240740740743</v>
      </c>
      <c r="J1140">
        <v>12</v>
      </c>
      <c r="R1140" t="s">
        <v>30</v>
      </c>
      <c r="W1140">
        <v>1</v>
      </c>
      <c r="X1140" t="s">
        <v>30</v>
      </c>
      <c r="AC1140" t="s">
        <v>2883</v>
      </c>
      <c r="AE1140" s="135"/>
    </row>
    <row r="1141" spans="1:31" ht="12.5" customHeight="1" x14ac:dyDescent="0.35">
      <c r="A1141" t="s">
        <v>396</v>
      </c>
      <c r="C1141" t="s">
        <v>2884</v>
      </c>
      <c r="D1141" t="s">
        <v>385</v>
      </c>
      <c r="E1141" s="133">
        <v>45841</v>
      </c>
      <c r="F1141" s="2">
        <v>3.8124999999999999E-2</v>
      </c>
      <c r="G1141">
        <v>0</v>
      </c>
      <c r="H1141" s="133">
        <v>45840</v>
      </c>
      <c r="I1141" s="2">
        <v>0.53812499999999996</v>
      </c>
      <c r="J1141">
        <v>12</v>
      </c>
      <c r="R1141" t="s">
        <v>30</v>
      </c>
      <c r="W1141">
        <v>1</v>
      </c>
      <c r="X1141" t="s">
        <v>30</v>
      </c>
      <c r="AC1141" t="s">
        <v>2885</v>
      </c>
      <c r="AE1141" s="135"/>
    </row>
    <row r="1142" spans="1:31" ht="12.5" customHeight="1" x14ac:dyDescent="0.35">
      <c r="A1142" t="s">
        <v>396</v>
      </c>
      <c r="C1142" t="s">
        <v>2886</v>
      </c>
      <c r="D1142" t="s">
        <v>385</v>
      </c>
      <c r="E1142" s="133">
        <v>45841</v>
      </c>
      <c r="F1142" s="2">
        <v>3.8217592592592588E-2</v>
      </c>
      <c r="G1142">
        <v>0</v>
      </c>
      <c r="H1142" s="133">
        <v>45840</v>
      </c>
      <c r="I1142" s="2">
        <v>0.53821759259259261</v>
      </c>
      <c r="J1142">
        <v>12</v>
      </c>
      <c r="R1142" t="s">
        <v>30</v>
      </c>
      <c r="W1142">
        <v>1</v>
      </c>
      <c r="X1142" t="s">
        <v>30</v>
      </c>
      <c r="AC1142" t="s">
        <v>2887</v>
      </c>
      <c r="AE1142" s="135"/>
    </row>
    <row r="1143" spans="1:31" ht="12.5" customHeight="1" x14ac:dyDescent="0.35">
      <c r="A1143" t="s">
        <v>396</v>
      </c>
      <c r="C1143" t="s">
        <v>2888</v>
      </c>
      <c r="D1143" t="s">
        <v>385</v>
      </c>
      <c r="E1143" s="133">
        <v>45841</v>
      </c>
      <c r="F1143" s="2">
        <v>3.8287037037037036E-2</v>
      </c>
      <c r="G1143">
        <v>0</v>
      </c>
      <c r="H1143" s="133">
        <v>45840</v>
      </c>
      <c r="I1143" s="2">
        <v>0.53828703703703706</v>
      </c>
      <c r="J1143">
        <v>12</v>
      </c>
      <c r="R1143" t="s">
        <v>30</v>
      </c>
      <c r="W1143">
        <v>1</v>
      </c>
      <c r="X1143" t="s">
        <v>30</v>
      </c>
      <c r="AC1143" t="s">
        <v>2889</v>
      </c>
      <c r="AE1143" s="135"/>
    </row>
    <row r="1144" spans="1:31" ht="12.5" customHeight="1" x14ac:dyDescent="0.35">
      <c r="A1144" t="s">
        <v>396</v>
      </c>
      <c r="C1144" t="s">
        <v>2890</v>
      </c>
      <c r="D1144" t="s">
        <v>385</v>
      </c>
      <c r="E1144" s="133">
        <v>45841</v>
      </c>
      <c r="F1144" s="2">
        <v>3.8356481481481484E-2</v>
      </c>
      <c r="G1144">
        <v>0</v>
      </c>
      <c r="H1144" s="133">
        <v>45840</v>
      </c>
      <c r="I1144" s="2">
        <v>0.53835648148148152</v>
      </c>
      <c r="J1144">
        <v>12</v>
      </c>
      <c r="R1144" t="s">
        <v>30</v>
      </c>
      <c r="W1144">
        <v>1</v>
      </c>
      <c r="X1144" t="s">
        <v>30</v>
      </c>
      <c r="AC1144" t="s">
        <v>2891</v>
      </c>
      <c r="AE1144" s="135"/>
    </row>
    <row r="1145" spans="1:31" ht="12.5" customHeight="1" x14ac:dyDescent="0.35">
      <c r="A1145" t="s">
        <v>396</v>
      </c>
      <c r="C1145" t="s">
        <v>2892</v>
      </c>
      <c r="D1145" t="s">
        <v>385</v>
      </c>
      <c r="E1145" s="133">
        <v>45841</v>
      </c>
      <c r="F1145" s="2">
        <v>3.8449074074074073E-2</v>
      </c>
      <c r="G1145">
        <v>0</v>
      </c>
      <c r="H1145" s="133">
        <v>45840</v>
      </c>
      <c r="I1145" s="2">
        <v>0.53844907407407405</v>
      </c>
      <c r="J1145">
        <v>12</v>
      </c>
      <c r="R1145" t="s">
        <v>30</v>
      </c>
      <c r="W1145">
        <v>1</v>
      </c>
      <c r="X1145" t="s">
        <v>30</v>
      </c>
      <c r="AC1145" t="s">
        <v>2893</v>
      </c>
      <c r="AE1145" s="135"/>
    </row>
    <row r="1146" spans="1:31" ht="12.5" customHeight="1" x14ac:dyDescent="0.35">
      <c r="A1146" t="s">
        <v>396</v>
      </c>
      <c r="C1146" t="s">
        <v>2894</v>
      </c>
      <c r="D1146" t="s">
        <v>385</v>
      </c>
      <c r="E1146" s="133">
        <v>45841</v>
      </c>
      <c r="F1146" s="2">
        <v>3.8518518518518521E-2</v>
      </c>
      <c r="G1146">
        <v>0</v>
      </c>
      <c r="H1146" s="133">
        <v>45840</v>
      </c>
      <c r="I1146" s="2">
        <v>0.53851851851851851</v>
      </c>
      <c r="J1146">
        <v>12</v>
      </c>
      <c r="R1146" t="s">
        <v>30</v>
      </c>
      <c r="W1146">
        <v>1</v>
      </c>
      <c r="X1146" t="s">
        <v>30</v>
      </c>
      <c r="AC1146" t="s">
        <v>2895</v>
      </c>
      <c r="AE1146" s="135"/>
    </row>
    <row r="1147" spans="1:31" ht="12.5" customHeight="1" x14ac:dyDescent="0.35">
      <c r="A1147" t="s">
        <v>396</v>
      </c>
      <c r="C1147" t="s">
        <v>2896</v>
      </c>
      <c r="D1147" t="s">
        <v>385</v>
      </c>
      <c r="E1147" s="133">
        <v>45841</v>
      </c>
      <c r="F1147" s="2">
        <v>3.861111111111111E-2</v>
      </c>
      <c r="G1147">
        <v>0</v>
      </c>
      <c r="H1147" s="133">
        <v>45840</v>
      </c>
      <c r="I1147" s="2">
        <v>0.53861111111111104</v>
      </c>
      <c r="J1147">
        <v>12</v>
      </c>
      <c r="R1147" t="s">
        <v>30</v>
      </c>
      <c r="W1147">
        <v>1</v>
      </c>
      <c r="X1147" t="s">
        <v>30</v>
      </c>
      <c r="AC1147" t="s">
        <v>2897</v>
      </c>
      <c r="AE1147" s="135"/>
    </row>
    <row r="1148" spans="1:31" ht="12.5" customHeight="1" x14ac:dyDescent="0.35">
      <c r="A1148" t="s">
        <v>396</v>
      </c>
      <c r="C1148" t="s">
        <v>2898</v>
      </c>
      <c r="D1148" t="s">
        <v>385</v>
      </c>
      <c r="E1148" s="133">
        <v>45841</v>
      </c>
      <c r="F1148" s="2">
        <v>3.8680555555555558E-2</v>
      </c>
      <c r="G1148">
        <v>0</v>
      </c>
      <c r="H1148" s="133">
        <v>45840</v>
      </c>
      <c r="I1148" s="2">
        <v>0.5386805555555555</v>
      </c>
      <c r="J1148">
        <v>12</v>
      </c>
      <c r="R1148" t="s">
        <v>30</v>
      </c>
      <c r="W1148">
        <v>1</v>
      </c>
      <c r="X1148" t="s">
        <v>30</v>
      </c>
      <c r="AC1148" t="s">
        <v>2899</v>
      </c>
      <c r="AE1148" s="135"/>
    </row>
    <row r="1149" spans="1:31" ht="12.5" customHeight="1" x14ac:dyDescent="0.35">
      <c r="A1149" t="s">
        <v>396</v>
      </c>
      <c r="C1149" t="s">
        <v>2900</v>
      </c>
      <c r="D1149" t="s">
        <v>385</v>
      </c>
      <c r="E1149" s="133">
        <v>45841</v>
      </c>
      <c r="F1149" s="2">
        <v>3.8773148148148147E-2</v>
      </c>
      <c r="G1149">
        <v>0</v>
      </c>
      <c r="H1149" s="133">
        <v>45840</v>
      </c>
      <c r="I1149" s="2">
        <v>0.53877314814814814</v>
      </c>
      <c r="J1149">
        <v>12</v>
      </c>
      <c r="R1149" t="s">
        <v>30</v>
      </c>
      <c r="W1149">
        <v>1</v>
      </c>
      <c r="X1149" t="s">
        <v>30</v>
      </c>
      <c r="AC1149" t="s">
        <v>2901</v>
      </c>
      <c r="AE1149" s="135"/>
    </row>
    <row r="1150" spans="1:31" ht="12.5" customHeight="1" x14ac:dyDescent="0.35">
      <c r="A1150" t="s">
        <v>396</v>
      </c>
      <c r="C1150" t="s">
        <v>2902</v>
      </c>
      <c r="D1150" t="s">
        <v>385</v>
      </c>
      <c r="E1150" s="133">
        <v>45841</v>
      </c>
      <c r="F1150" s="2">
        <v>3.8865740740740742E-2</v>
      </c>
      <c r="G1150">
        <v>0</v>
      </c>
      <c r="H1150" s="133">
        <v>45840</v>
      </c>
      <c r="I1150" s="2">
        <v>0.53886574074074078</v>
      </c>
      <c r="J1150">
        <v>12</v>
      </c>
      <c r="R1150" t="s">
        <v>30</v>
      </c>
      <c r="W1150">
        <v>1</v>
      </c>
      <c r="X1150" t="s">
        <v>30</v>
      </c>
      <c r="AC1150" t="s">
        <v>2903</v>
      </c>
      <c r="AE1150" s="135"/>
    </row>
    <row r="1151" spans="1:31" ht="12.5" customHeight="1" x14ac:dyDescent="0.35">
      <c r="A1151" t="s">
        <v>396</v>
      </c>
      <c r="C1151" t="s">
        <v>2904</v>
      </c>
      <c r="D1151" t="s">
        <v>385</v>
      </c>
      <c r="E1151" s="133">
        <v>45841</v>
      </c>
      <c r="F1151" s="2">
        <v>3.8935185185185191E-2</v>
      </c>
      <c r="G1151">
        <v>0</v>
      </c>
      <c r="H1151" s="133">
        <v>45840</v>
      </c>
      <c r="I1151" s="2">
        <v>0.53893518518518524</v>
      </c>
      <c r="J1151">
        <v>12</v>
      </c>
      <c r="R1151" t="s">
        <v>30</v>
      </c>
      <c r="W1151">
        <v>1</v>
      </c>
      <c r="X1151" t="s">
        <v>30</v>
      </c>
      <c r="AC1151" t="s">
        <v>2905</v>
      </c>
      <c r="AE1151" s="135"/>
    </row>
    <row r="1152" spans="1:31" ht="12.5" customHeight="1" x14ac:dyDescent="0.35">
      <c r="A1152" t="s">
        <v>396</v>
      </c>
      <c r="C1152" t="s">
        <v>2906</v>
      </c>
      <c r="D1152" t="s">
        <v>385</v>
      </c>
      <c r="E1152" s="133">
        <v>45841</v>
      </c>
      <c r="F1152" s="2">
        <v>3.9004629629629632E-2</v>
      </c>
      <c r="G1152">
        <v>0</v>
      </c>
      <c r="H1152" s="133">
        <v>45840</v>
      </c>
      <c r="I1152" s="2">
        <v>0.53900462962962969</v>
      </c>
      <c r="J1152">
        <v>12</v>
      </c>
      <c r="R1152" t="s">
        <v>30</v>
      </c>
      <c r="W1152">
        <v>1</v>
      </c>
      <c r="X1152" t="s">
        <v>30</v>
      </c>
      <c r="AC1152" t="s">
        <v>2907</v>
      </c>
      <c r="AE1152" s="135"/>
    </row>
    <row r="1153" spans="1:31" ht="12.5" customHeight="1" x14ac:dyDescent="0.35">
      <c r="A1153" t="s">
        <v>396</v>
      </c>
      <c r="C1153" t="s">
        <v>2908</v>
      </c>
      <c r="D1153" t="s">
        <v>385</v>
      </c>
      <c r="E1153" s="133">
        <v>45841</v>
      </c>
      <c r="F1153" s="2">
        <v>3.9097222222222221E-2</v>
      </c>
      <c r="G1153">
        <v>0</v>
      </c>
      <c r="H1153" s="133">
        <v>45840</v>
      </c>
      <c r="I1153" s="2">
        <v>0.53909722222222223</v>
      </c>
      <c r="J1153">
        <v>12</v>
      </c>
      <c r="R1153" t="s">
        <v>30</v>
      </c>
      <c r="W1153">
        <v>1</v>
      </c>
      <c r="X1153" t="s">
        <v>30</v>
      </c>
      <c r="AC1153" t="s">
        <v>2909</v>
      </c>
      <c r="AE1153" s="135"/>
    </row>
    <row r="1154" spans="1:31" ht="12.5" customHeight="1" x14ac:dyDescent="0.35">
      <c r="A1154" t="s">
        <v>396</v>
      </c>
      <c r="C1154" t="s">
        <v>2910</v>
      </c>
      <c r="D1154" t="s">
        <v>385</v>
      </c>
      <c r="E1154" s="133">
        <v>45841</v>
      </c>
      <c r="F1154" s="2">
        <v>3.9166666666666662E-2</v>
      </c>
      <c r="G1154">
        <v>0</v>
      </c>
      <c r="H1154" s="133">
        <v>45840</v>
      </c>
      <c r="I1154" s="2">
        <v>0.53916666666666668</v>
      </c>
      <c r="J1154">
        <v>12</v>
      </c>
      <c r="R1154" t="s">
        <v>30</v>
      </c>
      <c r="W1154">
        <v>1</v>
      </c>
      <c r="X1154" t="s">
        <v>30</v>
      </c>
      <c r="AC1154" t="s">
        <v>2911</v>
      </c>
      <c r="AE1154" s="135"/>
    </row>
    <row r="1155" spans="1:31" ht="12.5" customHeight="1" x14ac:dyDescent="0.35">
      <c r="A1155" t="s">
        <v>396</v>
      </c>
      <c r="C1155" t="s">
        <v>2912</v>
      </c>
      <c r="D1155" t="s">
        <v>385</v>
      </c>
      <c r="E1155" s="133">
        <v>45841</v>
      </c>
      <c r="F1155" s="2">
        <v>3.923611111111111E-2</v>
      </c>
      <c r="G1155">
        <v>0</v>
      </c>
      <c r="H1155" s="133">
        <v>45840</v>
      </c>
      <c r="I1155" s="2">
        <v>0.53923611111111114</v>
      </c>
      <c r="J1155">
        <v>12</v>
      </c>
      <c r="R1155" t="s">
        <v>30</v>
      </c>
      <c r="W1155">
        <v>1</v>
      </c>
      <c r="X1155" t="s">
        <v>30</v>
      </c>
      <c r="AC1155" t="s">
        <v>2913</v>
      </c>
      <c r="AE1155" s="135"/>
    </row>
    <row r="1156" spans="1:31" ht="12.5" customHeight="1" x14ac:dyDescent="0.35">
      <c r="A1156" t="s">
        <v>396</v>
      </c>
      <c r="C1156" t="s">
        <v>2914</v>
      </c>
      <c r="D1156" t="s">
        <v>385</v>
      </c>
      <c r="E1156" s="133">
        <v>45841</v>
      </c>
      <c r="F1156" s="2">
        <v>3.9328703703703706E-2</v>
      </c>
      <c r="G1156">
        <v>0</v>
      </c>
      <c r="H1156" s="133">
        <v>45840</v>
      </c>
      <c r="I1156" s="2">
        <v>0.53932870370370367</v>
      </c>
      <c r="J1156">
        <v>12</v>
      </c>
      <c r="R1156" t="s">
        <v>30</v>
      </c>
      <c r="W1156">
        <v>1</v>
      </c>
      <c r="X1156" t="s">
        <v>30</v>
      </c>
      <c r="AC1156" t="s">
        <v>2915</v>
      </c>
      <c r="AE1156" s="135"/>
    </row>
    <row r="1157" spans="1:31" ht="12.5" customHeight="1" x14ac:dyDescent="0.35">
      <c r="A1157" t="s">
        <v>396</v>
      </c>
      <c r="C1157" t="s">
        <v>2916</v>
      </c>
      <c r="D1157" t="s">
        <v>385</v>
      </c>
      <c r="E1157" s="133">
        <v>45841</v>
      </c>
      <c r="F1157" s="2">
        <v>3.9398148148148147E-2</v>
      </c>
      <c r="G1157">
        <v>0</v>
      </c>
      <c r="H1157" s="133">
        <v>45840</v>
      </c>
      <c r="I1157" s="2">
        <v>0.53939814814814813</v>
      </c>
      <c r="J1157">
        <v>12</v>
      </c>
      <c r="R1157" t="s">
        <v>30</v>
      </c>
      <c r="W1157">
        <v>1</v>
      </c>
      <c r="X1157" t="s">
        <v>30</v>
      </c>
      <c r="AC1157" t="s">
        <v>2917</v>
      </c>
      <c r="AE1157" s="135"/>
    </row>
    <row r="1158" spans="1:31" ht="12.5" customHeight="1" x14ac:dyDescent="0.35">
      <c r="A1158" t="s">
        <v>396</v>
      </c>
      <c r="C1158" t="s">
        <v>2918</v>
      </c>
      <c r="D1158" t="s">
        <v>385</v>
      </c>
      <c r="E1158" s="133">
        <v>45841</v>
      </c>
      <c r="F1158" s="2">
        <v>3.9490740740740743E-2</v>
      </c>
      <c r="G1158">
        <v>0</v>
      </c>
      <c r="H1158" s="133">
        <v>45840</v>
      </c>
      <c r="I1158" s="2">
        <v>0.53949074074074077</v>
      </c>
      <c r="J1158">
        <v>12</v>
      </c>
      <c r="R1158" t="s">
        <v>30</v>
      </c>
      <c r="W1158">
        <v>1</v>
      </c>
      <c r="X1158" t="s">
        <v>30</v>
      </c>
      <c r="AC1158" t="s">
        <v>2919</v>
      </c>
      <c r="AE1158" s="135"/>
    </row>
    <row r="1159" spans="1:31" ht="12.5" customHeight="1" x14ac:dyDescent="0.35">
      <c r="A1159" t="s">
        <v>396</v>
      </c>
      <c r="C1159" t="s">
        <v>2920</v>
      </c>
      <c r="D1159" t="s">
        <v>385</v>
      </c>
      <c r="E1159" s="133">
        <v>45841</v>
      </c>
      <c r="F1159" s="2">
        <v>3.9583333333333331E-2</v>
      </c>
      <c r="G1159">
        <v>0</v>
      </c>
      <c r="H1159" s="133">
        <v>45840</v>
      </c>
      <c r="I1159" s="2">
        <v>0.5395833333333333</v>
      </c>
      <c r="J1159">
        <v>12</v>
      </c>
      <c r="R1159" t="s">
        <v>30</v>
      </c>
      <c r="W1159">
        <v>1</v>
      </c>
      <c r="X1159" t="s">
        <v>30</v>
      </c>
      <c r="AC1159" t="s">
        <v>2921</v>
      </c>
      <c r="AE1159" s="135"/>
    </row>
    <row r="1160" spans="1:31" ht="12.5" customHeight="1" x14ac:dyDescent="0.35">
      <c r="A1160" t="s">
        <v>396</v>
      </c>
      <c r="C1160" t="s">
        <v>2922</v>
      </c>
      <c r="D1160" t="s">
        <v>385</v>
      </c>
      <c r="E1160" s="133">
        <v>45841</v>
      </c>
      <c r="F1160" s="2">
        <v>3.965277777777778E-2</v>
      </c>
      <c r="G1160">
        <v>0</v>
      </c>
      <c r="H1160" s="133">
        <v>45840</v>
      </c>
      <c r="I1160" s="2">
        <v>0.53965277777777776</v>
      </c>
      <c r="J1160">
        <v>12</v>
      </c>
      <c r="R1160" t="s">
        <v>30</v>
      </c>
      <c r="W1160">
        <v>1</v>
      </c>
      <c r="X1160" t="s">
        <v>30</v>
      </c>
      <c r="AC1160" t="s">
        <v>2923</v>
      </c>
      <c r="AE1160" s="135"/>
    </row>
    <row r="1161" spans="1:31" ht="12.5" customHeight="1" x14ac:dyDescent="0.35">
      <c r="A1161" t="s">
        <v>396</v>
      </c>
      <c r="C1161" t="s">
        <v>2924</v>
      </c>
      <c r="D1161" t="s">
        <v>385</v>
      </c>
      <c r="E1161" s="133">
        <v>45841</v>
      </c>
      <c r="F1161" s="2">
        <v>3.9745370370370368E-2</v>
      </c>
      <c r="G1161">
        <v>0</v>
      </c>
      <c r="H1161" s="133">
        <v>45840</v>
      </c>
      <c r="I1161" s="2">
        <v>0.5397453703703704</v>
      </c>
      <c r="J1161">
        <v>12</v>
      </c>
      <c r="R1161" t="s">
        <v>30</v>
      </c>
      <c r="W1161">
        <v>1</v>
      </c>
      <c r="X1161" t="s">
        <v>30</v>
      </c>
      <c r="AC1161" t="s">
        <v>2925</v>
      </c>
      <c r="AE1161" s="135"/>
    </row>
    <row r="1162" spans="1:31" ht="12.5" customHeight="1" x14ac:dyDescent="0.35">
      <c r="A1162" t="s">
        <v>396</v>
      </c>
      <c r="C1162" t="s">
        <v>2926</v>
      </c>
      <c r="D1162" t="s">
        <v>385</v>
      </c>
      <c r="E1162" s="133">
        <v>45841</v>
      </c>
      <c r="F1162" s="2">
        <v>3.9814814814814817E-2</v>
      </c>
      <c r="G1162">
        <v>0</v>
      </c>
      <c r="H1162" s="133">
        <v>45840</v>
      </c>
      <c r="I1162" s="2">
        <v>0.53981481481481486</v>
      </c>
      <c r="J1162">
        <v>12</v>
      </c>
      <c r="R1162" t="s">
        <v>30</v>
      </c>
      <c r="W1162">
        <v>1</v>
      </c>
      <c r="X1162" t="s">
        <v>30</v>
      </c>
      <c r="AC1162" t="s">
        <v>2927</v>
      </c>
      <c r="AE1162" s="135"/>
    </row>
    <row r="1163" spans="1:31" ht="12.5" customHeight="1" x14ac:dyDescent="0.35">
      <c r="A1163" t="s">
        <v>396</v>
      </c>
      <c r="C1163" t="s">
        <v>2928</v>
      </c>
      <c r="D1163" t="s">
        <v>385</v>
      </c>
      <c r="E1163" s="133">
        <v>45841</v>
      </c>
      <c r="F1163" s="2">
        <v>3.9884259259259258E-2</v>
      </c>
      <c r="G1163">
        <v>0</v>
      </c>
      <c r="H1163" s="133">
        <v>45840</v>
      </c>
      <c r="I1163" s="2">
        <v>0.53988425925925931</v>
      </c>
      <c r="J1163">
        <v>12</v>
      </c>
      <c r="R1163" t="s">
        <v>30</v>
      </c>
      <c r="W1163">
        <v>1</v>
      </c>
      <c r="X1163" t="s">
        <v>30</v>
      </c>
      <c r="AC1163" t="s">
        <v>2929</v>
      </c>
      <c r="AE1163" s="135"/>
    </row>
    <row r="1164" spans="1:31" ht="12.5" customHeight="1" x14ac:dyDescent="0.35">
      <c r="A1164" t="s">
        <v>396</v>
      </c>
      <c r="C1164" t="s">
        <v>2930</v>
      </c>
      <c r="D1164" t="s">
        <v>385</v>
      </c>
      <c r="E1164" s="133">
        <v>45841</v>
      </c>
      <c r="F1164" s="2">
        <v>3.9976851851851854E-2</v>
      </c>
      <c r="G1164">
        <v>0</v>
      </c>
      <c r="H1164" s="133">
        <v>45840</v>
      </c>
      <c r="I1164" s="2">
        <v>0.53997685185185185</v>
      </c>
      <c r="J1164">
        <v>12</v>
      </c>
      <c r="R1164" t="s">
        <v>30</v>
      </c>
      <c r="W1164">
        <v>1</v>
      </c>
      <c r="X1164" t="s">
        <v>30</v>
      </c>
      <c r="AC1164" t="s">
        <v>2931</v>
      </c>
      <c r="AE1164" s="135"/>
    </row>
    <row r="1165" spans="1:31" ht="12.5" customHeight="1" x14ac:dyDescent="0.35">
      <c r="A1165" t="s">
        <v>396</v>
      </c>
      <c r="C1165" t="s">
        <v>2932</v>
      </c>
      <c r="D1165" t="s">
        <v>385</v>
      </c>
      <c r="E1165" s="133">
        <v>45841</v>
      </c>
      <c r="F1165" s="2">
        <v>4.0046296296296295E-2</v>
      </c>
      <c r="G1165">
        <v>0</v>
      </c>
      <c r="H1165" s="133">
        <v>45840</v>
      </c>
      <c r="I1165" s="2">
        <v>0.5400462962962963</v>
      </c>
      <c r="J1165">
        <v>12</v>
      </c>
      <c r="R1165" t="s">
        <v>30</v>
      </c>
      <c r="W1165">
        <v>1</v>
      </c>
      <c r="X1165" t="s">
        <v>30</v>
      </c>
      <c r="AC1165" t="s">
        <v>2933</v>
      </c>
      <c r="AE1165" s="135"/>
    </row>
    <row r="1166" spans="1:31" ht="12.5" customHeight="1" x14ac:dyDescent="0.35">
      <c r="A1166" t="s">
        <v>396</v>
      </c>
      <c r="C1166" t="s">
        <v>2934</v>
      </c>
      <c r="D1166" t="s">
        <v>385</v>
      </c>
      <c r="E1166" s="133">
        <v>45841</v>
      </c>
      <c r="F1166" s="2">
        <v>4.0138888888888884E-2</v>
      </c>
      <c r="G1166">
        <v>0</v>
      </c>
      <c r="H1166" s="133">
        <v>45840</v>
      </c>
      <c r="I1166" s="2">
        <v>0.54013888888888884</v>
      </c>
      <c r="J1166">
        <v>12</v>
      </c>
      <c r="R1166" t="s">
        <v>30</v>
      </c>
      <c r="W1166">
        <v>1</v>
      </c>
      <c r="X1166" t="s">
        <v>30</v>
      </c>
      <c r="AC1166" t="s">
        <v>2935</v>
      </c>
      <c r="AE1166" s="135"/>
    </row>
    <row r="1167" spans="1:31" ht="12.5" customHeight="1" x14ac:dyDescent="0.35">
      <c r="A1167" t="s">
        <v>396</v>
      </c>
      <c r="C1167" t="s">
        <v>2936</v>
      </c>
      <c r="D1167" t="s">
        <v>385</v>
      </c>
      <c r="E1167" s="133">
        <v>45841</v>
      </c>
      <c r="F1167" s="2">
        <v>4.0208333333333332E-2</v>
      </c>
      <c r="G1167">
        <v>0</v>
      </c>
      <c r="H1167" s="133">
        <v>45840</v>
      </c>
      <c r="I1167" s="2">
        <v>0.54020833333333329</v>
      </c>
      <c r="J1167">
        <v>12</v>
      </c>
      <c r="R1167" t="s">
        <v>30</v>
      </c>
      <c r="W1167">
        <v>1</v>
      </c>
      <c r="X1167" t="s">
        <v>30</v>
      </c>
      <c r="AC1167" t="s">
        <v>2937</v>
      </c>
      <c r="AE1167" s="135"/>
    </row>
    <row r="1168" spans="1:31" ht="12.5" customHeight="1" x14ac:dyDescent="0.35">
      <c r="A1168" t="s">
        <v>396</v>
      </c>
      <c r="C1168" t="s">
        <v>2938</v>
      </c>
      <c r="D1168" t="s">
        <v>385</v>
      </c>
      <c r="E1168" s="133">
        <v>45841</v>
      </c>
      <c r="F1168" s="2">
        <v>4.027777777777778E-2</v>
      </c>
      <c r="G1168">
        <v>0</v>
      </c>
      <c r="H1168" s="133">
        <v>45840</v>
      </c>
      <c r="I1168" s="2">
        <v>0.54027777777777775</v>
      </c>
      <c r="J1168">
        <v>12</v>
      </c>
      <c r="R1168" t="s">
        <v>30</v>
      </c>
      <c r="W1168">
        <v>1</v>
      </c>
      <c r="X1168" t="s">
        <v>30</v>
      </c>
      <c r="AC1168" t="s">
        <v>2939</v>
      </c>
      <c r="AE1168" s="135"/>
    </row>
    <row r="1169" spans="1:31" ht="12.5" customHeight="1" x14ac:dyDescent="0.35">
      <c r="A1169" t="s">
        <v>396</v>
      </c>
      <c r="C1169" t="s">
        <v>2940</v>
      </c>
      <c r="D1169" t="s">
        <v>385</v>
      </c>
      <c r="E1169" s="133">
        <v>45841</v>
      </c>
      <c r="F1169" s="2">
        <v>4.0347222222222222E-2</v>
      </c>
      <c r="G1169">
        <v>0</v>
      </c>
      <c r="H1169" s="133">
        <v>45840</v>
      </c>
      <c r="I1169" s="2">
        <v>0.5403472222222222</v>
      </c>
      <c r="J1169">
        <v>12</v>
      </c>
      <c r="R1169" t="s">
        <v>30</v>
      </c>
      <c r="W1169">
        <v>1</v>
      </c>
      <c r="X1169" t="s">
        <v>30</v>
      </c>
      <c r="AC1169" t="s">
        <v>2941</v>
      </c>
      <c r="AE1169" s="135"/>
    </row>
    <row r="1170" spans="1:31" ht="12.5" customHeight="1" x14ac:dyDescent="0.35">
      <c r="A1170" t="s">
        <v>396</v>
      </c>
      <c r="C1170" t="s">
        <v>2942</v>
      </c>
      <c r="D1170" t="s">
        <v>385</v>
      </c>
      <c r="E1170" s="133">
        <v>45841</v>
      </c>
      <c r="F1170" s="2">
        <v>4.0439814814814817E-2</v>
      </c>
      <c r="G1170">
        <v>0</v>
      </c>
      <c r="H1170" s="133">
        <v>45840</v>
      </c>
      <c r="I1170" s="2">
        <v>0.54043981481481485</v>
      </c>
      <c r="J1170">
        <v>12</v>
      </c>
      <c r="K1170" t="s">
        <v>2943</v>
      </c>
      <c r="R1170" t="s">
        <v>2944</v>
      </c>
      <c r="S1170">
        <v>4</v>
      </c>
      <c r="T1170">
        <v>3</v>
      </c>
      <c r="U1170" t="s">
        <v>453</v>
      </c>
      <c r="V1170" t="s">
        <v>2945</v>
      </c>
      <c r="W1170">
        <v>1</v>
      </c>
      <c r="X1170" t="s">
        <v>1105</v>
      </c>
      <c r="AC1170" t="s">
        <v>2946</v>
      </c>
      <c r="AE1170" s="135"/>
    </row>
    <row r="1171" spans="1:31" ht="12.5" customHeight="1" x14ac:dyDescent="0.35">
      <c r="A1171" t="s">
        <v>396</v>
      </c>
      <c r="C1171" t="s">
        <v>2947</v>
      </c>
      <c r="D1171" t="s">
        <v>385</v>
      </c>
      <c r="E1171" s="133">
        <v>45841</v>
      </c>
      <c r="F1171" s="2">
        <v>4.0532407407407406E-2</v>
      </c>
      <c r="G1171">
        <v>0</v>
      </c>
      <c r="H1171" s="133">
        <v>45840</v>
      </c>
      <c r="I1171" s="2">
        <v>0.54053240740740738</v>
      </c>
      <c r="J1171">
        <v>12</v>
      </c>
      <c r="R1171" t="s">
        <v>30</v>
      </c>
      <c r="W1171">
        <v>1</v>
      </c>
      <c r="X1171" t="s">
        <v>30</v>
      </c>
      <c r="AC1171" t="s">
        <v>2948</v>
      </c>
      <c r="AE1171" s="135"/>
    </row>
    <row r="1172" spans="1:31" ht="12.5" customHeight="1" x14ac:dyDescent="0.35">
      <c r="A1172" t="s">
        <v>396</v>
      </c>
      <c r="C1172" t="s">
        <v>2949</v>
      </c>
      <c r="D1172" t="s">
        <v>385</v>
      </c>
      <c r="E1172" s="133">
        <v>45841</v>
      </c>
      <c r="F1172" s="2">
        <v>4.0625000000000001E-2</v>
      </c>
      <c r="G1172">
        <v>0</v>
      </c>
      <c r="H1172" s="133">
        <v>45840</v>
      </c>
      <c r="I1172" s="2">
        <v>0.54062500000000002</v>
      </c>
      <c r="J1172">
        <v>12</v>
      </c>
      <c r="R1172" t="s">
        <v>30</v>
      </c>
      <c r="W1172">
        <v>1</v>
      </c>
      <c r="X1172" t="s">
        <v>30</v>
      </c>
      <c r="AC1172" t="s">
        <v>2950</v>
      </c>
      <c r="AE1172" s="135"/>
    </row>
    <row r="1173" spans="1:31" ht="12.5" customHeight="1" x14ac:dyDescent="0.35">
      <c r="A1173" t="s">
        <v>396</v>
      </c>
      <c r="C1173" t="s">
        <v>2951</v>
      </c>
      <c r="D1173" t="s">
        <v>385</v>
      </c>
      <c r="E1173" s="133">
        <v>45841</v>
      </c>
      <c r="F1173" s="2">
        <v>4.071759259259259E-2</v>
      </c>
      <c r="G1173">
        <v>0</v>
      </c>
      <c r="H1173" s="133">
        <v>45840</v>
      </c>
      <c r="I1173" s="2">
        <v>0.54071759259259256</v>
      </c>
      <c r="J1173">
        <v>12</v>
      </c>
      <c r="R1173" t="s">
        <v>30</v>
      </c>
      <c r="W1173">
        <v>1</v>
      </c>
      <c r="X1173" t="s">
        <v>30</v>
      </c>
      <c r="AC1173" t="s">
        <v>2952</v>
      </c>
      <c r="AE1173" s="135"/>
    </row>
    <row r="1174" spans="1:31" ht="12.5" customHeight="1" x14ac:dyDescent="0.35">
      <c r="A1174" t="s">
        <v>396</v>
      </c>
      <c r="C1174" t="s">
        <v>2953</v>
      </c>
      <c r="D1174" t="s">
        <v>385</v>
      </c>
      <c r="E1174" s="133">
        <v>45841</v>
      </c>
      <c r="F1174" s="2">
        <v>4.0787037037037038E-2</v>
      </c>
      <c r="G1174">
        <v>0</v>
      </c>
      <c r="H1174" s="133">
        <v>45840</v>
      </c>
      <c r="I1174" s="2">
        <v>0.54078703703703701</v>
      </c>
      <c r="J1174">
        <v>12</v>
      </c>
      <c r="R1174" t="s">
        <v>30</v>
      </c>
      <c r="W1174">
        <v>1</v>
      </c>
      <c r="X1174" t="s">
        <v>30</v>
      </c>
      <c r="AC1174" t="s">
        <v>2954</v>
      </c>
      <c r="AE1174" s="135"/>
    </row>
    <row r="1175" spans="1:31" ht="12.5" customHeight="1" x14ac:dyDescent="0.35">
      <c r="A1175" t="s">
        <v>396</v>
      </c>
      <c r="C1175" t="s">
        <v>2955</v>
      </c>
      <c r="D1175" t="s">
        <v>385</v>
      </c>
      <c r="E1175" s="133">
        <v>45841</v>
      </c>
      <c r="F1175" s="2">
        <v>4.0879629629629634E-2</v>
      </c>
      <c r="G1175">
        <v>0</v>
      </c>
      <c r="H1175" s="133">
        <v>45840</v>
      </c>
      <c r="I1175" s="2">
        <v>0.54087962962962965</v>
      </c>
      <c r="J1175">
        <v>12</v>
      </c>
      <c r="R1175" t="s">
        <v>30</v>
      </c>
      <c r="W1175">
        <v>1</v>
      </c>
      <c r="X1175" t="s">
        <v>30</v>
      </c>
      <c r="AC1175" t="s">
        <v>2956</v>
      </c>
      <c r="AE1175" s="135"/>
    </row>
    <row r="1176" spans="1:31" ht="12.5" customHeight="1" x14ac:dyDescent="0.35">
      <c r="A1176" t="s">
        <v>396</v>
      </c>
      <c r="C1176" t="s">
        <v>2957</v>
      </c>
      <c r="D1176" t="s">
        <v>385</v>
      </c>
      <c r="E1176" s="133">
        <v>45841</v>
      </c>
      <c r="F1176" s="2">
        <v>4.0949074074074075E-2</v>
      </c>
      <c r="G1176">
        <v>0</v>
      </c>
      <c r="H1176" s="133">
        <v>45840</v>
      </c>
      <c r="I1176" s="2">
        <v>0.54094907407407411</v>
      </c>
      <c r="J1176">
        <v>12</v>
      </c>
      <c r="R1176" t="s">
        <v>30</v>
      </c>
      <c r="W1176">
        <v>1</v>
      </c>
      <c r="X1176" t="s">
        <v>30</v>
      </c>
      <c r="AC1176" t="s">
        <v>2958</v>
      </c>
      <c r="AE1176" s="135"/>
    </row>
    <row r="1177" spans="1:31" ht="12.5" customHeight="1" x14ac:dyDescent="0.35">
      <c r="A1177" t="s">
        <v>396</v>
      </c>
      <c r="C1177" t="s">
        <v>2959</v>
      </c>
      <c r="D1177" t="s">
        <v>385</v>
      </c>
      <c r="E1177" s="133">
        <v>45841</v>
      </c>
      <c r="F1177" s="2">
        <v>4.1041666666666664E-2</v>
      </c>
      <c r="G1177">
        <v>0</v>
      </c>
      <c r="H1177" s="133">
        <v>45840</v>
      </c>
      <c r="I1177" s="2">
        <v>0.54104166666666664</v>
      </c>
      <c r="J1177">
        <v>12</v>
      </c>
      <c r="R1177" t="s">
        <v>30</v>
      </c>
      <c r="W1177">
        <v>1</v>
      </c>
      <c r="X1177" t="s">
        <v>30</v>
      </c>
      <c r="AC1177" t="s">
        <v>2960</v>
      </c>
      <c r="AE1177" s="135"/>
    </row>
    <row r="1178" spans="1:31" ht="12.5" customHeight="1" x14ac:dyDescent="0.35">
      <c r="A1178" t="s">
        <v>396</v>
      </c>
      <c r="C1178" t="s">
        <v>2961</v>
      </c>
      <c r="D1178" t="s">
        <v>385</v>
      </c>
      <c r="E1178" s="133">
        <v>45841</v>
      </c>
      <c r="F1178" s="2">
        <v>4.1111111111111112E-2</v>
      </c>
      <c r="G1178">
        <v>0</v>
      </c>
      <c r="H1178" s="133">
        <v>45840</v>
      </c>
      <c r="I1178" s="2">
        <v>0.5411111111111111</v>
      </c>
      <c r="J1178">
        <v>12</v>
      </c>
      <c r="R1178" t="s">
        <v>30</v>
      </c>
      <c r="W1178">
        <v>1</v>
      </c>
      <c r="X1178" t="s">
        <v>30</v>
      </c>
      <c r="AC1178" t="s">
        <v>2962</v>
      </c>
      <c r="AE1178" s="135"/>
    </row>
    <row r="1179" spans="1:31" ht="12.5" customHeight="1" x14ac:dyDescent="0.35">
      <c r="A1179" t="s">
        <v>396</v>
      </c>
      <c r="C1179" t="s">
        <v>2963</v>
      </c>
      <c r="D1179" t="s">
        <v>385</v>
      </c>
      <c r="E1179" s="133">
        <v>45841</v>
      </c>
      <c r="F1179" s="2">
        <v>4.1180555555555554E-2</v>
      </c>
      <c r="G1179">
        <v>0</v>
      </c>
      <c r="H1179" s="133">
        <v>45840</v>
      </c>
      <c r="I1179" s="2">
        <v>0.54118055555555555</v>
      </c>
      <c r="J1179">
        <v>12</v>
      </c>
      <c r="R1179" t="s">
        <v>30</v>
      </c>
      <c r="W1179">
        <v>1</v>
      </c>
      <c r="X1179" t="s">
        <v>30</v>
      </c>
      <c r="AC1179" t="s">
        <v>2964</v>
      </c>
      <c r="AE1179" s="135"/>
    </row>
    <row r="1180" spans="1:31" ht="12.5" customHeight="1" x14ac:dyDescent="0.35">
      <c r="A1180" t="s">
        <v>396</v>
      </c>
      <c r="C1180" t="s">
        <v>2965</v>
      </c>
      <c r="D1180" t="s">
        <v>385</v>
      </c>
      <c r="E1180" s="133">
        <v>45841</v>
      </c>
      <c r="F1180" s="2">
        <v>4.1273148148148149E-2</v>
      </c>
      <c r="G1180">
        <v>0</v>
      </c>
      <c r="H1180" s="133">
        <v>45840</v>
      </c>
      <c r="I1180" s="2">
        <v>0.5412731481481482</v>
      </c>
      <c r="J1180">
        <v>12</v>
      </c>
      <c r="R1180" t="s">
        <v>30</v>
      </c>
      <c r="W1180">
        <v>1</v>
      </c>
      <c r="X1180" t="s">
        <v>30</v>
      </c>
      <c r="AC1180" t="s">
        <v>2966</v>
      </c>
      <c r="AE1180" s="135"/>
    </row>
    <row r="1181" spans="1:31" ht="12.5" customHeight="1" x14ac:dyDescent="0.35">
      <c r="A1181" t="s">
        <v>396</v>
      </c>
      <c r="C1181" t="s">
        <v>2967</v>
      </c>
      <c r="D1181" t="s">
        <v>385</v>
      </c>
      <c r="E1181" s="133">
        <v>45841</v>
      </c>
      <c r="F1181" s="2">
        <v>4.1365740740740745E-2</v>
      </c>
      <c r="G1181">
        <v>0</v>
      </c>
      <c r="H1181" s="133">
        <v>45840</v>
      </c>
      <c r="I1181" s="2">
        <v>0.54136574074074073</v>
      </c>
      <c r="J1181">
        <v>12</v>
      </c>
      <c r="R1181" t="s">
        <v>30</v>
      </c>
      <c r="W1181">
        <v>1</v>
      </c>
      <c r="X1181" t="s">
        <v>30</v>
      </c>
      <c r="AC1181" t="s">
        <v>2968</v>
      </c>
      <c r="AE1181" s="135"/>
    </row>
    <row r="1182" spans="1:31" ht="12.5" customHeight="1" x14ac:dyDescent="0.35">
      <c r="A1182" t="s">
        <v>396</v>
      </c>
      <c r="C1182" t="s">
        <v>2969</v>
      </c>
      <c r="D1182" t="s">
        <v>385</v>
      </c>
      <c r="E1182" s="133">
        <v>45841</v>
      </c>
      <c r="F1182" s="2">
        <v>4.1435185185185179E-2</v>
      </c>
      <c r="G1182">
        <v>0</v>
      </c>
      <c r="H1182" s="133">
        <v>45840</v>
      </c>
      <c r="I1182" s="2">
        <v>0.54143518518518519</v>
      </c>
      <c r="J1182">
        <v>12</v>
      </c>
      <c r="R1182" t="s">
        <v>30</v>
      </c>
      <c r="W1182">
        <v>1</v>
      </c>
      <c r="X1182" t="s">
        <v>30</v>
      </c>
      <c r="AC1182" t="s">
        <v>2970</v>
      </c>
      <c r="AE1182" s="135"/>
    </row>
    <row r="1183" spans="1:31" ht="12.5" customHeight="1" x14ac:dyDescent="0.35">
      <c r="A1183" t="s">
        <v>396</v>
      </c>
      <c r="C1183" t="s">
        <v>2971</v>
      </c>
      <c r="D1183" t="s">
        <v>385</v>
      </c>
      <c r="E1183" s="133">
        <v>45841</v>
      </c>
      <c r="F1183" s="2">
        <v>4.1527777777777775E-2</v>
      </c>
      <c r="G1183">
        <v>0</v>
      </c>
      <c r="H1183" s="133">
        <v>45840</v>
      </c>
      <c r="I1183" s="2">
        <v>0.54152777777777772</v>
      </c>
      <c r="J1183">
        <v>12</v>
      </c>
      <c r="R1183" t="s">
        <v>30</v>
      </c>
      <c r="W1183">
        <v>1</v>
      </c>
      <c r="X1183" t="s">
        <v>30</v>
      </c>
      <c r="AC1183" t="s">
        <v>2972</v>
      </c>
      <c r="AE1183" s="135"/>
    </row>
    <row r="1184" spans="1:31" ht="12.5" customHeight="1" x14ac:dyDescent="0.35">
      <c r="A1184" t="s">
        <v>396</v>
      </c>
      <c r="C1184" t="s">
        <v>2973</v>
      </c>
      <c r="D1184" t="s">
        <v>385</v>
      </c>
      <c r="E1184" s="133">
        <v>45841</v>
      </c>
      <c r="F1184" s="2">
        <v>4.1597222222222223E-2</v>
      </c>
      <c r="G1184">
        <v>0</v>
      </c>
      <c r="H1184" s="133">
        <v>45840</v>
      </c>
      <c r="I1184" s="2">
        <v>0.54159722222222217</v>
      </c>
      <c r="J1184">
        <v>12</v>
      </c>
      <c r="R1184" t="s">
        <v>30</v>
      </c>
      <c r="W1184">
        <v>1</v>
      </c>
      <c r="X1184" t="s">
        <v>30</v>
      </c>
      <c r="AC1184" t="s">
        <v>2974</v>
      </c>
      <c r="AE1184" s="135"/>
    </row>
    <row r="1185" spans="1:31" ht="12.5" customHeight="1" x14ac:dyDescent="0.35">
      <c r="A1185" t="s">
        <v>396</v>
      </c>
      <c r="C1185" t="s">
        <v>2975</v>
      </c>
      <c r="D1185" t="s">
        <v>385</v>
      </c>
      <c r="E1185" s="133">
        <v>45841</v>
      </c>
      <c r="F1185" s="2">
        <v>4.1666666666666664E-2</v>
      </c>
      <c r="G1185">
        <v>1</v>
      </c>
      <c r="H1185" s="133">
        <v>45840</v>
      </c>
      <c r="I1185" s="2">
        <v>0.54166666666666663</v>
      </c>
      <c r="J1185">
        <v>13</v>
      </c>
      <c r="R1185" t="s">
        <v>30</v>
      </c>
      <c r="W1185">
        <v>1</v>
      </c>
      <c r="X1185" t="s">
        <v>30</v>
      </c>
      <c r="AC1185" t="s">
        <v>2976</v>
      </c>
      <c r="AE1185" s="135"/>
    </row>
    <row r="1186" spans="1:31" ht="12.5" customHeight="1" x14ac:dyDescent="0.35">
      <c r="A1186" t="s">
        <v>396</v>
      </c>
      <c r="C1186" t="s">
        <v>2977</v>
      </c>
      <c r="D1186" t="s">
        <v>385</v>
      </c>
      <c r="E1186" s="133">
        <v>45841</v>
      </c>
      <c r="F1186" s="2">
        <v>4.1759259259259253E-2</v>
      </c>
      <c r="G1186">
        <v>1</v>
      </c>
      <c r="H1186" s="133">
        <v>45840</v>
      </c>
      <c r="I1186" s="2">
        <v>0.54175925925925927</v>
      </c>
      <c r="J1186">
        <v>13</v>
      </c>
      <c r="R1186" t="s">
        <v>30</v>
      </c>
      <c r="W1186">
        <v>1</v>
      </c>
      <c r="X1186" t="s">
        <v>30</v>
      </c>
      <c r="AC1186" t="s">
        <v>2978</v>
      </c>
      <c r="AE1186" s="135"/>
    </row>
    <row r="1187" spans="1:31" ht="12.5" customHeight="1" x14ac:dyDescent="0.35">
      <c r="A1187" t="s">
        <v>396</v>
      </c>
      <c r="C1187" t="s">
        <v>2979</v>
      </c>
      <c r="D1187" t="s">
        <v>385</v>
      </c>
      <c r="E1187" s="133">
        <v>45841</v>
      </c>
      <c r="F1187" s="2">
        <v>4.1828703703703701E-2</v>
      </c>
      <c r="G1187">
        <v>1</v>
      </c>
      <c r="H1187" s="133">
        <v>45840</v>
      </c>
      <c r="I1187" s="2">
        <v>0.54182870370370373</v>
      </c>
      <c r="J1187">
        <v>13</v>
      </c>
      <c r="R1187" t="s">
        <v>30</v>
      </c>
      <c r="W1187">
        <v>1</v>
      </c>
      <c r="X1187" t="s">
        <v>30</v>
      </c>
      <c r="AC1187" t="s">
        <v>2980</v>
      </c>
      <c r="AE1187" s="135"/>
    </row>
    <row r="1188" spans="1:31" ht="12.5" customHeight="1" x14ac:dyDescent="0.35">
      <c r="A1188" t="s">
        <v>396</v>
      </c>
      <c r="C1188" t="s">
        <v>2981</v>
      </c>
      <c r="D1188" t="s">
        <v>385</v>
      </c>
      <c r="E1188" s="133">
        <v>45841</v>
      </c>
      <c r="F1188" s="2">
        <v>4.189814814814815E-2</v>
      </c>
      <c r="G1188">
        <v>1</v>
      </c>
      <c r="H1188" s="133">
        <v>45840</v>
      </c>
      <c r="I1188" s="2">
        <v>0.54189814814814818</v>
      </c>
      <c r="J1188">
        <v>13</v>
      </c>
      <c r="R1188" t="s">
        <v>30</v>
      </c>
      <c r="W1188">
        <v>1</v>
      </c>
      <c r="X1188" t="s">
        <v>30</v>
      </c>
      <c r="AC1188" t="s">
        <v>2982</v>
      </c>
      <c r="AE1188" s="135"/>
    </row>
    <row r="1189" spans="1:31" ht="12.5" customHeight="1" x14ac:dyDescent="0.35">
      <c r="A1189" t="s">
        <v>396</v>
      </c>
      <c r="C1189" t="s">
        <v>2983</v>
      </c>
      <c r="D1189" t="s">
        <v>385</v>
      </c>
      <c r="E1189" s="133">
        <v>45841</v>
      </c>
      <c r="F1189" s="2">
        <v>4.1990740740740745E-2</v>
      </c>
      <c r="G1189">
        <v>1</v>
      </c>
      <c r="H1189" s="133">
        <v>45840</v>
      </c>
      <c r="I1189" s="2">
        <v>0.54199074074074072</v>
      </c>
      <c r="J1189">
        <v>13</v>
      </c>
      <c r="R1189" t="s">
        <v>30</v>
      </c>
      <c r="W1189">
        <v>1</v>
      </c>
      <c r="X1189" t="s">
        <v>30</v>
      </c>
      <c r="AC1189" t="s">
        <v>2984</v>
      </c>
      <c r="AE1189" s="135"/>
    </row>
    <row r="1190" spans="1:31" ht="12.5" customHeight="1" x14ac:dyDescent="0.35">
      <c r="A1190" t="s">
        <v>396</v>
      </c>
      <c r="C1190" t="s">
        <v>2985</v>
      </c>
      <c r="D1190" t="s">
        <v>385</v>
      </c>
      <c r="E1190" s="133">
        <v>45841</v>
      </c>
      <c r="F1190" s="2">
        <v>4.206018518518518E-2</v>
      </c>
      <c r="G1190">
        <v>1</v>
      </c>
      <c r="H1190" s="133">
        <v>45840</v>
      </c>
      <c r="I1190" s="2">
        <v>0.54206018518518517</v>
      </c>
      <c r="J1190">
        <v>13</v>
      </c>
      <c r="R1190" t="s">
        <v>30</v>
      </c>
      <c r="W1190">
        <v>1</v>
      </c>
      <c r="X1190" t="s">
        <v>30</v>
      </c>
      <c r="AC1190" t="s">
        <v>2986</v>
      </c>
      <c r="AE1190" s="135"/>
    </row>
    <row r="1191" spans="1:31" ht="12.5" customHeight="1" x14ac:dyDescent="0.35">
      <c r="A1191" t="s">
        <v>396</v>
      </c>
      <c r="C1191" t="s">
        <v>2987</v>
      </c>
      <c r="D1191" t="s">
        <v>385</v>
      </c>
      <c r="E1191" s="133">
        <v>45841</v>
      </c>
      <c r="F1191" s="2">
        <v>4.2152777777777782E-2</v>
      </c>
      <c r="G1191">
        <v>1</v>
      </c>
      <c r="H1191" s="133">
        <v>45840</v>
      </c>
      <c r="I1191" s="2">
        <v>0.54215277777777782</v>
      </c>
      <c r="J1191">
        <v>13</v>
      </c>
      <c r="R1191" t="s">
        <v>30</v>
      </c>
      <c r="W1191">
        <v>1</v>
      </c>
      <c r="X1191" t="s">
        <v>30</v>
      </c>
      <c r="AC1191" t="s">
        <v>2988</v>
      </c>
      <c r="AE1191" s="135"/>
    </row>
    <row r="1192" spans="1:31" ht="12.5" customHeight="1" x14ac:dyDescent="0.35">
      <c r="A1192" t="s">
        <v>396</v>
      </c>
      <c r="C1192" t="s">
        <v>2989</v>
      </c>
      <c r="D1192" t="s">
        <v>385</v>
      </c>
      <c r="E1192" s="133">
        <v>45841</v>
      </c>
      <c r="F1192" s="2">
        <v>4.2222222222222223E-2</v>
      </c>
      <c r="G1192">
        <v>1</v>
      </c>
      <c r="H1192" s="133">
        <v>45840</v>
      </c>
      <c r="I1192" s="2">
        <v>0.54222222222222227</v>
      </c>
      <c r="J1192">
        <v>13</v>
      </c>
      <c r="R1192" t="s">
        <v>30</v>
      </c>
      <c r="W1192">
        <v>1</v>
      </c>
      <c r="X1192" t="s">
        <v>30</v>
      </c>
      <c r="AC1192" t="s">
        <v>2990</v>
      </c>
      <c r="AE1192" s="135"/>
    </row>
    <row r="1193" spans="1:31" ht="12.5" customHeight="1" x14ac:dyDescent="0.35">
      <c r="A1193" t="s">
        <v>396</v>
      </c>
      <c r="C1193" t="s">
        <v>2991</v>
      </c>
      <c r="D1193" t="s">
        <v>385</v>
      </c>
      <c r="E1193" s="133">
        <v>45841</v>
      </c>
      <c r="F1193" s="2">
        <v>4.2291666666666665E-2</v>
      </c>
      <c r="G1193">
        <v>1</v>
      </c>
      <c r="H1193" s="133">
        <v>45840</v>
      </c>
      <c r="I1193" s="2">
        <v>0.54229166666666673</v>
      </c>
      <c r="J1193">
        <v>13</v>
      </c>
      <c r="R1193" t="s">
        <v>30</v>
      </c>
      <c r="W1193">
        <v>1</v>
      </c>
      <c r="X1193" t="s">
        <v>30</v>
      </c>
      <c r="AC1193" t="s">
        <v>2992</v>
      </c>
      <c r="AE1193" s="135"/>
    </row>
    <row r="1194" spans="1:31" ht="12.5" customHeight="1" x14ac:dyDescent="0.35">
      <c r="A1194" t="s">
        <v>396</v>
      </c>
      <c r="C1194" t="s">
        <v>2993</v>
      </c>
      <c r="D1194" t="s">
        <v>385</v>
      </c>
      <c r="E1194" s="133">
        <v>45841</v>
      </c>
      <c r="F1194" s="2">
        <v>4.2361111111111106E-2</v>
      </c>
      <c r="G1194">
        <v>1</v>
      </c>
      <c r="H1194" s="133">
        <v>45840</v>
      </c>
      <c r="I1194" s="2">
        <v>0.54236111111111118</v>
      </c>
      <c r="J1194">
        <v>13</v>
      </c>
      <c r="R1194" t="s">
        <v>30</v>
      </c>
      <c r="W1194">
        <v>1</v>
      </c>
      <c r="X1194" t="s">
        <v>30</v>
      </c>
      <c r="AC1194" t="s">
        <v>2994</v>
      </c>
      <c r="AE1194" s="135"/>
    </row>
    <row r="1195" spans="1:31" ht="12.5" customHeight="1" x14ac:dyDescent="0.35">
      <c r="A1195" t="s">
        <v>396</v>
      </c>
      <c r="C1195" t="s">
        <v>2995</v>
      </c>
      <c r="D1195" t="s">
        <v>385</v>
      </c>
      <c r="E1195" s="133">
        <v>45841</v>
      </c>
      <c r="F1195" s="2">
        <v>4.2453703703703709E-2</v>
      </c>
      <c r="G1195">
        <v>1</v>
      </c>
      <c r="H1195" s="133">
        <v>45840</v>
      </c>
      <c r="I1195" s="2">
        <v>0.54245370370370372</v>
      </c>
      <c r="J1195">
        <v>13</v>
      </c>
      <c r="R1195" t="s">
        <v>30</v>
      </c>
      <c r="W1195">
        <v>1</v>
      </c>
      <c r="X1195" t="s">
        <v>30</v>
      </c>
      <c r="AC1195" t="s">
        <v>2996</v>
      </c>
      <c r="AE1195" s="135"/>
    </row>
    <row r="1196" spans="1:31" ht="12.5" customHeight="1" x14ac:dyDescent="0.35">
      <c r="A1196" t="s">
        <v>396</v>
      </c>
      <c r="C1196" t="s">
        <v>2997</v>
      </c>
      <c r="D1196" t="s">
        <v>385</v>
      </c>
      <c r="E1196" s="133">
        <v>45841</v>
      </c>
      <c r="F1196" s="2">
        <v>4.252314814814815E-2</v>
      </c>
      <c r="G1196">
        <v>1</v>
      </c>
      <c r="H1196" s="133">
        <v>45840</v>
      </c>
      <c r="I1196" s="2">
        <v>0.54252314814814817</v>
      </c>
      <c r="J1196">
        <v>13</v>
      </c>
      <c r="R1196" t="s">
        <v>30</v>
      </c>
      <c r="W1196">
        <v>1</v>
      </c>
      <c r="X1196" t="s">
        <v>30</v>
      </c>
      <c r="AC1196" t="s">
        <v>2998</v>
      </c>
      <c r="AE1196" s="135"/>
    </row>
    <row r="1197" spans="1:31" ht="12.5" customHeight="1" x14ac:dyDescent="0.35">
      <c r="A1197" t="s">
        <v>396</v>
      </c>
      <c r="C1197" t="s">
        <v>2999</v>
      </c>
      <c r="D1197" t="s">
        <v>385</v>
      </c>
      <c r="E1197" s="133">
        <v>45841</v>
      </c>
      <c r="F1197" s="2">
        <v>4.2615740740740739E-2</v>
      </c>
      <c r="G1197">
        <v>1</v>
      </c>
      <c r="H1197" s="133">
        <v>45840</v>
      </c>
      <c r="I1197" s="2">
        <v>0.5426157407407407</v>
      </c>
      <c r="J1197">
        <v>13</v>
      </c>
      <c r="R1197" t="s">
        <v>30</v>
      </c>
      <c r="W1197">
        <v>1</v>
      </c>
      <c r="X1197" t="s">
        <v>30</v>
      </c>
      <c r="AC1197" t="s">
        <v>3000</v>
      </c>
      <c r="AE1197" s="135"/>
    </row>
    <row r="1198" spans="1:31" ht="12.5" customHeight="1" x14ac:dyDescent="0.35">
      <c r="A1198" t="s">
        <v>396</v>
      </c>
      <c r="C1198" t="s">
        <v>3001</v>
      </c>
      <c r="D1198" t="s">
        <v>385</v>
      </c>
      <c r="E1198" s="133">
        <v>45841</v>
      </c>
      <c r="F1198" s="2">
        <v>4.2708333333333327E-2</v>
      </c>
      <c r="G1198">
        <v>1</v>
      </c>
      <c r="H1198" s="133">
        <v>45840</v>
      </c>
      <c r="I1198" s="2">
        <v>0.54270833333333335</v>
      </c>
      <c r="J1198">
        <v>13</v>
      </c>
      <c r="R1198" t="s">
        <v>30</v>
      </c>
      <c r="W1198">
        <v>1</v>
      </c>
      <c r="X1198" t="s">
        <v>30</v>
      </c>
      <c r="AC1198" t="s">
        <v>3002</v>
      </c>
      <c r="AE1198" s="135"/>
    </row>
    <row r="1199" spans="1:31" ht="12.5" customHeight="1" x14ac:dyDescent="0.35">
      <c r="A1199" t="s">
        <v>396</v>
      </c>
      <c r="C1199" t="s">
        <v>3003</v>
      </c>
      <c r="D1199" t="s">
        <v>385</v>
      </c>
      <c r="E1199" s="133">
        <v>45841</v>
      </c>
      <c r="F1199" s="2">
        <v>4.2777777777777776E-2</v>
      </c>
      <c r="G1199">
        <v>1</v>
      </c>
      <c r="H1199" s="133">
        <v>45840</v>
      </c>
      <c r="I1199" s="2">
        <v>0.5427777777777778</v>
      </c>
      <c r="J1199">
        <v>13</v>
      </c>
      <c r="R1199" t="s">
        <v>30</v>
      </c>
      <c r="W1199">
        <v>1</v>
      </c>
      <c r="X1199" t="s">
        <v>30</v>
      </c>
      <c r="AC1199" t="s">
        <v>3004</v>
      </c>
      <c r="AE1199" s="135"/>
    </row>
    <row r="1200" spans="1:31" ht="12.5" customHeight="1" x14ac:dyDescent="0.35">
      <c r="A1200" t="s">
        <v>396</v>
      </c>
      <c r="C1200" t="s">
        <v>3005</v>
      </c>
      <c r="D1200" t="s">
        <v>385</v>
      </c>
      <c r="E1200" s="133">
        <v>45841</v>
      </c>
      <c r="F1200" s="2">
        <v>4.2847222222222224E-2</v>
      </c>
      <c r="G1200">
        <v>1</v>
      </c>
      <c r="H1200" s="133">
        <v>45840</v>
      </c>
      <c r="I1200" s="2">
        <v>0.54284722222222226</v>
      </c>
      <c r="J1200">
        <v>13</v>
      </c>
      <c r="R1200" t="s">
        <v>30</v>
      </c>
      <c r="W1200">
        <v>1</v>
      </c>
      <c r="X1200" t="s">
        <v>30</v>
      </c>
      <c r="AC1200" t="s">
        <v>3006</v>
      </c>
      <c r="AE1200" s="135"/>
    </row>
    <row r="1201" spans="1:31" ht="12.5" customHeight="1" x14ac:dyDescent="0.35">
      <c r="A1201" t="s">
        <v>396</v>
      </c>
      <c r="C1201" t="s">
        <v>3007</v>
      </c>
      <c r="D1201" t="s">
        <v>385</v>
      </c>
      <c r="E1201" s="133">
        <v>45841</v>
      </c>
      <c r="F1201" s="2">
        <v>4.2916666666666665E-2</v>
      </c>
      <c r="G1201">
        <v>1</v>
      </c>
      <c r="H1201" s="133">
        <v>45840</v>
      </c>
      <c r="I1201" s="2">
        <v>0.5429166666666666</v>
      </c>
      <c r="J1201">
        <v>13</v>
      </c>
      <c r="R1201" t="s">
        <v>30</v>
      </c>
      <c r="W1201">
        <v>1</v>
      </c>
      <c r="X1201" t="s">
        <v>30</v>
      </c>
      <c r="AC1201" t="s">
        <v>3008</v>
      </c>
      <c r="AE1201" s="135"/>
    </row>
    <row r="1202" spans="1:31" ht="12.5" customHeight="1" x14ac:dyDescent="0.35">
      <c r="A1202" t="s">
        <v>396</v>
      </c>
      <c r="C1202" t="s">
        <v>3009</v>
      </c>
      <c r="D1202" t="s">
        <v>385</v>
      </c>
      <c r="E1202" s="133">
        <v>45841</v>
      </c>
      <c r="F1202" s="2">
        <v>4.3009259259259254E-2</v>
      </c>
      <c r="G1202">
        <v>1</v>
      </c>
      <c r="H1202" s="133">
        <v>45840</v>
      </c>
      <c r="I1202" s="2">
        <v>0.54300925925925925</v>
      </c>
      <c r="J1202">
        <v>13</v>
      </c>
      <c r="R1202" t="s">
        <v>30</v>
      </c>
      <c r="W1202">
        <v>1</v>
      </c>
      <c r="X1202" t="s">
        <v>30</v>
      </c>
      <c r="AC1202" t="s">
        <v>3010</v>
      </c>
      <c r="AE1202" s="135"/>
    </row>
    <row r="1203" spans="1:31" ht="12.5" customHeight="1" x14ac:dyDescent="0.35">
      <c r="A1203" t="s">
        <v>396</v>
      </c>
      <c r="C1203" t="s">
        <v>3011</v>
      </c>
      <c r="D1203" t="s">
        <v>385</v>
      </c>
      <c r="E1203" s="133">
        <v>45841</v>
      </c>
      <c r="F1203" s="2">
        <v>4.3078703703703702E-2</v>
      </c>
      <c r="G1203">
        <v>1</v>
      </c>
      <c r="H1203" s="133">
        <v>45840</v>
      </c>
      <c r="I1203" s="2">
        <v>0.5430787037037037</v>
      </c>
      <c r="J1203">
        <v>13</v>
      </c>
      <c r="R1203" t="s">
        <v>30</v>
      </c>
      <c r="W1203">
        <v>1</v>
      </c>
      <c r="X1203" t="s">
        <v>30</v>
      </c>
      <c r="AC1203" t="s">
        <v>3012</v>
      </c>
      <c r="AE1203" s="135"/>
    </row>
    <row r="1204" spans="1:31" ht="12.5" customHeight="1" x14ac:dyDescent="0.35">
      <c r="A1204" t="s">
        <v>396</v>
      </c>
      <c r="C1204" t="s">
        <v>3013</v>
      </c>
      <c r="D1204" t="s">
        <v>385</v>
      </c>
      <c r="E1204" s="133">
        <v>45841</v>
      </c>
      <c r="F1204" s="2">
        <v>4.3171296296296298E-2</v>
      </c>
      <c r="G1204">
        <v>1</v>
      </c>
      <c r="H1204" s="133">
        <v>45840</v>
      </c>
      <c r="I1204" s="2">
        <v>0.54317129629629635</v>
      </c>
      <c r="J1204">
        <v>13</v>
      </c>
      <c r="R1204" t="s">
        <v>30</v>
      </c>
      <c r="W1204">
        <v>1</v>
      </c>
      <c r="X1204" t="s">
        <v>30</v>
      </c>
      <c r="AC1204" t="s">
        <v>3014</v>
      </c>
      <c r="AE1204" s="135"/>
    </row>
    <row r="1205" spans="1:31" ht="12.5" customHeight="1" x14ac:dyDescent="0.35">
      <c r="A1205" t="s">
        <v>396</v>
      </c>
      <c r="C1205" t="s">
        <v>3015</v>
      </c>
      <c r="D1205" t="s">
        <v>385</v>
      </c>
      <c r="E1205" s="133">
        <v>45841</v>
      </c>
      <c r="F1205" s="2">
        <v>4.3240740740740739E-2</v>
      </c>
      <c r="G1205">
        <v>1</v>
      </c>
      <c r="H1205" s="133">
        <v>45840</v>
      </c>
      <c r="I1205" s="2">
        <v>0.5432407407407408</v>
      </c>
      <c r="J1205">
        <v>13</v>
      </c>
      <c r="R1205" t="s">
        <v>30</v>
      </c>
      <c r="W1205">
        <v>1</v>
      </c>
      <c r="X1205" t="s">
        <v>30</v>
      </c>
      <c r="AC1205" t="s">
        <v>3016</v>
      </c>
      <c r="AE1205" s="135"/>
    </row>
    <row r="1206" spans="1:31" ht="12.5" customHeight="1" x14ac:dyDescent="0.35">
      <c r="A1206" t="s">
        <v>396</v>
      </c>
      <c r="C1206" t="s">
        <v>3017</v>
      </c>
      <c r="D1206" t="s">
        <v>385</v>
      </c>
      <c r="E1206" s="133">
        <v>45841</v>
      </c>
      <c r="F1206" s="2">
        <v>4.3333333333333335E-2</v>
      </c>
      <c r="G1206">
        <v>1</v>
      </c>
      <c r="H1206" s="133">
        <v>45840</v>
      </c>
      <c r="I1206" s="2">
        <v>0.54333333333333333</v>
      </c>
      <c r="J1206">
        <v>13</v>
      </c>
      <c r="R1206" t="s">
        <v>30</v>
      </c>
      <c r="W1206">
        <v>1</v>
      </c>
      <c r="X1206" t="s">
        <v>30</v>
      </c>
      <c r="AC1206" t="s">
        <v>3018</v>
      </c>
      <c r="AE1206" s="135"/>
    </row>
    <row r="1207" spans="1:31" ht="12.5" customHeight="1" x14ac:dyDescent="0.35">
      <c r="A1207" t="s">
        <v>396</v>
      </c>
      <c r="C1207" t="s">
        <v>3019</v>
      </c>
      <c r="D1207" t="s">
        <v>385</v>
      </c>
      <c r="E1207" s="133">
        <v>45841</v>
      </c>
      <c r="F1207" s="2">
        <v>4.3402777777777783E-2</v>
      </c>
      <c r="G1207">
        <v>1</v>
      </c>
      <c r="H1207" s="133">
        <v>45840</v>
      </c>
      <c r="I1207" s="2">
        <v>0.54340277777777779</v>
      </c>
      <c r="J1207">
        <v>13</v>
      </c>
      <c r="R1207" t="s">
        <v>30</v>
      </c>
      <c r="W1207">
        <v>1</v>
      </c>
      <c r="X1207" t="s">
        <v>30</v>
      </c>
      <c r="AC1207" t="s">
        <v>3020</v>
      </c>
      <c r="AE1207" s="135"/>
    </row>
    <row r="1208" spans="1:31" ht="12.5" customHeight="1" x14ac:dyDescent="0.35">
      <c r="A1208" t="s">
        <v>396</v>
      </c>
      <c r="C1208" t="s">
        <v>3021</v>
      </c>
      <c r="D1208" t="s">
        <v>385</v>
      </c>
      <c r="E1208" s="133">
        <v>45841</v>
      </c>
      <c r="F1208" s="2">
        <v>4.3495370370370372E-2</v>
      </c>
      <c r="G1208">
        <v>1</v>
      </c>
      <c r="H1208" s="133">
        <v>45840</v>
      </c>
      <c r="I1208" s="2">
        <v>0.54349537037037032</v>
      </c>
      <c r="J1208">
        <v>13</v>
      </c>
      <c r="R1208" t="s">
        <v>30</v>
      </c>
      <c r="W1208">
        <v>1</v>
      </c>
      <c r="X1208" t="s">
        <v>30</v>
      </c>
      <c r="AC1208" t="s">
        <v>3022</v>
      </c>
      <c r="AE1208" s="135"/>
    </row>
    <row r="1209" spans="1:31" ht="12.5" customHeight="1" x14ac:dyDescent="0.35">
      <c r="A1209" t="s">
        <v>396</v>
      </c>
      <c r="C1209" t="s">
        <v>3023</v>
      </c>
      <c r="D1209" t="s">
        <v>385</v>
      </c>
      <c r="E1209" s="133">
        <v>45841</v>
      </c>
      <c r="F1209" s="2">
        <v>4.3564814814814813E-2</v>
      </c>
      <c r="G1209">
        <v>1</v>
      </c>
      <c r="H1209" s="133">
        <v>45840</v>
      </c>
      <c r="I1209" s="2">
        <v>0.54356481481481478</v>
      </c>
      <c r="J1209">
        <v>13</v>
      </c>
      <c r="R1209" t="s">
        <v>30</v>
      </c>
      <c r="W1209">
        <v>1</v>
      </c>
      <c r="X1209" t="s">
        <v>30</v>
      </c>
      <c r="AC1209" t="s">
        <v>3024</v>
      </c>
      <c r="AE1209" s="135"/>
    </row>
    <row r="1210" spans="1:31" ht="12.5" customHeight="1" x14ac:dyDescent="0.35">
      <c r="A1210" t="s">
        <v>396</v>
      </c>
      <c r="C1210" t="s">
        <v>3025</v>
      </c>
      <c r="D1210" t="s">
        <v>385</v>
      </c>
      <c r="E1210" s="133">
        <v>45841</v>
      </c>
      <c r="F1210" s="2">
        <v>4.3634259259259262E-2</v>
      </c>
      <c r="G1210">
        <v>1</v>
      </c>
      <c r="H1210" s="133">
        <v>45840</v>
      </c>
      <c r="I1210" s="2">
        <v>0.54363425925925923</v>
      </c>
      <c r="J1210">
        <v>13</v>
      </c>
      <c r="R1210" t="s">
        <v>30</v>
      </c>
      <c r="W1210">
        <v>1</v>
      </c>
      <c r="X1210" t="s">
        <v>30</v>
      </c>
      <c r="AC1210" t="s">
        <v>3026</v>
      </c>
      <c r="AE1210" s="135"/>
    </row>
    <row r="1211" spans="1:31" ht="12.5" customHeight="1" x14ac:dyDescent="0.35">
      <c r="A1211" t="s">
        <v>396</v>
      </c>
      <c r="C1211" t="s">
        <v>3027</v>
      </c>
      <c r="D1211" t="s">
        <v>385</v>
      </c>
      <c r="E1211" s="133">
        <v>45841</v>
      </c>
      <c r="F1211" s="2">
        <v>4.370370370370371E-2</v>
      </c>
      <c r="G1211">
        <v>1</v>
      </c>
      <c r="H1211" s="133">
        <v>45840</v>
      </c>
      <c r="I1211" s="2">
        <v>0.54370370370370369</v>
      </c>
      <c r="J1211">
        <v>13</v>
      </c>
      <c r="R1211" t="s">
        <v>30</v>
      </c>
      <c r="W1211">
        <v>1</v>
      </c>
      <c r="X1211" t="s">
        <v>30</v>
      </c>
      <c r="AC1211" t="s">
        <v>3028</v>
      </c>
      <c r="AE1211" s="135"/>
    </row>
    <row r="1212" spans="1:31" ht="12.5" customHeight="1" x14ac:dyDescent="0.35">
      <c r="A1212" t="s">
        <v>396</v>
      </c>
      <c r="C1212" t="s">
        <v>3029</v>
      </c>
      <c r="D1212" t="s">
        <v>385</v>
      </c>
      <c r="E1212" s="133">
        <v>45841</v>
      </c>
      <c r="F1212" s="2">
        <v>4.3796296296296298E-2</v>
      </c>
      <c r="G1212">
        <v>1</v>
      </c>
      <c r="H1212" s="133">
        <v>45840</v>
      </c>
      <c r="I1212" s="2">
        <v>0.54379629629629633</v>
      </c>
      <c r="J1212">
        <v>13</v>
      </c>
      <c r="R1212" t="s">
        <v>30</v>
      </c>
      <c r="W1212">
        <v>1</v>
      </c>
      <c r="X1212" t="s">
        <v>30</v>
      </c>
      <c r="AC1212" t="s">
        <v>3030</v>
      </c>
      <c r="AE1212" s="135"/>
    </row>
    <row r="1213" spans="1:31" ht="12.5" customHeight="1" x14ac:dyDescent="0.35">
      <c r="A1213" t="s">
        <v>396</v>
      </c>
      <c r="C1213" t="s">
        <v>3031</v>
      </c>
      <c r="D1213" t="s">
        <v>385</v>
      </c>
      <c r="E1213" s="133">
        <v>45841</v>
      </c>
      <c r="F1213" s="2">
        <v>4.386574074074074E-2</v>
      </c>
      <c r="G1213">
        <v>1</v>
      </c>
      <c r="H1213" s="133">
        <v>45840</v>
      </c>
      <c r="I1213" s="2">
        <v>0.54386574074074068</v>
      </c>
      <c r="J1213">
        <v>13</v>
      </c>
      <c r="R1213" t="s">
        <v>30</v>
      </c>
      <c r="W1213">
        <v>1</v>
      </c>
      <c r="X1213" t="s">
        <v>30</v>
      </c>
      <c r="AC1213" t="s">
        <v>3032</v>
      </c>
      <c r="AE1213" s="135"/>
    </row>
    <row r="1214" spans="1:31" ht="12.5" customHeight="1" x14ac:dyDescent="0.35">
      <c r="A1214" t="s">
        <v>396</v>
      </c>
      <c r="C1214" t="s">
        <v>3033</v>
      </c>
      <c r="D1214" t="s">
        <v>385</v>
      </c>
      <c r="E1214" s="133">
        <v>45841</v>
      </c>
      <c r="F1214" s="2">
        <v>4.3935185185185188E-2</v>
      </c>
      <c r="G1214">
        <v>1</v>
      </c>
      <c r="H1214" s="133">
        <v>45840</v>
      </c>
      <c r="I1214" s="2">
        <v>0.54393518518518513</v>
      </c>
      <c r="J1214">
        <v>13</v>
      </c>
      <c r="R1214" t="s">
        <v>30</v>
      </c>
      <c r="W1214">
        <v>1</v>
      </c>
      <c r="X1214" t="s">
        <v>30</v>
      </c>
      <c r="AC1214" t="s">
        <v>3034</v>
      </c>
      <c r="AE1214" s="135"/>
    </row>
    <row r="1215" spans="1:31" ht="12.5" customHeight="1" x14ac:dyDescent="0.35">
      <c r="A1215" t="s">
        <v>396</v>
      </c>
      <c r="C1215" t="s">
        <v>3035</v>
      </c>
      <c r="D1215" t="s">
        <v>385</v>
      </c>
      <c r="E1215" s="133">
        <v>45841</v>
      </c>
      <c r="F1215" s="2">
        <v>4.4027777777777777E-2</v>
      </c>
      <c r="G1215">
        <v>1</v>
      </c>
      <c r="H1215" s="133">
        <v>45840</v>
      </c>
      <c r="I1215" s="2">
        <v>0.54402777777777778</v>
      </c>
      <c r="J1215">
        <v>13</v>
      </c>
      <c r="R1215" t="s">
        <v>30</v>
      </c>
      <c r="W1215">
        <v>1</v>
      </c>
      <c r="X1215" t="s">
        <v>30</v>
      </c>
      <c r="AC1215" t="s">
        <v>3036</v>
      </c>
      <c r="AE1215" s="135"/>
    </row>
    <row r="1216" spans="1:31" ht="12.5" customHeight="1" x14ac:dyDescent="0.35">
      <c r="A1216" t="s">
        <v>396</v>
      </c>
      <c r="C1216" t="s">
        <v>3037</v>
      </c>
      <c r="D1216" t="s">
        <v>385</v>
      </c>
      <c r="E1216" s="133">
        <v>45841</v>
      </c>
      <c r="F1216" s="2">
        <v>4.4097222222222225E-2</v>
      </c>
      <c r="G1216">
        <v>1</v>
      </c>
      <c r="H1216" s="133">
        <v>45840</v>
      </c>
      <c r="I1216" s="2">
        <v>0.54409722222222223</v>
      </c>
      <c r="J1216">
        <v>13</v>
      </c>
      <c r="R1216" t="s">
        <v>30</v>
      </c>
      <c r="W1216">
        <v>1</v>
      </c>
      <c r="X1216" t="s">
        <v>30</v>
      </c>
      <c r="AC1216" t="s">
        <v>3038</v>
      </c>
      <c r="AE1216" s="135"/>
    </row>
    <row r="1217" spans="1:31" ht="12.5" customHeight="1" x14ac:dyDescent="0.35">
      <c r="A1217" t="s">
        <v>396</v>
      </c>
      <c r="C1217" t="s">
        <v>3039</v>
      </c>
      <c r="D1217" t="s">
        <v>385</v>
      </c>
      <c r="E1217" s="133">
        <v>45841</v>
      </c>
      <c r="F1217" s="2">
        <v>4.4189814814814814E-2</v>
      </c>
      <c r="G1217">
        <v>1</v>
      </c>
      <c r="H1217" s="133">
        <v>45840</v>
      </c>
      <c r="I1217" s="2">
        <v>0.54418981481481488</v>
      </c>
      <c r="J1217">
        <v>13</v>
      </c>
      <c r="R1217" t="s">
        <v>30</v>
      </c>
      <c r="W1217">
        <v>1</v>
      </c>
      <c r="X1217" t="s">
        <v>30</v>
      </c>
      <c r="AC1217" t="s">
        <v>3040</v>
      </c>
      <c r="AE1217" s="135"/>
    </row>
    <row r="1218" spans="1:31" ht="12.5" customHeight="1" x14ac:dyDescent="0.35">
      <c r="A1218" t="s">
        <v>396</v>
      </c>
      <c r="C1218" t="s">
        <v>3041</v>
      </c>
      <c r="D1218" t="s">
        <v>385</v>
      </c>
      <c r="E1218" s="133">
        <v>45841</v>
      </c>
      <c r="F1218" s="2">
        <v>4.4259259259259255E-2</v>
      </c>
      <c r="G1218">
        <v>1</v>
      </c>
      <c r="H1218" s="133">
        <v>45840</v>
      </c>
      <c r="I1218" s="2">
        <v>0.54425925925925933</v>
      </c>
      <c r="J1218">
        <v>13</v>
      </c>
      <c r="R1218" t="s">
        <v>30</v>
      </c>
      <c r="W1218">
        <v>1</v>
      </c>
      <c r="X1218" t="s">
        <v>30</v>
      </c>
      <c r="AC1218" t="s">
        <v>3042</v>
      </c>
      <c r="AE1218" s="135"/>
    </row>
    <row r="1219" spans="1:31" ht="12.5" customHeight="1" x14ac:dyDescent="0.35">
      <c r="A1219" t="s">
        <v>396</v>
      </c>
      <c r="C1219" t="s">
        <v>3043</v>
      </c>
      <c r="D1219" t="s">
        <v>385</v>
      </c>
      <c r="E1219" s="133">
        <v>45841</v>
      </c>
      <c r="F1219" s="2">
        <v>4.4351851851851858E-2</v>
      </c>
      <c r="G1219">
        <v>1</v>
      </c>
      <c r="H1219" s="133">
        <v>45840</v>
      </c>
      <c r="I1219" s="2">
        <v>0.54435185185185186</v>
      </c>
      <c r="J1219">
        <v>13</v>
      </c>
      <c r="R1219" t="s">
        <v>30</v>
      </c>
      <c r="W1219">
        <v>1</v>
      </c>
      <c r="X1219" t="s">
        <v>30</v>
      </c>
      <c r="AC1219" t="s">
        <v>3044</v>
      </c>
      <c r="AE1219" s="135"/>
    </row>
    <row r="1220" spans="1:31" ht="12.5" customHeight="1" x14ac:dyDescent="0.35">
      <c r="A1220" t="s">
        <v>396</v>
      </c>
      <c r="C1220" t="s">
        <v>3045</v>
      </c>
      <c r="D1220" t="s">
        <v>385</v>
      </c>
      <c r="E1220" s="133">
        <v>45841</v>
      </c>
      <c r="F1220" s="2">
        <v>4.4444444444444446E-2</v>
      </c>
      <c r="G1220">
        <v>1</v>
      </c>
      <c r="H1220" s="133">
        <v>45840</v>
      </c>
      <c r="I1220" s="2">
        <v>0.5444444444444444</v>
      </c>
      <c r="J1220">
        <v>13</v>
      </c>
      <c r="R1220" t="s">
        <v>30</v>
      </c>
      <c r="W1220">
        <v>1</v>
      </c>
      <c r="X1220" t="s">
        <v>30</v>
      </c>
      <c r="AC1220" t="s">
        <v>3046</v>
      </c>
      <c r="AE1220" s="135"/>
    </row>
    <row r="1221" spans="1:31" ht="12.5" customHeight="1" x14ac:dyDescent="0.35">
      <c r="A1221" t="s">
        <v>396</v>
      </c>
      <c r="C1221" t="s">
        <v>3047</v>
      </c>
      <c r="D1221" t="s">
        <v>385</v>
      </c>
      <c r="E1221" s="133">
        <v>45841</v>
      </c>
      <c r="F1221" s="2">
        <v>4.4513888888888888E-2</v>
      </c>
      <c r="G1221">
        <v>1</v>
      </c>
      <c r="H1221" s="133">
        <v>45840</v>
      </c>
      <c r="I1221" s="2">
        <v>0.54451388888888885</v>
      </c>
      <c r="J1221">
        <v>13</v>
      </c>
      <c r="R1221" t="s">
        <v>30</v>
      </c>
      <c r="W1221">
        <v>1</v>
      </c>
      <c r="X1221" t="s">
        <v>30</v>
      </c>
      <c r="AC1221" t="s">
        <v>3048</v>
      </c>
      <c r="AE1221" s="135"/>
    </row>
    <row r="1222" spans="1:31" ht="12.5" customHeight="1" x14ac:dyDescent="0.35">
      <c r="A1222" t="s">
        <v>396</v>
      </c>
      <c r="C1222" t="s">
        <v>3049</v>
      </c>
      <c r="D1222" t="s">
        <v>385</v>
      </c>
      <c r="E1222" s="133">
        <v>45841</v>
      </c>
      <c r="F1222" s="2">
        <v>4.4583333333333336E-2</v>
      </c>
      <c r="G1222">
        <v>1</v>
      </c>
      <c r="H1222" s="133">
        <v>45840</v>
      </c>
      <c r="I1222" s="2">
        <v>0.54458333333333331</v>
      </c>
      <c r="J1222">
        <v>13</v>
      </c>
      <c r="R1222" t="s">
        <v>30</v>
      </c>
      <c r="W1222">
        <v>1</v>
      </c>
      <c r="X1222" t="s">
        <v>30</v>
      </c>
      <c r="AC1222" t="s">
        <v>3050</v>
      </c>
      <c r="AE1222" s="135"/>
    </row>
    <row r="1223" spans="1:31" ht="12.5" customHeight="1" x14ac:dyDescent="0.35">
      <c r="A1223" t="s">
        <v>396</v>
      </c>
      <c r="C1223" t="s">
        <v>3051</v>
      </c>
      <c r="D1223" t="s">
        <v>385</v>
      </c>
      <c r="E1223" s="133">
        <v>45841</v>
      </c>
      <c r="F1223" s="2">
        <v>4.4675925925925924E-2</v>
      </c>
      <c r="G1223">
        <v>1</v>
      </c>
      <c r="H1223" s="133">
        <v>45840</v>
      </c>
      <c r="I1223" s="2">
        <v>0.54467592592592595</v>
      </c>
      <c r="J1223">
        <v>13</v>
      </c>
      <c r="R1223" t="s">
        <v>30</v>
      </c>
      <c r="W1223">
        <v>1</v>
      </c>
      <c r="X1223" t="s">
        <v>30</v>
      </c>
      <c r="AC1223" t="s">
        <v>3052</v>
      </c>
      <c r="AE1223" s="135"/>
    </row>
    <row r="1224" spans="1:31" ht="12.5" customHeight="1" x14ac:dyDescent="0.35">
      <c r="A1224" t="s">
        <v>396</v>
      </c>
      <c r="C1224" t="s">
        <v>3053</v>
      </c>
      <c r="D1224" t="s">
        <v>385</v>
      </c>
      <c r="E1224" s="133">
        <v>45841</v>
      </c>
      <c r="F1224" s="2">
        <v>4.4745370370370373E-2</v>
      </c>
      <c r="G1224">
        <v>1</v>
      </c>
      <c r="H1224" s="133">
        <v>45840</v>
      </c>
      <c r="I1224" s="2">
        <v>0.5447453703703703</v>
      </c>
      <c r="J1224">
        <v>13</v>
      </c>
      <c r="R1224" t="s">
        <v>30</v>
      </c>
      <c r="W1224">
        <v>1</v>
      </c>
      <c r="X1224" t="s">
        <v>30</v>
      </c>
      <c r="AC1224" t="s">
        <v>3054</v>
      </c>
      <c r="AE1224" s="135"/>
    </row>
    <row r="1225" spans="1:31" ht="12.5" customHeight="1" x14ac:dyDescent="0.35">
      <c r="A1225" t="s">
        <v>396</v>
      </c>
      <c r="C1225" t="s">
        <v>3055</v>
      </c>
      <c r="D1225" t="s">
        <v>385</v>
      </c>
      <c r="E1225" s="133">
        <v>45841</v>
      </c>
      <c r="F1225" s="2">
        <v>4.4861111111111109E-2</v>
      </c>
      <c r="G1225">
        <v>1</v>
      </c>
      <c r="H1225" s="133">
        <v>45840</v>
      </c>
      <c r="I1225" s="2">
        <v>0.54486111111111113</v>
      </c>
      <c r="J1225">
        <v>13</v>
      </c>
      <c r="R1225" t="s">
        <v>30</v>
      </c>
      <c r="W1225">
        <v>1</v>
      </c>
      <c r="X1225" t="s">
        <v>30</v>
      </c>
      <c r="AC1225" t="s">
        <v>3056</v>
      </c>
      <c r="AE1225" s="135"/>
    </row>
    <row r="1226" spans="1:31" ht="12.5" customHeight="1" x14ac:dyDescent="0.35">
      <c r="A1226" t="s">
        <v>396</v>
      </c>
      <c r="C1226" t="s">
        <v>3057</v>
      </c>
      <c r="D1226" t="s">
        <v>385</v>
      </c>
      <c r="E1226" s="133">
        <v>45841</v>
      </c>
      <c r="F1226" s="2">
        <v>4.4930555555555557E-2</v>
      </c>
      <c r="G1226">
        <v>1</v>
      </c>
      <c r="H1226" s="133">
        <v>45840</v>
      </c>
      <c r="I1226" s="2">
        <v>0.54493055555555558</v>
      </c>
      <c r="J1226">
        <v>13</v>
      </c>
      <c r="R1226" t="s">
        <v>30</v>
      </c>
      <c r="W1226">
        <v>1</v>
      </c>
      <c r="X1226" t="s">
        <v>30</v>
      </c>
      <c r="AC1226" t="s">
        <v>3058</v>
      </c>
      <c r="AE1226" s="135"/>
    </row>
    <row r="1227" spans="1:31" ht="12.5" customHeight="1" x14ac:dyDescent="0.35">
      <c r="A1227" t="s">
        <v>396</v>
      </c>
      <c r="C1227" t="s">
        <v>3059</v>
      </c>
      <c r="D1227" t="s">
        <v>385</v>
      </c>
      <c r="E1227" s="133">
        <v>45841</v>
      </c>
      <c r="F1227" s="2">
        <v>4.5000000000000005E-2</v>
      </c>
      <c r="G1227">
        <v>1</v>
      </c>
      <c r="H1227" s="133">
        <v>45840</v>
      </c>
      <c r="I1227" s="2">
        <v>0.54500000000000004</v>
      </c>
      <c r="J1227">
        <v>13</v>
      </c>
      <c r="R1227" t="s">
        <v>30</v>
      </c>
      <c r="W1227">
        <v>1</v>
      </c>
      <c r="X1227" t="s">
        <v>30</v>
      </c>
      <c r="AC1227" t="s">
        <v>3060</v>
      </c>
      <c r="AE1227" s="135"/>
    </row>
    <row r="1228" spans="1:31" ht="12.5" customHeight="1" x14ac:dyDescent="0.35">
      <c r="A1228" t="s">
        <v>396</v>
      </c>
      <c r="C1228" t="s">
        <v>3061</v>
      </c>
      <c r="D1228" t="s">
        <v>385</v>
      </c>
      <c r="E1228" s="133">
        <v>45841</v>
      </c>
      <c r="F1228" s="2">
        <v>4.5092592592592594E-2</v>
      </c>
      <c r="G1228">
        <v>1</v>
      </c>
      <c r="H1228" s="133">
        <v>45840</v>
      </c>
      <c r="I1228" s="2">
        <v>0.54509259259259257</v>
      </c>
      <c r="J1228">
        <v>13</v>
      </c>
      <c r="R1228" t="s">
        <v>30</v>
      </c>
      <c r="W1228">
        <v>1</v>
      </c>
      <c r="X1228" t="s">
        <v>30</v>
      </c>
      <c r="AC1228" t="s">
        <v>3062</v>
      </c>
      <c r="AE1228" s="135"/>
    </row>
    <row r="1229" spans="1:31" ht="12.5" customHeight="1" x14ac:dyDescent="0.35">
      <c r="A1229" t="s">
        <v>396</v>
      </c>
      <c r="C1229" t="s">
        <v>3063</v>
      </c>
      <c r="D1229" t="s">
        <v>385</v>
      </c>
      <c r="E1229" s="133">
        <v>45841</v>
      </c>
      <c r="F1229" s="2">
        <v>4.5162037037037035E-2</v>
      </c>
      <c r="G1229">
        <v>1</v>
      </c>
      <c r="H1229" s="133">
        <v>45840</v>
      </c>
      <c r="I1229" s="2">
        <v>0.54516203703703703</v>
      </c>
      <c r="J1229">
        <v>13</v>
      </c>
      <c r="R1229" t="s">
        <v>30</v>
      </c>
      <c r="W1229">
        <v>1</v>
      </c>
      <c r="X1229" t="s">
        <v>30</v>
      </c>
      <c r="AC1229" t="s">
        <v>3064</v>
      </c>
      <c r="AE1229" s="135"/>
    </row>
    <row r="1230" spans="1:31" ht="12.5" customHeight="1" x14ac:dyDescent="0.35">
      <c r="A1230" t="s">
        <v>396</v>
      </c>
      <c r="C1230" t="s">
        <v>3065</v>
      </c>
      <c r="D1230" t="s">
        <v>385</v>
      </c>
      <c r="E1230" s="133">
        <v>45841</v>
      </c>
      <c r="F1230" s="2">
        <v>4.5231481481481484E-2</v>
      </c>
      <c r="G1230">
        <v>1</v>
      </c>
      <c r="H1230" s="133">
        <v>45840</v>
      </c>
      <c r="I1230" s="2">
        <v>0.54523148148148148</v>
      </c>
      <c r="J1230">
        <v>13</v>
      </c>
      <c r="R1230" t="s">
        <v>30</v>
      </c>
      <c r="W1230">
        <v>1</v>
      </c>
      <c r="X1230" t="s">
        <v>30</v>
      </c>
      <c r="AC1230" t="s">
        <v>3066</v>
      </c>
      <c r="AE1230" s="135"/>
    </row>
    <row r="1231" spans="1:31" ht="12.5" customHeight="1" x14ac:dyDescent="0.35">
      <c r="A1231" t="s">
        <v>396</v>
      </c>
      <c r="C1231" t="s">
        <v>3067</v>
      </c>
      <c r="D1231" t="s">
        <v>385</v>
      </c>
      <c r="E1231" s="133">
        <v>45841</v>
      </c>
      <c r="F1231" s="2">
        <v>4.5324074074074072E-2</v>
      </c>
      <c r="G1231">
        <v>1</v>
      </c>
      <c r="H1231" s="133">
        <v>45840</v>
      </c>
      <c r="I1231" s="2">
        <v>0.54532407407407402</v>
      </c>
      <c r="J1231">
        <v>13</v>
      </c>
      <c r="R1231" t="s">
        <v>30</v>
      </c>
      <c r="W1231">
        <v>1</v>
      </c>
      <c r="X1231" t="s">
        <v>30</v>
      </c>
      <c r="AC1231" t="s">
        <v>3068</v>
      </c>
      <c r="AE1231" s="135"/>
    </row>
    <row r="1232" spans="1:31" ht="12.5" customHeight="1" x14ac:dyDescent="0.35">
      <c r="A1232" t="s">
        <v>396</v>
      </c>
      <c r="C1232" t="s">
        <v>3069</v>
      </c>
      <c r="D1232" t="s">
        <v>385</v>
      </c>
      <c r="E1232" s="133">
        <v>45841</v>
      </c>
      <c r="F1232" s="2">
        <v>4.5393518518518521E-2</v>
      </c>
      <c r="G1232">
        <v>1</v>
      </c>
      <c r="H1232" s="133">
        <v>45840</v>
      </c>
      <c r="I1232" s="2">
        <v>0.54539351851851847</v>
      </c>
      <c r="J1232">
        <v>13</v>
      </c>
      <c r="R1232" t="s">
        <v>30</v>
      </c>
      <c r="W1232">
        <v>1</v>
      </c>
      <c r="X1232" t="s">
        <v>30</v>
      </c>
      <c r="AC1232" t="s">
        <v>3070</v>
      </c>
      <c r="AE1232" s="135"/>
    </row>
    <row r="1233" spans="1:31" ht="12.5" customHeight="1" x14ac:dyDescent="0.35">
      <c r="A1233" t="s">
        <v>396</v>
      </c>
      <c r="C1233" t="s">
        <v>3071</v>
      </c>
      <c r="D1233" t="s">
        <v>385</v>
      </c>
      <c r="E1233" s="133">
        <v>45841</v>
      </c>
      <c r="F1233" s="2">
        <v>4.5462962962962962E-2</v>
      </c>
      <c r="G1233">
        <v>1</v>
      </c>
      <c r="H1233" s="133">
        <v>45840</v>
      </c>
      <c r="I1233" s="2">
        <v>0.54546296296296293</v>
      </c>
      <c r="J1233">
        <v>13</v>
      </c>
      <c r="R1233" t="s">
        <v>30</v>
      </c>
      <c r="W1233">
        <v>1</v>
      </c>
      <c r="X1233" t="s">
        <v>30</v>
      </c>
      <c r="AC1233" t="s">
        <v>3072</v>
      </c>
      <c r="AE1233" s="135"/>
    </row>
    <row r="1234" spans="1:31" ht="12.5" customHeight="1" x14ac:dyDescent="0.35">
      <c r="A1234" t="s">
        <v>396</v>
      </c>
      <c r="C1234" t="s">
        <v>3073</v>
      </c>
      <c r="D1234" t="s">
        <v>385</v>
      </c>
      <c r="E1234" s="133">
        <v>45841</v>
      </c>
      <c r="F1234" s="2">
        <v>4.5555555555555551E-2</v>
      </c>
      <c r="G1234">
        <v>1</v>
      </c>
      <c r="H1234" s="133">
        <v>45840</v>
      </c>
      <c r="I1234" s="2">
        <v>0.54555555555555557</v>
      </c>
      <c r="J1234">
        <v>13</v>
      </c>
      <c r="R1234" t="s">
        <v>30</v>
      </c>
      <c r="W1234">
        <v>1</v>
      </c>
      <c r="X1234" t="s">
        <v>30</v>
      </c>
      <c r="AC1234" t="s">
        <v>3074</v>
      </c>
      <c r="AE1234" s="135"/>
    </row>
    <row r="1235" spans="1:31" ht="12.5" customHeight="1" x14ac:dyDescent="0.35">
      <c r="A1235" t="s">
        <v>396</v>
      </c>
      <c r="C1235" t="s">
        <v>3075</v>
      </c>
      <c r="D1235" t="s">
        <v>385</v>
      </c>
      <c r="E1235" s="133">
        <v>45841</v>
      </c>
      <c r="F1235" s="2">
        <v>4.5624999999999999E-2</v>
      </c>
      <c r="G1235">
        <v>1</v>
      </c>
      <c r="H1235" s="133">
        <v>45840</v>
      </c>
      <c r="I1235" s="2">
        <v>0.54562500000000003</v>
      </c>
      <c r="J1235">
        <v>13</v>
      </c>
      <c r="R1235" t="s">
        <v>30</v>
      </c>
      <c r="W1235">
        <v>1</v>
      </c>
      <c r="X1235" t="s">
        <v>30</v>
      </c>
      <c r="AC1235" t="s">
        <v>3076</v>
      </c>
      <c r="AE1235" s="135"/>
    </row>
    <row r="1236" spans="1:31" ht="12.5" customHeight="1" x14ac:dyDescent="0.35">
      <c r="A1236" t="s">
        <v>396</v>
      </c>
      <c r="C1236" t="s">
        <v>3077</v>
      </c>
      <c r="D1236" t="s">
        <v>385</v>
      </c>
      <c r="E1236" s="133">
        <v>45841</v>
      </c>
      <c r="F1236" s="2">
        <v>4.5717592592592594E-2</v>
      </c>
      <c r="G1236">
        <v>1</v>
      </c>
      <c r="H1236" s="133">
        <v>45840</v>
      </c>
      <c r="I1236" s="2">
        <v>0.54571759259259256</v>
      </c>
      <c r="J1236">
        <v>13</v>
      </c>
      <c r="R1236" t="s">
        <v>30</v>
      </c>
      <c r="W1236">
        <v>1</v>
      </c>
      <c r="X1236" t="s">
        <v>30</v>
      </c>
      <c r="AC1236" t="s">
        <v>3078</v>
      </c>
      <c r="AE1236" s="135"/>
    </row>
    <row r="1237" spans="1:31" ht="12.5" customHeight="1" x14ac:dyDescent="0.35">
      <c r="A1237" t="s">
        <v>396</v>
      </c>
      <c r="C1237" t="s">
        <v>3079</v>
      </c>
      <c r="D1237" t="s">
        <v>385</v>
      </c>
      <c r="E1237" s="133">
        <v>45841</v>
      </c>
      <c r="F1237" s="2">
        <v>4.5787037037037036E-2</v>
      </c>
      <c r="G1237">
        <v>1</v>
      </c>
      <c r="H1237" s="133">
        <v>45840</v>
      </c>
      <c r="I1237" s="2">
        <v>0.54578703703703701</v>
      </c>
      <c r="J1237">
        <v>13</v>
      </c>
      <c r="R1237" t="s">
        <v>30</v>
      </c>
      <c r="W1237">
        <v>1</v>
      </c>
      <c r="X1237" t="s">
        <v>30</v>
      </c>
      <c r="AC1237" t="s">
        <v>3080</v>
      </c>
      <c r="AE1237" s="135"/>
    </row>
    <row r="1238" spans="1:31" ht="12.5" customHeight="1" x14ac:dyDescent="0.35">
      <c r="A1238" t="s">
        <v>396</v>
      </c>
      <c r="C1238" t="s">
        <v>3081</v>
      </c>
      <c r="D1238" t="s">
        <v>385</v>
      </c>
      <c r="E1238" s="133">
        <v>45841</v>
      </c>
      <c r="F1238" s="2">
        <v>4.5856481481481477E-2</v>
      </c>
      <c r="G1238">
        <v>1</v>
      </c>
      <c r="H1238" s="133">
        <v>45840</v>
      </c>
      <c r="I1238" s="2">
        <v>0.54585648148148147</v>
      </c>
      <c r="J1238">
        <v>13</v>
      </c>
      <c r="R1238" t="s">
        <v>30</v>
      </c>
      <c r="W1238">
        <v>1</v>
      </c>
      <c r="X1238" t="s">
        <v>30</v>
      </c>
      <c r="AC1238" t="s">
        <v>3082</v>
      </c>
      <c r="AE1238" s="135"/>
    </row>
    <row r="1239" spans="1:31" ht="12.5" customHeight="1" x14ac:dyDescent="0.35">
      <c r="A1239" t="s">
        <v>396</v>
      </c>
      <c r="C1239" t="s">
        <v>3083</v>
      </c>
      <c r="D1239" t="s">
        <v>385</v>
      </c>
      <c r="E1239" s="133">
        <v>45841</v>
      </c>
      <c r="F1239" s="2">
        <v>4.594907407407408E-2</v>
      </c>
      <c r="G1239">
        <v>1</v>
      </c>
      <c r="H1239" s="133">
        <v>45840</v>
      </c>
      <c r="I1239" s="2">
        <v>0.54594907407407411</v>
      </c>
      <c r="J1239">
        <v>13</v>
      </c>
      <c r="R1239" t="s">
        <v>30</v>
      </c>
      <c r="W1239">
        <v>1</v>
      </c>
      <c r="X1239" t="s">
        <v>30</v>
      </c>
      <c r="AC1239" t="s">
        <v>3084</v>
      </c>
      <c r="AE1239" s="135"/>
    </row>
    <row r="1240" spans="1:31" ht="12.5" customHeight="1" x14ac:dyDescent="0.35">
      <c r="A1240" t="s">
        <v>396</v>
      </c>
      <c r="C1240" t="s">
        <v>3085</v>
      </c>
      <c r="D1240" t="s">
        <v>385</v>
      </c>
      <c r="E1240" s="133">
        <v>45841</v>
      </c>
      <c r="F1240" s="2">
        <v>4.6041666666666668E-2</v>
      </c>
      <c r="G1240">
        <v>1</v>
      </c>
      <c r="H1240" s="133">
        <v>45840</v>
      </c>
      <c r="I1240" s="2">
        <v>0.54604166666666665</v>
      </c>
      <c r="J1240">
        <v>13</v>
      </c>
      <c r="R1240" t="s">
        <v>30</v>
      </c>
      <c r="W1240">
        <v>1</v>
      </c>
      <c r="X1240" t="s">
        <v>30</v>
      </c>
      <c r="AC1240" t="s">
        <v>3086</v>
      </c>
      <c r="AE1240" s="135"/>
    </row>
    <row r="1241" spans="1:31" ht="12.5" customHeight="1" x14ac:dyDescent="0.35">
      <c r="A1241" t="s">
        <v>396</v>
      </c>
      <c r="C1241" t="s">
        <v>3087</v>
      </c>
      <c r="D1241" t="s">
        <v>385</v>
      </c>
      <c r="E1241" s="133">
        <v>45841</v>
      </c>
      <c r="F1241" s="2">
        <v>4.6134259259259264E-2</v>
      </c>
      <c r="G1241">
        <v>1</v>
      </c>
      <c r="H1241" s="133">
        <v>45840</v>
      </c>
      <c r="I1241" s="2">
        <v>0.54613425925925929</v>
      </c>
      <c r="J1241">
        <v>13</v>
      </c>
      <c r="R1241" t="s">
        <v>30</v>
      </c>
      <c r="W1241">
        <v>1</v>
      </c>
      <c r="X1241" t="s">
        <v>30</v>
      </c>
      <c r="AC1241" t="s">
        <v>3088</v>
      </c>
      <c r="AE1241" s="135"/>
    </row>
    <row r="1242" spans="1:31" ht="12.5" customHeight="1" x14ac:dyDescent="0.35">
      <c r="A1242" t="s">
        <v>396</v>
      </c>
      <c r="C1242" t="s">
        <v>3089</v>
      </c>
      <c r="D1242" t="s">
        <v>385</v>
      </c>
      <c r="E1242" s="133">
        <v>45841</v>
      </c>
      <c r="F1242" s="2">
        <v>4.6203703703703698E-2</v>
      </c>
      <c r="G1242">
        <v>1</v>
      </c>
      <c r="H1242" s="133">
        <v>45840</v>
      </c>
      <c r="I1242" s="2">
        <v>0.54620370370370364</v>
      </c>
      <c r="J1242">
        <v>13</v>
      </c>
      <c r="R1242" t="s">
        <v>30</v>
      </c>
      <c r="W1242">
        <v>1</v>
      </c>
      <c r="X1242" t="s">
        <v>30</v>
      </c>
      <c r="AC1242" t="s">
        <v>3090</v>
      </c>
      <c r="AE1242" s="135"/>
    </row>
    <row r="1243" spans="1:31" ht="12.5" customHeight="1" x14ac:dyDescent="0.35">
      <c r="A1243" t="s">
        <v>396</v>
      </c>
      <c r="C1243" t="s">
        <v>3091</v>
      </c>
      <c r="D1243" t="s">
        <v>385</v>
      </c>
      <c r="E1243" s="133">
        <v>45841</v>
      </c>
      <c r="F1243" s="2">
        <v>4.6273148148148147E-2</v>
      </c>
      <c r="G1243">
        <v>1</v>
      </c>
      <c r="H1243" s="133">
        <v>45840</v>
      </c>
      <c r="I1243" s="2">
        <v>0.54627314814814809</v>
      </c>
      <c r="J1243">
        <v>13</v>
      </c>
      <c r="R1243" t="s">
        <v>30</v>
      </c>
      <c r="W1243">
        <v>1</v>
      </c>
      <c r="X1243" t="s">
        <v>30</v>
      </c>
      <c r="AC1243" t="s">
        <v>3092</v>
      </c>
      <c r="AE1243" s="135"/>
    </row>
    <row r="1244" spans="1:31" ht="12.5" customHeight="1" x14ac:dyDescent="0.35">
      <c r="A1244" t="s">
        <v>396</v>
      </c>
      <c r="C1244" t="s">
        <v>3093</v>
      </c>
      <c r="D1244" t="s">
        <v>385</v>
      </c>
      <c r="E1244" s="133">
        <v>45841</v>
      </c>
      <c r="F1244" s="2">
        <v>4.6365740740740742E-2</v>
      </c>
      <c r="G1244">
        <v>1</v>
      </c>
      <c r="H1244" s="133">
        <v>45840</v>
      </c>
      <c r="I1244" s="2">
        <v>0.54636574074074074</v>
      </c>
      <c r="J1244">
        <v>13</v>
      </c>
      <c r="R1244" t="s">
        <v>30</v>
      </c>
      <c r="W1244">
        <v>1</v>
      </c>
      <c r="X1244" t="s">
        <v>30</v>
      </c>
      <c r="AC1244" t="s">
        <v>3094</v>
      </c>
      <c r="AE1244" s="135"/>
    </row>
    <row r="1245" spans="1:31" ht="12.5" customHeight="1" x14ac:dyDescent="0.35">
      <c r="A1245" t="s">
        <v>396</v>
      </c>
      <c r="C1245" t="s">
        <v>3095</v>
      </c>
      <c r="D1245" t="s">
        <v>385</v>
      </c>
      <c r="E1245" s="133">
        <v>45841</v>
      </c>
      <c r="F1245" s="2">
        <v>4.6435185185185184E-2</v>
      </c>
      <c r="G1245">
        <v>1</v>
      </c>
      <c r="H1245" s="133">
        <v>45840</v>
      </c>
      <c r="I1245" s="2">
        <v>0.54643518518518519</v>
      </c>
      <c r="J1245">
        <v>13</v>
      </c>
      <c r="R1245" t="s">
        <v>30</v>
      </c>
      <c r="W1245">
        <v>1</v>
      </c>
      <c r="X1245" t="s">
        <v>30</v>
      </c>
      <c r="AC1245" t="s">
        <v>3096</v>
      </c>
      <c r="AE1245" s="135"/>
    </row>
    <row r="1246" spans="1:31" ht="12.5" customHeight="1" x14ac:dyDescent="0.35">
      <c r="A1246" t="s">
        <v>396</v>
      </c>
      <c r="C1246" t="s">
        <v>3097</v>
      </c>
      <c r="D1246" t="s">
        <v>385</v>
      </c>
      <c r="E1246" s="133">
        <v>45841</v>
      </c>
      <c r="F1246" s="2">
        <v>4.6527777777777779E-2</v>
      </c>
      <c r="G1246">
        <v>1</v>
      </c>
      <c r="H1246" s="133">
        <v>45840</v>
      </c>
      <c r="I1246" s="2">
        <v>0.54652777777777783</v>
      </c>
      <c r="J1246">
        <v>13</v>
      </c>
      <c r="R1246" t="s">
        <v>30</v>
      </c>
      <c r="W1246">
        <v>1</v>
      </c>
      <c r="X1246" t="s">
        <v>30</v>
      </c>
      <c r="AC1246" t="s">
        <v>3098</v>
      </c>
      <c r="AE1246" s="135"/>
    </row>
    <row r="1247" spans="1:31" ht="12.5" customHeight="1" x14ac:dyDescent="0.35">
      <c r="A1247" t="s">
        <v>396</v>
      </c>
      <c r="C1247" t="s">
        <v>3099</v>
      </c>
      <c r="D1247" t="s">
        <v>385</v>
      </c>
      <c r="E1247" s="133">
        <v>45841</v>
      </c>
      <c r="F1247" s="2">
        <v>4.6597222222222227E-2</v>
      </c>
      <c r="G1247">
        <v>1</v>
      </c>
      <c r="H1247" s="133">
        <v>45840</v>
      </c>
      <c r="I1247" s="2">
        <v>0.54659722222222229</v>
      </c>
      <c r="J1247">
        <v>13</v>
      </c>
      <c r="R1247" t="s">
        <v>30</v>
      </c>
      <c r="W1247">
        <v>1</v>
      </c>
      <c r="X1247" t="s">
        <v>30</v>
      </c>
      <c r="AC1247" t="s">
        <v>3100</v>
      </c>
      <c r="AE1247" s="135"/>
    </row>
    <row r="1248" spans="1:31" ht="12.5" customHeight="1" x14ac:dyDescent="0.35">
      <c r="A1248" t="s">
        <v>396</v>
      </c>
      <c r="C1248" t="s">
        <v>3101</v>
      </c>
      <c r="D1248" t="s">
        <v>385</v>
      </c>
      <c r="E1248" s="133">
        <v>45841</v>
      </c>
      <c r="F1248" s="2">
        <v>4.6689814814814816E-2</v>
      </c>
      <c r="G1248">
        <v>1</v>
      </c>
      <c r="H1248" s="133">
        <v>45840</v>
      </c>
      <c r="I1248" s="2">
        <v>0.54668981481481482</v>
      </c>
      <c r="J1248">
        <v>13</v>
      </c>
      <c r="R1248" t="s">
        <v>30</v>
      </c>
      <c r="W1248">
        <v>1</v>
      </c>
      <c r="X1248" t="s">
        <v>30</v>
      </c>
      <c r="AC1248" t="s">
        <v>3102</v>
      </c>
      <c r="AE1248" s="135"/>
    </row>
    <row r="1249" spans="1:31" ht="12.5" customHeight="1" x14ac:dyDescent="0.35">
      <c r="A1249" t="s">
        <v>396</v>
      </c>
      <c r="C1249" t="s">
        <v>3103</v>
      </c>
      <c r="D1249" t="s">
        <v>385</v>
      </c>
      <c r="E1249" s="133">
        <v>45841</v>
      </c>
      <c r="F1249" s="2">
        <v>4.6782407407407411E-2</v>
      </c>
      <c r="G1249">
        <v>1</v>
      </c>
      <c r="H1249" s="133">
        <v>45840</v>
      </c>
      <c r="I1249" s="2">
        <v>0.54678240740740736</v>
      </c>
      <c r="J1249">
        <v>13</v>
      </c>
      <c r="R1249" t="s">
        <v>30</v>
      </c>
      <c r="W1249">
        <v>1</v>
      </c>
      <c r="X1249" t="s">
        <v>30</v>
      </c>
      <c r="AC1249" t="s">
        <v>3104</v>
      </c>
      <c r="AE1249" s="135"/>
    </row>
    <row r="1250" spans="1:31" ht="12.5" customHeight="1" x14ac:dyDescent="0.35">
      <c r="A1250" t="s">
        <v>396</v>
      </c>
      <c r="C1250" t="s">
        <v>3105</v>
      </c>
      <c r="D1250" t="s">
        <v>385</v>
      </c>
      <c r="E1250" s="133">
        <v>45841</v>
      </c>
      <c r="F1250" s="2">
        <v>4.6851851851851846E-2</v>
      </c>
      <c r="G1250">
        <v>1</v>
      </c>
      <c r="H1250" s="133">
        <v>45840</v>
      </c>
      <c r="I1250" s="2">
        <v>0.54685185185185181</v>
      </c>
      <c r="J1250">
        <v>13</v>
      </c>
      <c r="R1250" t="s">
        <v>30</v>
      </c>
      <c r="W1250">
        <v>1</v>
      </c>
      <c r="X1250" t="s">
        <v>30</v>
      </c>
      <c r="AC1250" t="s">
        <v>3106</v>
      </c>
      <c r="AE1250" s="135"/>
    </row>
    <row r="1251" spans="1:31" ht="12.5" customHeight="1" x14ac:dyDescent="0.35">
      <c r="A1251" t="s">
        <v>396</v>
      </c>
      <c r="C1251" t="s">
        <v>3107</v>
      </c>
      <c r="D1251" t="s">
        <v>385</v>
      </c>
      <c r="E1251" s="133">
        <v>45841</v>
      </c>
      <c r="F1251" s="2">
        <v>4.6944444444444448E-2</v>
      </c>
      <c r="G1251">
        <v>1</v>
      </c>
      <c r="H1251" s="133">
        <v>45840</v>
      </c>
      <c r="I1251" s="2">
        <v>0.54694444444444446</v>
      </c>
      <c r="J1251">
        <v>13</v>
      </c>
      <c r="R1251" t="s">
        <v>30</v>
      </c>
      <c r="W1251">
        <v>1</v>
      </c>
      <c r="X1251" t="s">
        <v>30</v>
      </c>
      <c r="AC1251" t="s">
        <v>3108</v>
      </c>
      <c r="AE1251" s="135"/>
    </row>
    <row r="1252" spans="1:31" ht="12.5" customHeight="1" x14ac:dyDescent="0.35">
      <c r="A1252" t="s">
        <v>396</v>
      </c>
      <c r="C1252" t="s">
        <v>3109</v>
      </c>
      <c r="D1252" t="s">
        <v>385</v>
      </c>
      <c r="E1252" s="133">
        <v>45841</v>
      </c>
      <c r="F1252" s="2">
        <v>4.701388888888889E-2</v>
      </c>
      <c r="G1252">
        <v>1</v>
      </c>
      <c r="H1252" s="133">
        <v>45840</v>
      </c>
      <c r="I1252" s="2">
        <v>0.54701388888888891</v>
      </c>
      <c r="J1252">
        <v>13</v>
      </c>
      <c r="R1252" t="s">
        <v>30</v>
      </c>
      <c r="W1252">
        <v>1</v>
      </c>
      <c r="X1252" t="s">
        <v>30</v>
      </c>
      <c r="AC1252" t="s">
        <v>3110</v>
      </c>
      <c r="AE1252" s="135"/>
    </row>
    <row r="1253" spans="1:31" ht="12.5" customHeight="1" x14ac:dyDescent="0.35">
      <c r="A1253" t="s">
        <v>396</v>
      </c>
      <c r="C1253" t="s">
        <v>3111</v>
      </c>
      <c r="D1253" t="s">
        <v>385</v>
      </c>
      <c r="E1253" s="133">
        <v>45841</v>
      </c>
      <c r="F1253" s="2">
        <v>4.7106481481481478E-2</v>
      </c>
      <c r="G1253">
        <v>1</v>
      </c>
      <c r="H1253" s="133">
        <v>45840</v>
      </c>
      <c r="I1253" s="2">
        <v>0.54710648148148155</v>
      </c>
      <c r="J1253">
        <v>13</v>
      </c>
      <c r="R1253" t="s">
        <v>30</v>
      </c>
      <c r="W1253">
        <v>1</v>
      </c>
      <c r="X1253" t="s">
        <v>30</v>
      </c>
      <c r="AC1253" t="s">
        <v>3112</v>
      </c>
      <c r="AE1253" s="135"/>
    </row>
    <row r="1254" spans="1:31" ht="12.5" customHeight="1" x14ac:dyDescent="0.35">
      <c r="A1254" t="s">
        <v>396</v>
      </c>
      <c r="C1254" t="s">
        <v>3113</v>
      </c>
      <c r="D1254" t="s">
        <v>385</v>
      </c>
      <c r="E1254" s="133">
        <v>45841</v>
      </c>
      <c r="F1254" s="2">
        <v>4.7175925925925927E-2</v>
      </c>
      <c r="G1254">
        <v>1</v>
      </c>
      <c r="H1254" s="133">
        <v>45840</v>
      </c>
      <c r="I1254" s="2">
        <v>0.5471759259259259</v>
      </c>
      <c r="J1254">
        <v>13</v>
      </c>
      <c r="R1254" t="s">
        <v>30</v>
      </c>
      <c r="W1254">
        <v>1</v>
      </c>
      <c r="X1254" t="s">
        <v>30</v>
      </c>
      <c r="AC1254" t="s">
        <v>3114</v>
      </c>
      <c r="AE1254" s="135"/>
    </row>
    <row r="1255" spans="1:31" ht="12.5" customHeight="1" x14ac:dyDescent="0.35">
      <c r="A1255" t="s">
        <v>396</v>
      </c>
      <c r="C1255" t="s">
        <v>3115</v>
      </c>
      <c r="D1255" t="s">
        <v>385</v>
      </c>
      <c r="E1255" s="133">
        <v>45841</v>
      </c>
      <c r="F1255" s="2">
        <v>4.7245370370370375E-2</v>
      </c>
      <c r="G1255">
        <v>1</v>
      </c>
      <c r="H1255" s="133">
        <v>45840</v>
      </c>
      <c r="I1255" s="2">
        <v>0.54724537037037035</v>
      </c>
      <c r="J1255">
        <v>13</v>
      </c>
      <c r="R1255" t="s">
        <v>30</v>
      </c>
      <c r="W1255">
        <v>1</v>
      </c>
      <c r="X1255" t="s">
        <v>30</v>
      </c>
      <c r="AC1255" t="s">
        <v>3116</v>
      </c>
      <c r="AE1255" s="135"/>
    </row>
    <row r="1256" spans="1:31" ht="12.5" customHeight="1" x14ac:dyDescent="0.35">
      <c r="A1256" t="s">
        <v>396</v>
      </c>
      <c r="C1256" t="s">
        <v>3117</v>
      </c>
      <c r="D1256" t="s">
        <v>385</v>
      </c>
      <c r="E1256" s="133">
        <v>45841</v>
      </c>
      <c r="F1256" s="2">
        <v>4.7337962962962964E-2</v>
      </c>
      <c r="G1256">
        <v>1</v>
      </c>
      <c r="H1256" s="133">
        <v>45840</v>
      </c>
      <c r="I1256" s="2">
        <v>0.547337962962963</v>
      </c>
      <c r="J1256">
        <v>13</v>
      </c>
      <c r="R1256" t="s">
        <v>30</v>
      </c>
      <c r="W1256">
        <v>1</v>
      </c>
      <c r="X1256" t="s">
        <v>30</v>
      </c>
      <c r="AC1256" t="s">
        <v>3118</v>
      </c>
      <c r="AE1256" s="135"/>
    </row>
    <row r="1257" spans="1:31" ht="12.5" customHeight="1" x14ac:dyDescent="0.35">
      <c r="A1257" t="s">
        <v>396</v>
      </c>
      <c r="C1257" t="s">
        <v>3119</v>
      </c>
      <c r="D1257" t="s">
        <v>385</v>
      </c>
      <c r="E1257" s="133">
        <v>45841</v>
      </c>
      <c r="F1257" s="2">
        <v>4.7407407407407405E-2</v>
      </c>
      <c r="G1257">
        <v>1</v>
      </c>
      <c r="H1257" s="133">
        <v>45840</v>
      </c>
      <c r="I1257" s="2">
        <v>0.54740740740740745</v>
      </c>
      <c r="J1257">
        <v>13</v>
      </c>
      <c r="R1257" t="s">
        <v>30</v>
      </c>
      <c r="W1257">
        <v>1</v>
      </c>
      <c r="X1257" t="s">
        <v>30</v>
      </c>
      <c r="AC1257" t="s">
        <v>3120</v>
      </c>
      <c r="AE1257" s="135"/>
    </row>
    <row r="1258" spans="1:31" ht="12.5" customHeight="1" x14ac:dyDescent="0.35">
      <c r="A1258" t="s">
        <v>396</v>
      </c>
      <c r="C1258" t="s">
        <v>3121</v>
      </c>
      <c r="D1258" t="s">
        <v>385</v>
      </c>
      <c r="E1258" s="133">
        <v>45841</v>
      </c>
      <c r="F1258" s="2">
        <v>4.7500000000000007E-2</v>
      </c>
      <c r="G1258">
        <v>1</v>
      </c>
      <c r="H1258" s="133">
        <v>45840</v>
      </c>
      <c r="I1258" s="2">
        <v>0.54749999999999999</v>
      </c>
      <c r="J1258">
        <v>13</v>
      </c>
      <c r="R1258" t="s">
        <v>30</v>
      </c>
      <c r="W1258">
        <v>1</v>
      </c>
      <c r="X1258" t="s">
        <v>30</v>
      </c>
      <c r="AC1258" t="s">
        <v>3122</v>
      </c>
      <c r="AE1258" s="135"/>
    </row>
    <row r="1259" spans="1:31" ht="12.5" customHeight="1" x14ac:dyDescent="0.35">
      <c r="A1259" t="s">
        <v>396</v>
      </c>
      <c r="C1259" t="s">
        <v>3123</v>
      </c>
      <c r="D1259" t="s">
        <v>385</v>
      </c>
      <c r="E1259" s="133">
        <v>45841</v>
      </c>
      <c r="F1259" s="2">
        <v>4.7592592592592596E-2</v>
      </c>
      <c r="G1259">
        <v>1</v>
      </c>
      <c r="H1259" s="133">
        <v>45840</v>
      </c>
      <c r="I1259" s="2">
        <v>0.54759259259259252</v>
      </c>
      <c r="J1259">
        <v>13</v>
      </c>
      <c r="R1259" t="s">
        <v>30</v>
      </c>
      <c r="W1259">
        <v>1</v>
      </c>
      <c r="X1259" t="s">
        <v>30</v>
      </c>
      <c r="AC1259" t="s">
        <v>3124</v>
      </c>
      <c r="AE1259" s="135"/>
    </row>
    <row r="1260" spans="1:31" ht="12.5" customHeight="1" x14ac:dyDescent="0.35">
      <c r="A1260" t="s">
        <v>396</v>
      </c>
      <c r="C1260" t="s">
        <v>3125</v>
      </c>
      <c r="D1260" t="s">
        <v>385</v>
      </c>
      <c r="E1260" s="133">
        <v>45841</v>
      </c>
      <c r="F1260" s="2">
        <v>4.7662037037037037E-2</v>
      </c>
      <c r="G1260">
        <v>1</v>
      </c>
      <c r="H1260" s="133">
        <v>45840</v>
      </c>
      <c r="I1260" s="2">
        <v>0.54766203703703698</v>
      </c>
      <c r="J1260">
        <v>13</v>
      </c>
      <c r="R1260" t="s">
        <v>30</v>
      </c>
      <c r="W1260">
        <v>1</v>
      </c>
      <c r="X1260" t="s">
        <v>30</v>
      </c>
      <c r="AC1260" t="s">
        <v>3126</v>
      </c>
      <c r="AE1260" s="135"/>
    </row>
    <row r="1261" spans="1:31" ht="12.5" customHeight="1" x14ac:dyDescent="0.35">
      <c r="A1261" t="s">
        <v>396</v>
      </c>
      <c r="C1261" t="s">
        <v>3127</v>
      </c>
      <c r="D1261" t="s">
        <v>385</v>
      </c>
      <c r="E1261" s="133">
        <v>45841</v>
      </c>
      <c r="F1261" s="2">
        <v>4.7754629629629626E-2</v>
      </c>
      <c r="G1261">
        <v>1</v>
      </c>
      <c r="H1261" s="133">
        <v>45840</v>
      </c>
      <c r="I1261" s="2">
        <v>0.54775462962962962</v>
      </c>
      <c r="J1261">
        <v>13</v>
      </c>
      <c r="R1261" t="s">
        <v>30</v>
      </c>
      <c r="W1261">
        <v>1</v>
      </c>
      <c r="X1261" t="s">
        <v>30</v>
      </c>
      <c r="AC1261" t="s">
        <v>3128</v>
      </c>
      <c r="AE1261" s="135"/>
    </row>
    <row r="1262" spans="1:31" ht="12.5" customHeight="1" x14ac:dyDescent="0.35">
      <c r="A1262" t="s">
        <v>396</v>
      </c>
      <c r="C1262" t="s">
        <v>3129</v>
      </c>
      <c r="D1262" t="s">
        <v>385</v>
      </c>
      <c r="E1262" s="133">
        <v>45841</v>
      </c>
      <c r="F1262" s="2">
        <v>4.7824074074074074E-2</v>
      </c>
      <c r="G1262">
        <v>1</v>
      </c>
      <c r="H1262" s="133">
        <v>45840</v>
      </c>
      <c r="I1262" s="2">
        <v>0.54782407407407407</v>
      </c>
      <c r="J1262">
        <v>13</v>
      </c>
      <c r="R1262" t="s">
        <v>30</v>
      </c>
      <c r="W1262">
        <v>1</v>
      </c>
      <c r="X1262" t="s">
        <v>30</v>
      </c>
      <c r="AC1262" t="s">
        <v>3130</v>
      </c>
      <c r="AE1262" s="135"/>
    </row>
    <row r="1263" spans="1:31" ht="12.5" customHeight="1" x14ac:dyDescent="0.35">
      <c r="A1263" t="s">
        <v>396</v>
      </c>
      <c r="C1263" t="s">
        <v>3131</v>
      </c>
      <c r="D1263" t="s">
        <v>385</v>
      </c>
      <c r="E1263" s="133">
        <v>45841</v>
      </c>
      <c r="F1263" s="2">
        <v>4.7893518518518523E-2</v>
      </c>
      <c r="G1263">
        <v>1</v>
      </c>
      <c r="H1263" s="133">
        <v>45840</v>
      </c>
      <c r="I1263" s="2">
        <v>0.54789351851851853</v>
      </c>
      <c r="J1263">
        <v>13</v>
      </c>
      <c r="R1263" t="s">
        <v>30</v>
      </c>
      <c r="W1263">
        <v>1</v>
      </c>
      <c r="X1263" t="s">
        <v>30</v>
      </c>
      <c r="AC1263" t="s">
        <v>3132</v>
      </c>
      <c r="AE1263" s="135"/>
    </row>
    <row r="1264" spans="1:31" ht="12.5" customHeight="1" x14ac:dyDescent="0.35">
      <c r="A1264" t="s">
        <v>396</v>
      </c>
      <c r="C1264" t="s">
        <v>3133</v>
      </c>
      <c r="D1264" t="s">
        <v>385</v>
      </c>
      <c r="E1264" s="133">
        <v>45841</v>
      </c>
      <c r="F1264" s="2">
        <v>4.7986111111111111E-2</v>
      </c>
      <c r="G1264">
        <v>1</v>
      </c>
      <c r="H1264" s="133">
        <v>45840</v>
      </c>
      <c r="I1264" s="2">
        <v>0.54798611111111117</v>
      </c>
      <c r="J1264">
        <v>13</v>
      </c>
      <c r="R1264" t="s">
        <v>30</v>
      </c>
      <c r="W1264">
        <v>1</v>
      </c>
      <c r="X1264" t="s">
        <v>30</v>
      </c>
      <c r="AC1264" t="s">
        <v>3134</v>
      </c>
      <c r="AE1264" s="135"/>
    </row>
    <row r="1265" spans="1:31" ht="12.5" customHeight="1" x14ac:dyDescent="0.35">
      <c r="A1265" t="s">
        <v>396</v>
      </c>
      <c r="C1265" t="s">
        <v>3135</v>
      </c>
      <c r="D1265" t="s">
        <v>385</v>
      </c>
      <c r="E1265" s="133">
        <v>45841</v>
      </c>
      <c r="F1265" s="2">
        <v>4.8055555555555553E-2</v>
      </c>
      <c r="G1265">
        <v>1</v>
      </c>
      <c r="H1265" s="133">
        <v>45840</v>
      </c>
      <c r="I1265" s="2">
        <v>0.54805555555555552</v>
      </c>
      <c r="J1265">
        <v>13</v>
      </c>
      <c r="R1265" t="s">
        <v>30</v>
      </c>
      <c r="W1265">
        <v>1</v>
      </c>
      <c r="X1265" t="s">
        <v>30</v>
      </c>
      <c r="AC1265" t="s">
        <v>3136</v>
      </c>
      <c r="AE1265" s="135"/>
    </row>
    <row r="1266" spans="1:31" ht="12.5" customHeight="1" x14ac:dyDescent="0.35">
      <c r="A1266" t="s">
        <v>396</v>
      </c>
      <c r="C1266" t="s">
        <v>3137</v>
      </c>
      <c r="D1266" t="s">
        <v>385</v>
      </c>
      <c r="E1266" s="133">
        <v>45841</v>
      </c>
      <c r="F1266" s="2">
        <v>4.8125000000000001E-2</v>
      </c>
      <c r="G1266">
        <v>1</v>
      </c>
      <c r="H1266" s="133">
        <v>45840</v>
      </c>
      <c r="I1266" s="2">
        <v>0.54812499999999997</v>
      </c>
      <c r="J1266">
        <v>13</v>
      </c>
      <c r="R1266" t="s">
        <v>30</v>
      </c>
      <c r="W1266">
        <v>1</v>
      </c>
      <c r="X1266" t="s">
        <v>30</v>
      </c>
      <c r="AC1266" t="s">
        <v>3138</v>
      </c>
      <c r="AE1266" s="135"/>
    </row>
    <row r="1267" spans="1:31" ht="12.5" customHeight="1" x14ac:dyDescent="0.35">
      <c r="A1267" t="s">
        <v>396</v>
      </c>
      <c r="C1267" t="s">
        <v>3139</v>
      </c>
      <c r="D1267" t="s">
        <v>385</v>
      </c>
      <c r="E1267" s="133">
        <v>45841</v>
      </c>
      <c r="F1267" s="2">
        <v>4.821759259259259E-2</v>
      </c>
      <c r="G1267">
        <v>1</v>
      </c>
      <c r="H1267" s="133">
        <v>45840</v>
      </c>
      <c r="I1267" s="2">
        <v>0.54821759259259262</v>
      </c>
      <c r="J1267">
        <v>13</v>
      </c>
      <c r="R1267" t="s">
        <v>30</v>
      </c>
      <c r="W1267">
        <v>1</v>
      </c>
      <c r="X1267" t="s">
        <v>30</v>
      </c>
      <c r="AC1267" t="s">
        <v>3140</v>
      </c>
      <c r="AE1267" s="135"/>
    </row>
    <row r="1268" spans="1:31" ht="12.5" customHeight="1" x14ac:dyDescent="0.35">
      <c r="A1268" t="s">
        <v>396</v>
      </c>
      <c r="C1268" t="s">
        <v>3141</v>
      </c>
      <c r="D1268" t="s">
        <v>385</v>
      </c>
      <c r="E1268" s="133">
        <v>45841</v>
      </c>
      <c r="F1268" s="2">
        <v>4.8287037037037038E-2</v>
      </c>
      <c r="G1268">
        <v>1</v>
      </c>
      <c r="H1268" s="133">
        <v>45840</v>
      </c>
      <c r="I1268" s="2">
        <v>0.54828703703703707</v>
      </c>
      <c r="J1268">
        <v>13</v>
      </c>
      <c r="R1268" t="s">
        <v>30</v>
      </c>
      <c r="W1268">
        <v>1</v>
      </c>
      <c r="X1268" t="s">
        <v>30</v>
      </c>
      <c r="AC1268" t="s">
        <v>3142</v>
      </c>
      <c r="AE1268" s="135"/>
    </row>
    <row r="1269" spans="1:31" ht="12.5" customHeight="1" x14ac:dyDescent="0.35">
      <c r="A1269" t="s">
        <v>396</v>
      </c>
      <c r="C1269" t="s">
        <v>3143</v>
      </c>
      <c r="D1269" t="s">
        <v>385</v>
      </c>
      <c r="E1269" s="133">
        <v>45841</v>
      </c>
      <c r="F1269" s="2">
        <v>4.8379629629629627E-2</v>
      </c>
      <c r="G1269">
        <v>1</v>
      </c>
      <c r="H1269" s="133">
        <v>45840</v>
      </c>
      <c r="I1269" s="2">
        <v>0.54837962962962961</v>
      </c>
      <c r="J1269">
        <v>13</v>
      </c>
      <c r="R1269" t="s">
        <v>30</v>
      </c>
      <c r="W1269">
        <v>1</v>
      </c>
      <c r="X1269" t="s">
        <v>30</v>
      </c>
      <c r="AC1269" t="s">
        <v>3144</v>
      </c>
      <c r="AE1269" s="135"/>
    </row>
    <row r="1270" spans="1:31" ht="12.5" customHeight="1" x14ac:dyDescent="0.35">
      <c r="A1270" t="s">
        <v>396</v>
      </c>
      <c r="C1270" t="s">
        <v>3145</v>
      </c>
      <c r="D1270" t="s">
        <v>385</v>
      </c>
      <c r="E1270" s="133">
        <v>45841</v>
      </c>
      <c r="F1270" s="2">
        <v>4.8449074074074082E-2</v>
      </c>
      <c r="G1270">
        <v>1</v>
      </c>
      <c r="H1270" s="133">
        <v>45840</v>
      </c>
      <c r="I1270" s="2">
        <v>0.54844907407407406</v>
      </c>
      <c r="J1270">
        <v>13</v>
      </c>
      <c r="R1270" t="s">
        <v>30</v>
      </c>
      <c r="W1270">
        <v>1</v>
      </c>
      <c r="X1270" t="s">
        <v>30</v>
      </c>
      <c r="AC1270" t="s">
        <v>3146</v>
      </c>
      <c r="AE1270" s="135"/>
    </row>
    <row r="1271" spans="1:31" ht="12.5" customHeight="1" x14ac:dyDescent="0.35">
      <c r="A1271" t="s">
        <v>396</v>
      </c>
      <c r="C1271" t="s">
        <v>3147</v>
      </c>
      <c r="D1271" t="s">
        <v>385</v>
      </c>
      <c r="E1271" s="133">
        <v>45841</v>
      </c>
      <c r="F1271" s="2">
        <v>4.8518518518518516E-2</v>
      </c>
      <c r="G1271">
        <v>1</v>
      </c>
      <c r="H1271" s="133">
        <v>45840</v>
      </c>
      <c r="I1271" s="2">
        <v>0.54851851851851852</v>
      </c>
      <c r="J1271">
        <v>13</v>
      </c>
      <c r="R1271" t="s">
        <v>30</v>
      </c>
      <c r="W1271">
        <v>1</v>
      </c>
      <c r="X1271" t="s">
        <v>30</v>
      </c>
      <c r="AC1271" t="s">
        <v>3148</v>
      </c>
      <c r="AE1271" s="135"/>
    </row>
    <row r="1272" spans="1:31" ht="12.5" customHeight="1" x14ac:dyDescent="0.35">
      <c r="A1272" t="s">
        <v>396</v>
      </c>
      <c r="C1272" t="s">
        <v>3149</v>
      </c>
      <c r="D1272" t="s">
        <v>385</v>
      </c>
      <c r="E1272" s="133">
        <v>45841</v>
      </c>
      <c r="F1272" s="2">
        <v>4.8587962962962965E-2</v>
      </c>
      <c r="G1272">
        <v>1</v>
      </c>
      <c r="H1272" s="133">
        <v>45840</v>
      </c>
      <c r="I1272" s="2">
        <v>0.54858796296296297</v>
      </c>
      <c r="J1272">
        <v>13</v>
      </c>
      <c r="R1272" t="s">
        <v>30</v>
      </c>
      <c r="W1272">
        <v>1</v>
      </c>
      <c r="X1272" t="s">
        <v>30</v>
      </c>
      <c r="AC1272" t="s">
        <v>3150</v>
      </c>
      <c r="AE1272" s="135"/>
    </row>
    <row r="1273" spans="1:31" ht="12.5" customHeight="1" x14ac:dyDescent="0.35">
      <c r="A1273" t="s">
        <v>396</v>
      </c>
      <c r="C1273" t="s">
        <v>3151</v>
      </c>
      <c r="D1273" t="s">
        <v>385</v>
      </c>
      <c r="E1273" s="133">
        <v>45841</v>
      </c>
      <c r="F1273" s="2">
        <v>4.868055555555556E-2</v>
      </c>
      <c r="G1273">
        <v>1</v>
      </c>
      <c r="H1273" s="133">
        <v>45840</v>
      </c>
      <c r="I1273" s="2">
        <v>0.5486805555555555</v>
      </c>
      <c r="J1273">
        <v>13</v>
      </c>
      <c r="R1273" t="s">
        <v>30</v>
      </c>
      <c r="W1273">
        <v>1</v>
      </c>
      <c r="X1273" t="s">
        <v>30</v>
      </c>
      <c r="AC1273" t="s">
        <v>3152</v>
      </c>
      <c r="AE1273" s="135"/>
    </row>
    <row r="1274" spans="1:31" ht="12.5" customHeight="1" x14ac:dyDescent="0.35">
      <c r="A1274" t="s">
        <v>396</v>
      </c>
      <c r="C1274" t="s">
        <v>3153</v>
      </c>
      <c r="D1274" t="s">
        <v>385</v>
      </c>
      <c r="E1274" s="133">
        <v>45841</v>
      </c>
      <c r="F1274" s="2">
        <v>4.8749999999999995E-2</v>
      </c>
      <c r="G1274">
        <v>1</v>
      </c>
      <c r="H1274" s="133">
        <v>45840</v>
      </c>
      <c r="I1274" s="2">
        <v>0.54874999999999996</v>
      </c>
      <c r="J1274">
        <v>13</v>
      </c>
      <c r="R1274" t="s">
        <v>30</v>
      </c>
      <c r="W1274">
        <v>1</v>
      </c>
      <c r="X1274" t="s">
        <v>30</v>
      </c>
      <c r="AC1274" t="s">
        <v>3154</v>
      </c>
      <c r="AE1274" s="135"/>
    </row>
    <row r="1275" spans="1:31" ht="12.5" customHeight="1" x14ac:dyDescent="0.35">
      <c r="A1275" t="s">
        <v>396</v>
      </c>
      <c r="C1275" t="s">
        <v>3155</v>
      </c>
      <c r="D1275" t="s">
        <v>385</v>
      </c>
      <c r="E1275" s="133">
        <v>45841</v>
      </c>
      <c r="F1275" s="2">
        <v>4.8842592592592597E-2</v>
      </c>
      <c r="G1275">
        <v>1</v>
      </c>
      <c r="H1275" s="133">
        <v>45840</v>
      </c>
      <c r="I1275" s="2">
        <v>0.5488425925925926</v>
      </c>
      <c r="J1275">
        <v>13</v>
      </c>
      <c r="R1275" t="s">
        <v>30</v>
      </c>
      <c r="W1275">
        <v>1</v>
      </c>
      <c r="X1275" t="s">
        <v>30</v>
      </c>
      <c r="AC1275" t="s">
        <v>3156</v>
      </c>
      <c r="AE1275" s="135"/>
    </row>
    <row r="1276" spans="1:31" ht="12.5" customHeight="1" x14ac:dyDescent="0.35">
      <c r="A1276" t="s">
        <v>396</v>
      </c>
      <c r="C1276" t="s">
        <v>3157</v>
      </c>
      <c r="D1276" t="s">
        <v>385</v>
      </c>
      <c r="E1276" s="133">
        <v>45841</v>
      </c>
      <c r="F1276" s="2">
        <v>4.8912037037037039E-2</v>
      </c>
      <c r="G1276">
        <v>1</v>
      </c>
      <c r="H1276" s="133">
        <v>45840</v>
      </c>
      <c r="I1276" s="2">
        <v>0.54891203703703706</v>
      </c>
      <c r="J1276">
        <v>13</v>
      </c>
      <c r="R1276" t="s">
        <v>30</v>
      </c>
      <c r="W1276">
        <v>1</v>
      </c>
      <c r="X1276" t="s">
        <v>30</v>
      </c>
      <c r="AC1276" t="s">
        <v>3158</v>
      </c>
      <c r="AE1276" s="135"/>
    </row>
    <row r="1277" spans="1:31" ht="12.5" customHeight="1" x14ac:dyDescent="0.35">
      <c r="A1277" t="s">
        <v>396</v>
      </c>
      <c r="C1277" t="s">
        <v>3159</v>
      </c>
      <c r="D1277" t="s">
        <v>385</v>
      </c>
      <c r="E1277" s="133">
        <v>45841</v>
      </c>
      <c r="F1277" s="2">
        <v>4.898148148148148E-2</v>
      </c>
      <c r="G1277">
        <v>1</v>
      </c>
      <c r="H1277" s="133">
        <v>45840</v>
      </c>
      <c r="I1277" s="2">
        <v>0.54898148148148151</v>
      </c>
      <c r="J1277">
        <v>13</v>
      </c>
      <c r="R1277" t="s">
        <v>30</v>
      </c>
      <c r="W1277">
        <v>1</v>
      </c>
      <c r="X1277" t="s">
        <v>30</v>
      </c>
      <c r="AC1277" t="s">
        <v>3160</v>
      </c>
      <c r="AE1277" s="135"/>
    </row>
    <row r="1278" spans="1:31" ht="12.5" customHeight="1" x14ac:dyDescent="0.35">
      <c r="A1278" t="s">
        <v>396</v>
      </c>
      <c r="C1278" t="s">
        <v>3161</v>
      </c>
      <c r="D1278" t="s">
        <v>385</v>
      </c>
      <c r="E1278" s="133">
        <v>45841</v>
      </c>
      <c r="F1278" s="2">
        <v>4.9074074074074076E-2</v>
      </c>
      <c r="G1278">
        <v>1</v>
      </c>
      <c r="H1278" s="133">
        <v>45840</v>
      </c>
      <c r="I1278" s="2">
        <v>0.54907407407407405</v>
      </c>
      <c r="J1278">
        <v>13</v>
      </c>
      <c r="R1278" t="s">
        <v>30</v>
      </c>
      <c r="W1278">
        <v>1</v>
      </c>
      <c r="X1278" t="s">
        <v>30</v>
      </c>
      <c r="AC1278" t="s">
        <v>3162</v>
      </c>
      <c r="AE1278" s="135"/>
    </row>
    <row r="1279" spans="1:31" ht="12.5" customHeight="1" x14ac:dyDescent="0.35">
      <c r="A1279" t="s">
        <v>396</v>
      </c>
      <c r="C1279" t="s">
        <v>3163</v>
      </c>
      <c r="D1279" t="s">
        <v>385</v>
      </c>
      <c r="E1279" s="133">
        <v>45841</v>
      </c>
      <c r="F1279" s="2">
        <v>4.9143518518518524E-2</v>
      </c>
      <c r="G1279">
        <v>1</v>
      </c>
      <c r="H1279" s="133">
        <v>45840</v>
      </c>
      <c r="I1279" s="2">
        <v>0.5491435185185185</v>
      </c>
      <c r="J1279">
        <v>13</v>
      </c>
      <c r="R1279" t="s">
        <v>30</v>
      </c>
      <c r="W1279">
        <v>1</v>
      </c>
      <c r="X1279" t="s">
        <v>30</v>
      </c>
      <c r="AC1279" t="s">
        <v>3164</v>
      </c>
      <c r="AE1279" s="135"/>
    </row>
    <row r="1280" spans="1:31" ht="12.5" customHeight="1" x14ac:dyDescent="0.35">
      <c r="A1280" t="s">
        <v>396</v>
      </c>
      <c r="C1280" t="s">
        <v>3165</v>
      </c>
      <c r="D1280" t="s">
        <v>385</v>
      </c>
      <c r="E1280" s="133">
        <v>45841</v>
      </c>
      <c r="F1280" s="2">
        <v>4.9212962962962958E-2</v>
      </c>
      <c r="G1280">
        <v>1</v>
      </c>
      <c r="H1280" s="133">
        <v>45840</v>
      </c>
      <c r="I1280" s="2">
        <v>0.54921296296296296</v>
      </c>
      <c r="J1280">
        <v>13</v>
      </c>
      <c r="R1280" t="s">
        <v>30</v>
      </c>
      <c r="W1280">
        <v>1</v>
      </c>
      <c r="X1280" t="s">
        <v>30</v>
      </c>
      <c r="AC1280" t="s">
        <v>3166</v>
      </c>
      <c r="AE1280" s="135"/>
    </row>
    <row r="1281" spans="1:31" ht="12.5" customHeight="1" x14ac:dyDescent="0.35">
      <c r="A1281" t="s">
        <v>396</v>
      </c>
      <c r="C1281" t="s">
        <v>3167</v>
      </c>
      <c r="D1281" t="s">
        <v>385</v>
      </c>
      <c r="E1281" s="133">
        <v>45841</v>
      </c>
      <c r="F1281" s="2">
        <v>4.9305555555555554E-2</v>
      </c>
      <c r="G1281">
        <v>1</v>
      </c>
      <c r="H1281" s="133">
        <v>45840</v>
      </c>
      <c r="I1281" s="2">
        <v>0.5493055555555556</v>
      </c>
      <c r="J1281">
        <v>13</v>
      </c>
      <c r="R1281" t="s">
        <v>30</v>
      </c>
      <c r="W1281">
        <v>1</v>
      </c>
      <c r="X1281" t="s">
        <v>30</v>
      </c>
      <c r="AC1281" t="s">
        <v>3168</v>
      </c>
      <c r="AE1281" s="135"/>
    </row>
    <row r="1282" spans="1:31" ht="12.5" customHeight="1" x14ac:dyDescent="0.35">
      <c r="A1282" t="s">
        <v>396</v>
      </c>
      <c r="C1282" t="s">
        <v>3169</v>
      </c>
      <c r="D1282" t="s">
        <v>385</v>
      </c>
      <c r="E1282" s="133">
        <v>45841</v>
      </c>
      <c r="F1282" s="2">
        <v>4.9398148148148142E-2</v>
      </c>
      <c r="G1282">
        <v>1</v>
      </c>
      <c r="H1282" s="133">
        <v>45840</v>
      </c>
      <c r="I1282" s="2">
        <v>0.54939814814814814</v>
      </c>
      <c r="J1282">
        <v>13</v>
      </c>
      <c r="R1282" t="s">
        <v>30</v>
      </c>
      <c r="W1282">
        <v>1</v>
      </c>
      <c r="X1282" t="s">
        <v>30</v>
      </c>
      <c r="AC1282" t="s">
        <v>3170</v>
      </c>
      <c r="AE1282" s="135"/>
    </row>
    <row r="1283" spans="1:31" ht="12.5" customHeight="1" x14ac:dyDescent="0.35">
      <c r="A1283" t="s">
        <v>396</v>
      </c>
      <c r="C1283" t="s">
        <v>3171</v>
      </c>
      <c r="D1283" t="s">
        <v>385</v>
      </c>
      <c r="E1283" s="133">
        <v>45841</v>
      </c>
      <c r="F1283" s="2">
        <v>4.9467592592592591E-2</v>
      </c>
      <c r="G1283">
        <v>1</v>
      </c>
      <c r="H1283" s="133">
        <v>45840</v>
      </c>
      <c r="I1283" s="2">
        <v>0.54946759259259259</v>
      </c>
      <c r="J1283">
        <v>13</v>
      </c>
      <c r="R1283" t="s">
        <v>30</v>
      </c>
      <c r="W1283">
        <v>1</v>
      </c>
      <c r="X1283" t="s">
        <v>30</v>
      </c>
      <c r="AC1283" t="s">
        <v>3172</v>
      </c>
      <c r="AE1283" s="135"/>
    </row>
    <row r="1284" spans="1:31" ht="12.5" customHeight="1" x14ac:dyDescent="0.35">
      <c r="A1284" t="s">
        <v>396</v>
      </c>
      <c r="C1284" t="s">
        <v>3173</v>
      </c>
      <c r="D1284" t="s">
        <v>385</v>
      </c>
      <c r="E1284" s="133">
        <v>45841</v>
      </c>
      <c r="F1284" s="2">
        <v>4.9560185185185186E-2</v>
      </c>
      <c r="G1284">
        <v>1</v>
      </c>
      <c r="H1284" s="133">
        <v>45840</v>
      </c>
      <c r="I1284" s="2">
        <v>0.54956018518518512</v>
      </c>
      <c r="J1284">
        <v>13</v>
      </c>
      <c r="R1284" t="s">
        <v>30</v>
      </c>
      <c r="W1284">
        <v>1</v>
      </c>
      <c r="X1284" t="s">
        <v>30</v>
      </c>
      <c r="AC1284" t="s">
        <v>3174</v>
      </c>
      <c r="AE1284" s="135"/>
    </row>
    <row r="1285" spans="1:31" ht="12.5" customHeight="1" x14ac:dyDescent="0.35">
      <c r="A1285" t="s">
        <v>396</v>
      </c>
      <c r="C1285" t="s">
        <v>3175</v>
      </c>
      <c r="D1285" t="s">
        <v>385</v>
      </c>
      <c r="E1285" s="133">
        <v>45841</v>
      </c>
      <c r="F1285" s="2">
        <v>4.9629629629629635E-2</v>
      </c>
      <c r="G1285">
        <v>1</v>
      </c>
      <c r="H1285" s="133">
        <v>45840</v>
      </c>
      <c r="I1285" s="2">
        <v>0.54962962962962958</v>
      </c>
      <c r="J1285">
        <v>13</v>
      </c>
      <c r="R1285" t="s">
        <v>30</v>
      </c>
      <c r="W1285">
        <v>1</v>
      </c>
      <c r="X1285" t="s">
        <v>30</v>
      </c>
      <c r="AC1285" t="s">
        <v>3176</v>
      </c>
      <c r="AE1285" s="135"/>
    </row>
    <row r="1286" spans="1:31" ht="12.5" customHeight="1" x14ac:dyDescent="0.35">
      <c r="A1286" t="s">
        <v>396</v>
      </c>
      <c r="C1286" t="s">
        <v>3177</v>
      </c>
      <c r="D1286" t="s">
        <v>385</v>
      </c>
      <c r="E1286" s="133">
        <v>45841</v>
      </c>
      <c r="F1286" s="2">
        <v>4.9699074074074069E-2</v>
      </c>
      <c r="G1286">
        <v>1</v>
      </c>
      <c r="H1286" s="133">
        <v>45840</v>
      </c>
      <c r="I1286" s="2">
        <v>0.54969907407407403</v>
      </c>
      <c r="J1286">
        <v>13</v>
      </c>
      <c r="R1286" t="s">
        <v>30</v>
      </c>
      <c r="W1286">
        <v>1</v>
      </c>
      <c r="X1286" t="s">
        <v>30</v>
      </c>
      <c r="AC1286" t="s">
        <v>3178</v>
      </c>
      <c r="AE1286" s="135"/>
    </row>
    <row r="1287" spans="1:31" ht="12.5" customHeight="1" x14ac:dyDescent="0.35">
      <c r="A1287" t="s">
        <v>396</v>
      </c>
      <c r="C1287" t="s">
        <v>3179</v>
      </c>
      <c r="D1287" t="s">
        <v>385</v>
      </c>
      <c r="E1287" s="133">
        <v>45841</v>
      </c>
      <c r="F1287" s="2">
        <v>4.9791666666666672E-2</v>
      </c>
      <c r="G1287">
        <v>1</v>
      </c>
      <c r="H1287" s="133">
        <v>45840</v>
      </c>
      <c r="I1287" s="2">
        <v>0.54979166666666668</v>
      </c>
      <c r="J1287">
        <v>13</v>
      </c>
      <c r="R1287" t="s">
        <v>30</v>
      </c>
      <c r="W1287">
        <v>1</v>
      </c>
      <c r="X1287" t="s">
        <v>30</v>
      </c>
      <c r="AC1287" t="s">
        <v>3180</v>
      </c>
      <c r="AE1287" s="135"/>
    </row>
    <row r="1288" spans="1:31" ht="12.5" customHeight="1" x14ac:dyDescent="0.35">
      <c r="A1288" t="s">
        <v>396</v>
      </c>
      <c r="C1288" t="s">
        <v>3181</v>
      </c>
      <c r="D1288" t="s">
        <v>385</v>
      </c>
      <c r="E1288" s="133">
        <v>45841</v>
      </c>
      <c r="F1288" s="2">
        <v>4.9861111111111113E-2</v>
      </c>
      <c r="G1288">
        <v>1</v>
      </c>
      <c r="H1288" s="133">
        <v>45840</v>
      </c>
      <c r="I1288" s="2">
        <v>0.54986111111111113</v>
      </c>
      <c r="J1288">
        <v>13</v>
      </c>
      <c r="R1288" t="s">
        <v>30</v>
      </c>
      <c r="W1288">
        <v>1</v>
      </c>
      <c r="X1288" t="s">
        <v>30</v>
      </c>
      <c r="AC1288" t="s">
        <v>3182</v>
      </c>
      <c r="AE1288" s="135"/>
    </row>
    <row r="1289" spans="1:31" ht="12.5" customHeight="1" x14ac:dyDescent="0.35">
      <c r="A1289" t="s">
        <v>396</v>
      </c>
      <c r="C1289" t="s">
        <v>3183</v>
      </c>
      <c r="D1289" t="s">
        <v>385</v>
      </c>
      <c r="E1289" s="133">
        <v>45841</v>
      </c>
      <c r="F1289" s="2">
        <v>4.9953703703703702E-2</v>
      </c>
      <c r="G1289">
        <v>1</v>
      </c>
      <c r="H1289" s="133">
        <v>45840</v>
      </c>
      <c r="I1289" s="2">
        <v>0.54995370370370367</v>
      </c>
      <c r="J1289">
        <v>13</v>
      </c>
      <c r="R1289" t="s">
        <v>30</v>
      </c>
      <c r="W1289">
        <v>1</v>
      </c>
      <c r="X1289" t="s">
        <v>30</v>
      </c>
      <c r="AC1289" t="s">
        <v>3184</v>
      </c>
      <c r="AE1289" s="135"/>
    </row>
    <row r="1290" spans="1:31" ht="12.5" customHeight="1" x14ac:dyDescent="0.35">
      <c r="A1290" t="s">
        <v>396</v>
      </c>
      <c r="C1290" t="s">
        <v>3185</v>
      </c>
      <c r="D1290" t="s">
        <v>385</v>
      </c>
      <c r="E1290" s="133">
        <v>45841</v>
      </c>
      <c r="F1290" s="2">
        <v>5.002314814814815E-2</v>
      </c>
      <c r="G1290">
        <v>1</v>
      </c>
      <c r="H1290" s="133">
        <v>45840</v>
      </c>
      <c r="I1290" s="2">
        <v>0.55002314814814812</v>
      </c>
      <c r="J1290">
        <v>13</v>
      </c>
      <c r="R1290" t="s">
        <v>30</v>
      </c>
      <c r="W1290">
        <v>1</v>
      </c>
      <c r="X1290" t="s">
        <v>30</v>
      </c>
      <c r="AC1290" t="s">
        <v>3186</v>
      </c>
      <c r="AE1290" s="135"/>
    </row>
    <row r="1291" spans="1:31" ht="12.5" customHeight="1" x14ac:dyDescent="0.35">
      <c r="A1291" t="s">
        <v>396</v>
      </c>
      <c r="C1291" t="s">
        <v>3187</v>
      </c>
      <c r="D1291" t="s">
        <v>385</v>
      </c>
      <c r="E1291" s="133">
        <v>45841</v>
      </c>
      <c r="F1291" s="2">
        <v>5.0092592592592598E-2</v>
      </c>
      <c r="G1291">
        <v>1</v>
      </c>
      <c r="H1291" s="133">
        <v>45840</v>
      </c>
      <c r="I1291" s="2">
        <v>0.55009259259259258</v>
      </c>
      <c r="J1291">
        <v>13</v>
      </c>
      <c r="R1291" t="s">
        <v>30</v>
      </c>
      <c r="W1291">
        <v>1</v>
      </c>
      <c r="X1291" t="s">
        <v>30</v>
      </c>
      <c r="AC1291" t="s">
        <v>3188</v>
      </c>
      <c r="AE1291" s="135"/>
    </row>
    <row r="1292" spans="1:31" ht="12.5" customHeight="1" x14ac:dyDescent="0.35">
      <c r="A1292" t="s">
        <v>396</v>
      </c>
      <c r="C1292" t="s">
        <v>3189</v>
      </c>
      <c r="D1292" t="s">
        <v>385</v>
      </c>
      <c r="E1292" s="133">
        <v>45841</v>
      </c>
      <c r="F1292" s="2">
        <v>5.0162037037037033E-2</v>
      </c>
      <c r="G1292">
        <v>1</v>
      </c>
      <c r="H1292" s="133">
        <v>45840</v>
      </c>
      <c r="I1292" s="2">
        <v>0.55016203703703703</v>
      </c>
      <c r="J1292">
        <v>13</v>
      </c>
      <c r="R1292" t="s">
        <v>30</v>
      </c>
      <c r="W1292">
        <v>1</v>
      </c>
      <c r="X1292" t="s">
        <v>30</v>
      </c>
      <c r="AC1292" t="s">
        <v>3190</v>
      </c>
      <c r="AE1292" s="135"/>
    </row>
    <row r="1293" spans="1:31" ht="12.5" customHeight="1" x14ac:dyDescent="0.35">
      <c r="A1293" t="s">
        <v>396</v>
      </c>
      <c r="C1293" t="s">
        <v>3191</v>
      </c>
      <c r="D1293" t="s">
        <v>385</v>
      </c>
      <c r="E1293" s="133">
        <v>45841</v>
      </c>
      <c r="F1293" s="2">
        <v>5.0254629629629628E-2</v>
      </c>
      <c r="G1293">
        <v>1</v>
      </c>
      <c r="H1293" s="133">
        <v>45840</v>
      </c>
      <c r="I1293" s="2">
        <v>0.55025462962962968</v>
      </c>
      <c r="J1293">
        <v>13</v>
      </c>
      <c r="R1293" t="s">
        <v>30</v>
      </c>
      <c r="W1293">
        <v>1</v>
      </c>
      <c r="X1293" t="s">
        <v>30</v>
      </c>
      <c r="AC1293" t="s">
        <v>3192</v>
      </c>
      <c r="AE1293" s="135"/>
    </row>
    <row r="1294" spans="1:31" ht="12.5" customHeight="1" x14ac:dyDescent="0.35">
      <c r="A1294" t="s">
        <v>396</v>
      </c>
      <c r="C1294" t="s">
        <v>3193</v>
      </c>
      <c r="D1294" t="s">
        <v>385</v>
      </c>
      <c r="E1294" s="133">
        <v>45841</v>
      </c>
      <c r="F1294" s="2">
        <v>5.0324074074074077E-2</v>
      </c>
      <c r="G1294">
        <v>1</v>
      </c>
      <c r="H1294" s="133">
        <v>45840</v>
      </c>
      <c r="I1294" s="2">
        <v>0.55032407407407413</v>
      </c>
      <c r="J1294">
        <v>13</v>
      </c>
      <c r="R1294" t="s">
        <v>30</v>
      </c>
      <c r="W1294">
        <v>1</v>
      </c>
      <c r="X1294" t="s">
        <v>30</v>
      </c>
      <c r="AC1294" t="s">
        <v>3194</v>
      </c>
      <c r="AE1294" s="135"/>
    </row>
    <row r="1295" spans="1:31" ht="12.5" customHeight="1" x14ac:dyDescent="0.35">
      <c r="A1295" t="s">
        <v>396</v>
      </c>
      <c r="C1295" t="s">
        <v>3195</v>
      </c>
      <c r="D1295" t="s">
        <v>385</v>
      </c>
      <c r="E1295" s="133">
        <v>45841</v>
      </c>
      <c r="F1295" s="2">
        <v>5.0393518518518511E-2</v>
      </c>
      <c r="G1295">
        <v>1</v>
      </c>
      <c r="H1295" s="133">
        <v>45840</v>
      </c>
      <c r="I1295" s="2">
        <v>0.55039351851851859</v>
      </c>
      <c r="J1295">
        <v>13</v>
      </c>
      <c r="R1295" t="s">
        <v>30</v>
      </c>
      <c r="W1295">
        <v>1</v>
      </c>
      <c r="X1295" t="s">
        <v>30</v>
      </c>
      <c r="AC1295" t="s">
        <v>3196</v>
      </c>
      <c r="AE1295" s="135"/>
    </row>
    <row r="1296" spans="1:31" ht="12.5" customHeight="1" x14ac:dyDescent="0.35">
      <c r="A1296" t="s">
        <v>396</v>
      </c>
      <c r="C1296" t="s">
        <v>3197</v>
      </c>
      <c r="D1296" t="s">
        <v>385</v>
      </c>
      <c r="E1296" s="133">
        <v>45841</v>
      </c>
      <c r="F1296" s="2">
        <v>5.0486111111111114E-2</v>
      </c>
      <c r="G1296">
        <v>1</v>
      </c>
      <c r="H1296" s="133">
        <v>45840</v>
      </c>
      <c r="I1296" s="2">
        <v>0.55048611111111112</v>
      </c>
      <c r="J1296">
        <v>13</v>
      </c>
      <c r="R1296" t="s">
        <v>30</v>
      </c>
      <c r="W1296">
        <v>1</v>
      </c>
      <c r="X1296" t="s">
        <v>30</v>
      </c>
      <c r="AC1296" t="s">
        <v>3198</v>
      </c>
      <c r="AE1296" s="135"/>
    </row>
    <row r="1297" spans="1:31" ht="12.5" customHeight="1" x14ac:dyDescent="0.35">
      <c r="A1297" t="s">
        <v>396</v>
      </c>
      <c r="C1297" t="s">
        <v>3199</v>
      </c>
      <c r="D1297" t="s">
        <v>385</v>
      </c>
      <c r="E1297" s="133">
        <v>45841</v>
      </c>
      <c r="F1297" s="2">
        <v>5.0555555555555555E-2</v>
      </c>
      <c r="G1297">
        <v>1</v>
      </c>
      <c r="H1297" s="133">
        <v>45840</v>
      </c>
      <c r="I1297" s="2">
        <v>0.55055555555555558</v>
      </c>
      <c r="J1297">
        <v>13</v>
      </c>
      <c r="R1297" t="s">
        <v>30</v>
      </c>
      <c r="W1297">
        <v>1</v>
      </c>
      <c r="X1297" t="s">
        <v>30</v>
      </c>
      <c r="AC1297" t="s">
        <v>3200</v>
      </c>
      <c r="AE1297" s="135"/>
    </row>
    <row r="1298" spans="1:31" ht="12.5" customHeight="1" x14ac:dyDescent="0.35">
      <c r="A1298" t="s">
        <v>396</v>
      </c>
      <c r="C1298" t="s">
        <v>3201</v>
      </c>
      <c r="D1298" t="s">
        <v>385</v>
      </c>
      <c r="E1298" s="133">
        <v>45841</v>
      </c>
      <c r="F1298" s="2">
        <v>5.0625000000000003E-2</v>
      </c>
      <c r="G1298">
        <v>1</v>
      </c>
      <c r="H1298" s="133">
        <v>45840</v>
      </c>
      <c r="I1298" s="2">
        <v>0.55062500000000003</v>
      </c>
      <c r="J1298">
        <v>13</v>
      </c>
      <c r="R1298" t="s">
        <v>30</v>
      </c>
      <c r="W1298">
        <v>1</v>
      </c>
      <c r="X1298" t="s">
        <v>30</v>
      </c>
      <c r="AC1298" t="s">
        <v>3202</v>
      </c>
      <c r="AE1298" s="135"/>
    </row>
    <row r="1299" spans="1:31" ht="12.5" customHeight="1" x14ac:dyDescent="0.35">
      <c r="A1299" t="s">
        <v>396</v>
      </c>
      <c r="C1299" t="s">
        <v>3203</v>
      </c>
      <c r="D1299" t="s">
        <v>385</v>
      </c>
      <c r="E1299" s="133">
        <v>45841</v>
      </c>
      <c r="F1299" s="2">
        <v>5.0717592592592592E-2</v>
      </c>
      <c r="G1299">
        <v>1</v>
      </c>
      <c r="H1299" s="133">
        <v>45840</v>
      </c>
      <c r="I1299" s="2">
        <v>0.55071759259259256</v>
      </c>
      <c r="J1299">
        <v>13</v>
      </c>
      <c r="R1299" t="s">
        <v>30</v>
      </c>
      <c r="W1299">
        <v>1</v>
      </c>
      <c r="X1299" t="s">
        <v>30</v>
      </c>
      <c r="AC1299" t="s">
        <v>3204</v>
      </c>
      <c r="AE1299" s="135"/>
    </row>
    <row r="1300" spans="1:31" ht="12.5" customHeight="1" x14ac:dyDescent="0.35">
      <c r="A1300" t="s">
        <v>396</v>
      </c>
      <c r="C1300" t="s">
        <v>3205</v>
      </c>
      <c r="D1300" t="s">
        <v>385</v>
      </c>
      <c r="E1300" s="133">
        <v>45841</v>
      </c>
      <c r="F1300" s="2">
        <v>5.078703703703704E-2</v>
      </c>
      <c r="G1300">
        <v>1</v>
      </c>
      <c r="H1300" s="133">
        <v>45840</v>
      </c>
      <c r="I1300" s="2">
        <v>0.55078703703703702</v>
      </c>
      <c r="J1300">
        <v>13</v>
      </c>
      <c r="R1300" t="s">
        <v>30</v>
      </c>
      <c r="W1300">
        <v>1</v>
      </c>
      <c r="X1300" t="s">
        <v>30</v>
      </c>
      <c r="AC1300" t="s">
        <v>3206</v>
      </c>
      <c r="AE1300" s="135"/>
    </row>
    <row r="1301" spans="1:31" ht="12.5" customHeight="1" x14ac:dyDescent="0.35">
      <c r="A1301" t="s">
        <v>396</v>
      </c>
      <c r="C1301" t="s">
        <v>3207</v>
      </c>
      <c r="D1301" t="s">
        <v>385</v>
      </c>
      <c r="E1301" s="133">
        <v>45841</v>
      </c>
      <c r="F1301" s="2">
        <v>5.0879629629629629E-2</v>
      </c>
      <c r="G1301">
        <v>1</v>
      </c>
      <c r="H1301" s="133">
        <v>45840</v>
      </c>
      <c r="I1301" s="2">
        <v>0.55087962962962966</v>
      </c>
      <c r="J1301">
        <v>13</v>
      </c>
      <c r="R1301" t="s">
        <v>30</v>
      </c>
      <c r="W1301">
        <v>1</v>
      </c>
      <c r="X1301" t="s">
        <v>30</v>
      </c>
      <c r="AC1301" t="s">
        <v>3208</v>
      </c>
      <c r="AE1301" s="135"/>
    </row>
    <row r="1302" spans="1:31" ht="12.5" customHeight="1" x14ac:dyDescent="0.35">
      <c r="A1302" t="s">
        <v>396</v>
      </c>
      <c r="C1302" t="s">
        <v>3209</v>
      </c>
      <c r="D1302" t="s">
        <v>385</v>
      </c>
      <c r="E1302" s="133">
        <v>45841</v>
      </c>
      <c r="F1302" s="2">
        <v>5.094907407407407E-2</v>
      </c>
      <c r="G1302">
        <v>1</v>
      </c>
      <c r="H1302" s="133">
        <v>45840</v>
      </c>
      <c r="I1302" s="2">
        <v>0.55094907407407401</v>
      </c>
      <c r="J1302">
        <v>13</v>
      </c>
      <c r="R1302" t="s">
        <v>30</v>
      </c>
      <c r="W1302">
        <v>1</v>
      </c>
      <c r="X1302" t="s">
        <v>30</v>
      </c>
      <c r="AC1302" t="s">
        <v>3210</v>
      </c>
      <c r="AE1302" s="135"/>
    </row>
    <row r="1303" spans="1:31" ht="12.5" customHeight="1" x14ac:dyDescent="0.35">
      <c r="A1303" t="s">
        <v>396</v>
      </c>
      <c r="C1303" t="s">
        <v>3211</v>
      </c>
      <c r="D1303" t="s">
        <v>385</v>
      </c>
      <c r="E1303" s="133">
        <v>45841</v>
      </c>
      <c r="F1303" s="2">
        <v>5.1018518518518519E-2</v>
      </c>
      <c r="G1303">
        <v>1</v>
      </c>
      <c r="H1303" s="133">
        <v>45840</v>
      </c>
      <c r="I1303" s="2">
        <v>0.55101851851851846</v>
      </c>
      <c r="J1303">
        <v>13</v>
      </c>
      <c r="R1303" t="s">
        <v>30</v>
      </c>
      <c r="W1303">
        <v>1</v>
      </c>
      <c r="X1303" t="s">
        <v>30</v>
      </c>
      <c r="AC1303" t="s">
        <v>3212</v>
      </c>
      <c r="AE1303" s="135"/>
    </row>
    <row r="1304" spans="1:31" ht="12.5" customHeight="1" x14ac:dyDescent="0.35">
      <c r="A1304" t="s">
        <v>396</v>
      </c>
      <c r="C1304" t="s">
        <v>3213</v>
      </c>
      <c r="D1304" t="s">
        <v>385</v>
      </c>
      <c r="E1304" s="133">
        <v>45841</v>
      </c>
      <c r="F1304" s="2">
        <v>5.1111111111111107E-2</v>
      </c>
      <c r="G1304">
        <v>1</v>
      </c>
      <c r="H1304" s="133">
        <v>45840</v>
      </c>
      <c r="I1304" s="2">
        <v>0.55111111111111111</v>
      </c>
      <c r="J1304">
        <v>13</v>
      </c>
      <c r="R1304" t="s">
        <v>30</v>
      </c>
      <c r="W1304">
        <v>1</v>
      </c>
      <c r="X1304" t="s">
        <v>30</v>
      </c>
      <c r="AC1304" t="s">
        <v>3214</v>
      </c>
      <c r="AE1304" s="135"/>
    </row>
    <row r="1305" spans="1:31" ht="12.5" customHeight="1" x14ac:dyDescent="0.35">
      <c r="A1305" t="s">
        <v>396</v>
      </c>
      <c r="C1305" t="s">
        <v>3215</v>
      </c>
      <c r="D1305" t="s">
        <v>385</v>
      </c>
      <c r="E1305" s="133">
        <v>45841</v>
      </c>
      <c r="F1305" s="2">
        <v>5.1180555555555556E-2</v>
      </c>
      <c r="G1305">
        <v>1</v>
      </c>
      <c r="H1305" s="133">
        <v>45840</v>
      </c>
      <c r="I1305" s="2">
        <v>0.55118055555555556</v>
      </c>
      <c r="J1305">
        <v>13</v>
      </c>
      <c r="R1305" t="s">
        <v>30</v>
      </c>
      <c r="W1305">
        <v>1</v>
      </c>
      <c r="X1305" t="s">
        <v>30</v>
      </c>
      <c r="AC1305" t="s">
        <v>3216</v>
      </c>
      <c r="AE1305" s="135"/>
    </row>
    <row r="1306" spans="1:31" ht="12.5" customHeight="1" x14ac:dyDescent="0.35">
      <c r="A1306" t="s">
        <v>396</v>
      </c>
      <c r="C1306" t="s">
        <v>3217</v>
      </c>
      <c r="D1306" t="s">
        <v>385</v>
      </c>
      <c r="E1306" s="133">
        <v>45841</v>
      </c>
      <c r="F1306" s="2">
        <v>5.1273148148148151E-2</v>
      </c>
      <c r="G1306">
        <v>1</v>
      </c>
      <c r="H1306" s="133">
        <v>45840</v>
      </c>
      <c r="I1306" s="2">
        <v>0.55127314814814821</v>
      </c>
      <c r="J1306">
        <v>13</v>
      </c>
      <c r="R1306" t="s">
        <v>30</v>
      </c>
      <c r="W1306">
        <v>1</v>
      </c>
      <c r="X1306" t="s">
        <v>30</v>
      </c>
      <c r="AC1306" t="s">
        <v>3218</v>
      </c>
      <c r="AE1306" s="135"/>
    </row>
    <row r="1307" spans="1:31" ht="12.5" customHeight="1" x14ac:dyDescent="0.35">
      <c r="A1307" t="s">
        <v>396</v>
      </c>
      <c r="C1307" t="s">
        <v>3219</v>
      </c>
      <c r="D1307" t="s">
        <v>385</v>
      </c>
      <c r="E1307" s="133">
        <v>45841</v>
      </c>
      <c r="F1307" s="2">
        <v>5.1342592592592586E-2</v>
      </c>
      <c r="G1307">
        <v>1</v>
      </c>
      <c r="H1307" s="133">
        <v>45840</v>
      </c>
      <c r="I1307" s="2">
        <v>0.55134259259259266</v>
      </c>
      <c r="J1307">
        <v>13</v>
      </c>
      <c r="R1307" t="s">
        <v>30</v>
      </c>
      <c r="W1307">
        <v>1</v>
      </c>
      <c r="X1307" t="s">
        <v>30</v>
      </c>
      <c r="AC1307" t="s">
        <v>3220</v>
      </c>
      <c r="AE1307" s="135"/>
    </row>
    <row r="1308" spans="1:31" ht="12.5" customHeight="1" x14ac:dyDescent="0.35">
      <c r="A1308" t="s">
        <v>396</v>
      </c>
      <c r="C1308" t="s">
        <v>3221</v>
      </c>
      <c r="D1308" t="s">
        <v>385</v>
      </c>
      <c r="E1308" s="133">
        <v>45841</v>
      </c>
      <c r="F1308" s="2">
        <v>5.1412037037037034E-2</v>
      </c>
      <c r="G1308">
        <v>1</v>
      </c>
      <c r="H1308" s="133">
        <v>45840</v>
      </c>
      <c r="I1308" s="2">
        <v>0.55141203703703701</v>
      </c>
      <c r="J1308">
        <v>13</v>
      </c>
      <c r="R1308" t="s">
        <v>30</v>
      </c>
      <c r="W1308">
        <v>1</v>
      </c>
      <c r="X1308" t="s">
        <v>30</v>
      </c>
      <c r="AC1308" t="s">
        <v>3222</v>
      </c>
      <c r="AE1308" s="135"/>
    </row>
    <row r="1309" spans="1:31" ht="12.5" customHeight="1" x14ac:dyDescent="0.35">
      <c r="A1309" t="s">
        <v>396</v>
      </c>
      <c r="C1309" t="s">
        <v>3223</v>
      </c>
      <c r="D1309" t="s">
        <v>385</v>
      </c>
      <c r="E1309" s="133">
        <v>45841</v>
      </c>
      <c r="F1309" s="2">
        <v>5.1504629629629629E-2</v>
      </c>
      <c r="G1309">
        <v>1</v>
      </c>
      <c r="H1309" s="133">
        <v>45840</v>
      </c>
      <c r="I1309" s="2">
        <v>0.55150462962962965</v>
      </c>
      <c r="J1309">
        <v>13</v>
      </c>
      <c r="R1309" t="s">
        <v>30</v>
      </c>
      <c r="W1309">
        <v>1</v>
      </c>
      <c r="X1309" t="s">
        <v>30</v>
      </c>
      <c r="AC1309" t="s">
        <v>3224</v>
      </c>
      <c r="AE1309" s="135"/>
    </row>
    <row r="1310" spans="1:31" ht="12.5" customHeight="1" x14ac:dyDescent="0.35">
      <c r="A1310" t="s">
        <v>396</v>
      </c>
      <c r="C1310" t="s">
        <v>3225</v>
      </c>
      <c r="D1310" t="s">
        <v>385</v>
      </c>
      <c r="E1310" s="133">
        <v>45841</v>
      </c>
      <c r="F1310" s="2">
        <v>5.1574074074074078E-2</v>
      </c>
      <c r="G1310">
        <v>1</v>
      </c>
      <c r="H1310" s="133">
        <v>45840</v>
      </c>
      <c r="I1310" s="2">
        <v>0.55157407407407411</v>
      </c>
      <c r="J1310">
        <v>13</v>
      </c>
      <c r="R1310" t="s">
        <v>30</v>
      </c>
      <c r="W1310">
        <v>1</v>
      </c>
      <c r="X1310" t="s">
        <v>30</v>
      </c>
      <c r="AC1310" t="s">
        <v>3226</v>
      </c>
      <c r="AE1310" s="135"/>
    </row>
    <row r="1311" spans="1:31" ht="12.5" customHeight="1" x14ac:dyDescent="0.35">
      <c r="A1311" t="s">
        <v>396</v>
      </c>
      <c r="C1311" t="s">
        <v>3227</v>
      </c>
      <c r="D1311" t="s">
        <v>385</v>
      </c>
      <c r="E1311" s="133">
        <v>45841</v>
      </c>
      <c r="F1311" s="2">
        <v>5.1643518518518526E-2</v>
      </c>
      <c r="G1311">
        <v>1</v>
      </c>
      <c r="H1311" s="133">
        <v>45840</v>
      </c>
      <c r="I1311" s="2">
        <v>0.55164351851851856</v>
      </c>
      <c r="J1311">
        <v>13</v>
      </c>
      <c r="R1311" t="s">
        <v>30</v>
      </c>
      <c r="W1311">
        <v>1</v>
      </c>
      <c r="X1311" t="s">
        <v>30</v>
      </c>
      <c r="AC1311" t="s">
        <v>3228</v>
      </c>
      <c r="AE1311" s="135"/>
    </row>
    <row r="1312" spans="1:31" ht="12.5" customHeight="1" x14ac:dyDescent="0.35">
      <c r="A1312" t="s">
        <v>396</v>
      </c>
      <c r="C1312" t="s">
        <v>3229</v>
      </c>
      <c r="D1312" t="s">
        <v>385</v>
      </c>
      <c r="E1312" s="133">
        <v>45841</v>
      </c>
      <c r="F1312" s="2">
        <v>5.1736111111111115E-2</v>
      </c>
      <c r="G1312">
        <v>1</v>
      </c>
      <c r="H1312" s="133">
        <v>45840</v>
      </c>
      <c r="I1312" s="2">
        <v>0.55173611111111109</v>
      </c>
      <c r="J1312">
        <v>13</v>
      </c>
      <c r="R1312" t="s">
        <v>30</v>
      </c>
      <c r="W1312">
        <v>1</v>
      </c>
      <c r="X1312" t="s">
        <v>30</v>
      </c>
      <c r="AC1312" t="s">
        <v>3230</v>
      </c>
      <c r="AE1312" s="135"/>
    </row>
    <row r="1313" spans="1:31" ht="12.5" customHeight="1" x14ac:dyDescent="0.35">
      <c r="A1313" t="s">
        <v>396</v>
      </c>
      <c r="C1313" t="s">
        <v>3231</v>
      </c>
      <c r="D1313" t="s">
        <v>385</v>
      </c>
      <c r="E1313" s="133">
        <v>45841</v>
      </c>
      <c r="F1313" s="2">
        <v>5.1828703703703703E-2</v>
      </c>
      <c r="G1313">
        <v>1</v>
      </c>
      <c r="H1313" s="133">
        <v>45840</v>
      </c>
      <c r="I1313" s="2">
        <v>0.55182870370370374</v>
      </c>
      <c r="J1313">
        <v>13</v>
      </c>
      <c r="R1313" t="s">
        <v>30</v>
      </c>
      <c r="W1313">
        <v>1</v>
      </c>
      <c r="X1313" t="s">
        <v>30</v>
      </c>
      <c r="AC1313" t="s">
        <v>3232</v>
      </c>
      <c r="AE1313" s="135"/>
    </row>
    <row r="1314" spans="1:31" ht="12.5" customHeight="1" x14ac:dyDescent="0.35">
      <c r="A1314" t="s">
        <v>396</v>
      </c>
      <c r="C1314" t="s">
        <v>3233</v>
      </c>
      <c r="D1314" t="s">
        <v>385</v>
      </c>
      <c r="E1314" s="133">
        <v>45841</v>
      </c>
      <c r="F1314" s="2">
        <v>5.1898148148148145E-2</v>
      </c>
      <c r="G1314">
        <v>1</v>
      </c>
      <c r="H1314" s="133">
        <v>45840</v>
      </c>
      <c r="I1314" s="2">
        <v>0.55189814814814808</v>
      </c>
      <c r="J1314">
        <v>13</v>
      </c>
      <c r="R1314" t="s">
        <v>30</v>
      </c>
      <c r="W1314">
        <v>1</v>
      </c>
      <c r="X1314" t="s">
        <v>30</v>
      </c>
      <c r="AC1314" t="s">
        <v>3234</v>
      </c>
      <c r="AE1314" s="135"/>
    </row>
    <row r="1315" spans="1:31" ht="12.5" customHeight="1" x14ac:dyDescent="0.35">
      <c r="A1315" t="s">
        <v>396</v>
      </c>
      <c r="C1315" t="s">
        <v>3235</v>
      </c>
      <c r="D1315" t="s">
        <v>385</v>
      </c>
      <c r="E1315" s="133">
        <v>45841</v>
      </c>
      <c r="F1315" s="2">
        <v>5.1967592592592593E-2</v>
      </c>
      <c r="G1315">
        <v>1</v>
      </c>
      <c r="H1315" s="133">
        <v>45840</v>
      </c>
      <c r="I1315" s="2">
        <v>0.55196759259259254</v>
      </c>
      <c r="J1315">
        <v>13</v>
      </c>
      <c r="R1315" t="s">
        <v>30</v>
      </c>
      <c r="W1315">
        <v>1</v>
      </c>
      <c r="X1315" t="s">
        <v>30</v>
      </c>
      <c r="AC1315" t="s">
        <v>3236</v>
      </c>
      <c r="AE1315" s="135"/>
    </row>
    <row r="1316" spans="1:31" ht="12.5" customHeight="1" x14ac:dyDescent="0.35">
      <c r="A1316" t="s">
        <v>396</v>
      </c>
      <c r="C1316" t="s">
        <v>3237</v>
      </c>
      <c r="D1316" t="s">
        <v>385</v>
      </c>
      <c r="E1316" s="133">
        <v>45841</v>
      </c>
      <c r="F1316" s="2">
        <v>5.2060185185185182E-2</v>
      </c>
      <c r="G1316">
        <v>1</v>
      </c>
      <c r="H1316" s="133">
        <v>45840</v>
      </c>
      <c r="I1316" s="2">
        <v>0.55206018518518518</v>
      </c>
      <c r="J1316">
        <v>13</v>
      </c>
      <c r="R1316" t="s">
        <v>30</v>
      </c>
      <c r="W1316">
        <v>1</v>
      </c>
      <c r="X1316" t="s">
        <v>30</v>
      </c>
      <c r="AC1316" t="s">
        <v>3238</v>
      </c>
      <c r="AE1316" s="135"/>
    </row>
    <row r="1317" spans="1:31" ht="12.5" customHeight="1" x14ac:dyDescent="0.35">
      <c r="A1317" t="s">
        <v>396</v>
      </c>
      <c r="C1317" t="s">
        <v>3239</v>
      </c>
      <c r="D1317" t="s">
        <v>385</v>
      </c>
      <c r="E1317" s="133">
        <v>45841</v>
      </c>
      <c r="F1317" s="2">
        <v>5.2152777777777777E-2</v>
      </c>
      <c r="G1317">
        <v>1</v>
      </c>
      <c r="H1317" s="133">
        <v>45840</v>
      </c>
      <c r="I1317" s="2">
        <v>0.55215277777777783</v>
      </c>
      <c r="J1317">
        <v>13</v>
      </c>
      <c r="R1317" t="s">
        <v>30</v>
      </c>
      <c r="W1317">
        <v>1</v>
      </c>
      <c r="X1317" t="s">
        <v>30</v>
      </c>
      <c r="AC1317" t="s">
        <v>3240</v>
      </c>
      <c r="AE1317" s="135"/>
    </row>
    <row r="1318" spans="1:31" ht="12.5" customHeight="1" x14ac:dyDescent="0.35">
      <c r="A1318" t="s">
        <v>396</v>
      </c>
      <c r="C1318" t="s">
        <v>3241</v>
      </c>
      <c r="D1318" t="s">
        <v>385</v>
      </c>
      <c r="E1318" s="133">
        <v>45841</v>
      </c>
      <c r="F1318" s="2">
        <v>5.2222222222222225E-2</v>
      </c>
      <c r="G1318">
        <v>1</v>
      </c>
      <c r="H1318" s="133">
        <v>45840</v>
      </c>
      <c r="I1318" s="2">
        <v>0.55222222222222228</v>
      </c>
      <c r="J1318">
        <v>13</v>
      </c>
      <c r="R1318" t="s">
        <v>30</v>
      </c>
      <c r="W1318">
        <v>1</v>
      </c>
      <c r="X1318" t="s">
        <v>30</v>
      </c>
      <c r="AC1318" t="s">
        <v>3242</v>
      </c>
      <c r="AE1318" s="135"/>
    </row>
    <row r="1319" spans="1:31" ht="12.5" customHeight="1" x14ac:dyDescent="0.35">
      <c r="A1319" t="s">
        <v>396</v>
      </c>
      <c r="C1319" t="s">
        <v>3243</v>
      </c>
      <c r="D1319" t="s">
        <v>385</v>
      </c>
      <c r="E1319" s="133">
        <v>45841</v>
      </c>
      <c r="F1319" s="2">
        <v>5.2314814814814814E-2</v>
      </c>
      <c r="G1319">
        <v>1</v>
      </c>
      <c r="H1319" s="133">
        <v>45840</v>
      </c>
      <c r="I1319" s="2">
        <v>0.55231481481481481</v>
      </c>
      <c r="J1319">
        <v>13</v>
      </c>
      <c r="R1319" t="s">
        <v>30</v>
      </c>
      <c r="W1319">
        <v>1</v>
      </c>
      <c r="X1319" t="s">
        <v>30</v>
      </c>
      <c r="AC1319" t="s">
        <v>3244</v>
      </c>
      <c r="AE1319" s="135"/>
    </row>
    <row r="1320" spans="1:31" ht="12.5" customHeight="1" x14ac:dyDescent="0.35">
      <c r="A1320" t="s">
        <v>396</v>
      </c>
      <c r="C1320" t="s">
        <v>3245</v>
      </c>
      <c r="D1320" t="s">
        <v>385</v>
      </c>
      <c r="E1320" s="133">
        <v>45841</v>
      </c>
      <c r="F1320" s="2">
        <v>5.2384259259259262E-2</v>
      </c>
      <c r="G1320">
        <v>1</v>
      </c>
      <c r="H1320" s="133">
        <v>45840</v>
      </c>
      <c r="I1320" s="2">
        <v>0.55238425925925927</v>
      </c>
      <c r="J1320">
        <v>13</v>
      </c>
      <c r="R1320" t="s">
        <v>30</v>
      </c>
      <c r="W1320">
        <v>1</v>
      </c>
      <c r="X1320" t="s">
        <v>30</v>
      </c>
      <c r="AC1320" t="s">
        <v>3246</v>
      </c>
      <c r="AE1320" s="135"/>
    </row>
    <row r="1321" spans="1:31" ht="12.5" customHeight="1" x14ac:dyDescent="0.35">
      <c r="A1321" t="s">
        <v>396</v>
      </c>
      <c r="C1321" t="s">
        <v>3247</v>
      </c>
      <c r="D1321" t="s">
        <v>385</v>
      </c>
      <c r="E1321" s="133">
        <v>45841</v>
      </c>
      <c r="F1321" s="2">
        <v>5.2453703703703704E-2</v>
      </c>
      <c r="G1321">
        <v>1</v>
      </c>
      <c r="H1321" s="133">
        <v>45840</v>
      </c>
      <c r="I1321" s="2">
        <v>0.55245370370370372</v>
      </c>
      <c r="J1321">
        <v>13</v>
      </c>
      <c r="R1321" t="s">
        <v>30</v>
      </c>
      <c r="W1321">
        <v>1</v>
      </c>
      <c r="X1321" t="s">
        <v>30</v>
      </c>
      <c r="AC1321" t="s">
        <v>3248</v>
      </c>
      <c r="AE1321" s="135"/>
    </row>
    <row r="1322" spans="1:31" ht="12.5" customHeight="1" x14ac:dyDescent="0.35">
      <c r="A1322" t="s">
        <v>396</v>
      </c>
      <c r="C1322" t="s">
        <v>3249</v>
      </c>
      <c r="D1322" t="s">
        <v>385</v>
      </c>
      <c r="E1322" s="133">
        <v>45841</v>
      </c>
      <c r="F1322" s="2">
        <v>5.2546296296296292E-2</v>
      </c>
      <c r="G1322">
        <v>1</v>
      </c>
      <c r="H1322" s="133">
        <v>45840</v>
      </c>
      <c r="I1322" s="2">
        <v>0.55254629629629626</v>
      </c>
      <c r="J1322">
        <v>13</v>
      </c>
      <c r="R1322" t="s">
        <v>30</v>
      </c>
      <c r="W1322">
        <v>1</v>
      </c>
      <c r="X1322" t="s">
        <v>30</v>
      </c>
      <c r="AC1322" t="s">
        <v>3250</v>
      </c>
      <c r="AE1322" s="135"/>
    </row>
    <row r="1323" spans="1:31" ht="12.5" customHeight="1" x14ac:dyDescent="0.35">
      <c r="A1323" t="s">
        <v>396</v>
      </c>
      <c r="C1323" t="s">
        <v>3251</v>
      </c>
      <c r="D1323" t="s">
        <v>385</v>
      </c>
      <c r="E1323" s="133">
        <v>45841</v>
      </c>
      <c r="F1323" s="2">
        <v>5.2615740740740741E-2</v>
      </c>
      <c r="G1323">
        <v>1</v>
      </c>
      <c r="H1323" s="133">
        <v>45840</v>
      </c>
      <c r="I1323" s="2">
        <v>0.55261574074074071</v>
      </c>
      <c r="J1323">
        <v>13</v>
      </c>
      <c r="R1323" t="s">
        <v>30</v>
      </c>
      <c r="W1323">
        <v>1</v>
      </c>
      <c r="X1323" t="s">
        <v>30</v>
      </c>
      <c r="AC1323" t="s">
        <v>3252</v>
      </c>
      <c r="AE1323" s="135"/>
    </row>
    <row r="1324" spans="1:31" ht="12.5" customHeight="1" x14ac:dyDescent="0.35">
      <c r="A1324" t="s">
        <v>396</v>
      </c>
      <c r="C1324" t="s">
        <v>3253</v>
      </c>
      <c r="D1324" t="s">
        <v>385</v>
      </c>
      <c r="E1324" s="133">
        <v>45841</v>
      </c>
      <c r="F1324" s="2">
        <v>5.2685185185185189E-2</v>
      </c>
      <c r="G1324">
        <v>1</v>
      </c>
      <c r="H1324" s="133">
        <v>45840</v>
      </c>
      <c r="I1324" s="2">
        <v>0.55268518518518517</v>
      </c>
      <c r="J1324">
        <v>13</v>
      </c>
      <c r="R1324" t="s">
        <v>30</v>
      </c>
      <c r="W1324">
        <v>1</v>
      </c>
      <c r="X1324" t="s">
        <v>30</v>
      </c>
      <c r="AC1324" t="s">
        <v>3254</v>
      </c>
      <c r="AE1324" s="135"/>
    </row>
    <row r="1325" spans="1:31" ht="12.5" customHeight="1" x14ac:dyDescent="0.35">
      <c r="A1325" t="s">
        <v>396</v>
      </c>
      <c r="C1325" t="s">
        <v>3255</v>
      </c>
      <c r="D1325" t="s">
        <v>385</v>
      </c>
      <c r="E1325" s="133">
        <v>45841</v>
      </c>
      <c r="F1325" s="2">
        <v>5.2777777777777778E-2</v>
      </c>
      <c r="G1325">
        <v>1</v>
      </c>
      <c r="H1325" s="133">
        <v>45840</v>
      </c>
      <c r="I1325" s="2">
        <v>0.55277777777777781</v>
      </c>
      <c r="J1325">
        <v>13</v>
      </c>
      <c r="R1325" t="s">
        <v>30</v>
      </c>
      <c r="W1325">
        <v>1</v>
      </c>
      <c r="X1325" t="s">
        <v>30</v>
      </c>
      <c r="AC1325" t="s">
        <v>3256</v>
      </c>
      <c r="AE1325" s="135"/>
    </row>
    <row r="1326" spans="1:31" ht="12.5" customHeight="1" x14ac:dyDescent="0.35">
      <c r="A1326" t="s">
        <v>396</v>
      </c>
      <c r="C1326" t="s">
        <v>3257</v>
      </c>
      <c r="D1326" t="s">
        <v>385</v>
      </c>
      <c r="E1326" s="133">
        <v>45841</v>
      </c>
      <c r="F1326" s="2">
        <v>5.2847222222222219E-2</v>
      </c>
      <c r="G1326">
        <v>1</v>
      </c>
      <c r="H1326" s="133">
        <v>45840</v>
      </c>
      <c r="I1326" s="2">
        <v>0.55284722222222216</v>
      </c>
      <c r="J1326">
        <v>13</v>
      </c>
      <c r="R1326" t="s">
        <v>30</v>
      </c>
      <c r="W1326">
        <v>1</v>
      </c>
      <c r="X1326" t="s">
        <v>30</v>
      </c>
      <c r="AC1326" t="s">
        <v>3258</v>
      </c>
      <c r="AE1326" s="135"/>
    </row>
    <row r="1327" spans="1:31" ht="12.5" customHeight="1" x14ac:dyDescent="0.35">
      <c r="A1327" t="s">
        <v>396</v>
      </c>
      <c r="C1327" t="s">
        <v>3259</v>
      </c>
      <c r="D1327" t="s">
        <v>385</v>
      </c>
      <c r="E1327" s="133">
        <v>45841</v>
      </c>
      <c r="F1327" s="2">
        <v>5.2939814814814821E-2</v>
      </c>
      <c r="G1327">
        <v>1</v>
      </c>
      <c r="H1327" s="133">
        <v>45840</v>
      </c>
      <c r="I1327" s="2">
        <v>0.5529398148148148</v>
      </c>
      <c r="J1327">
        <v>13</v>
      </c>
      <c r="R1327" t="s">
        <v>30</v>
      </c>
      <c r="W1327">
        <v>1</v>
      </c>
      <c r="X1327" t="s">
        <v>30</v>
      </c>
      <c r="AC1327" t="s">
        <v>3260</v>
      </c>
      <c r="AE1327" s="135"/>
    </row>
    <row r="1328" spans="1:31" ht="12.5" customHeight="1" x14ac:dyDescent="0.35">
      <c r="A1328" t="s">
        <v>396</v>
      </c>
      <c r="C1328" t="s">
        <v>3261</v>
      </c>
      <c r="D1328" t="s">
        <v>385</v>
      </c>
      <c r="E1328" s="133">
        <v>45841</v>
      </c>
      <c r="F1328" s="2">
        <v>5.3009259259259256E-2</v>
      </c>
      <c r="G1328">
        <v>1</v>
      </c>
      <c r="H1328" s="133">
        <v>45840</v>
      </c>
      <c r="I1328" s="2">
        <v>0.55300925925925926</v>
      </c>
      <c r="J1328">
        <v>13</v>
      </c>
      <c r="R1328" t="s">
        <v>30</v>
      </c>
      <c r="W1328">
        <v>1</v>
      </c>
      <c r="X1328" t="s">
        <v>30</v>
      </c>
      <c r="AC1328" t="s">
        <v>3262</v>
      </c>
      <c r="AE1328" s="135"/>
    </row>
    <row r="1329" spans="1:31" ht="12.5" customHeight="1" x14ac:dyDescent="0.35">
      <c r="A1329" t="s">
        <v>396</v>
      </c>
      <c r="C1329" t="s">
        <v>3263</v>
      </c>
      <c r="D1329" t="s">
        <v>385</v>
      </c>
      <c r="E1329" s="133">
        <v>45841</v>
      </c>
      <c r="F1329" s="2">
        <v>5.3078703703703704E-2</v>
      </c>
      <c r="G1329">
        <v>1</v>
      </c>
      <c r="H1329" s="133">
        <v>45840</v>
      </c>
      <c r="I1329" s="2">
        <v>0.55307870370370371</v>
      </c>
      <c r="J1329">
        <v>13</v>
      </c>
      <c r="R1329" t="s">
        <v>30</v>
      </c>
      <c r="W1329">
        <v>1</v>
      </c>
      <c r="X1329" t="s">
        <v>30</v>
      </c>
      <c r="AC1329" t="s">
        <v>3264</v>
      </c>
      <c r="AE1329" s="135"/>
    </row>
    <row r="1330" spans="1:31" ht="12.5" customHeight="1" x14ac:dyDescent="0.35">
      <c r="A1330" t="s">
        <v>396</v>
      </c>
      <c r="C1330" t="s">
        <v>3265</v>
      </c>
      <c r="D1330" t="s">
        <v>385</v>
      </c>
      <c r="E1330" s="133">
        <v>45841</v>
      </c>
      <c r="F1330" s="2">
        <v>5.31712962962963E-2</v>
      </c>
      <c r="G1330">
        <v>1</v>
      </c>
      <c r="H1330" s="133">
        <v>45840</v>
      </c>
      <c r="I1330" s="2">
        <v>0.55317129629629636</v>
      </c>
      <c r="J1330">
        <v>13</v>
      </c>
      <c r="R1330" t="s">
        <v>30</v>
      </c>
      <c r="W1330">
        <v>1</v>
      </c>
      <c r="X1330" t="s">
        <v>30</v>
      </c>
      <c r="AC1330" t="s">
        <v>3266</v>
      </c>
      <c r="AE1330" s="135"/>
    </row>
    <row r="1331" spans="1:31" ht="12.5" customHeight="1" x14ac:dyDescent="0.35">
      <c r="A1331" t="s">
        <v>396</v>
      </c>
      <c r="C1331" t="s">
        <v>3267</v>
      </c>
      <c r="D1331" t="s">
        <v>385</v>
      </c>
      <c r="E1331" s="133">
        <v>45841</v>
      </c>
      <c r="F1331" s="2">
        <v>5.3240740740740734E-2</v>
      </c>
      <c r="G1331">
        <v>1</v>
      </c>
      <c r="H1331" s="133">
        <v>45840</v>
      </c>
      <c r="I1331" s="2">
        <v>0.55324074074074081</v>
      </c>
      <c r="J1331">
        <v>13</v>
      </c>
      <c r="R1331" t="s">
        <v>30</v>
      </c>
      <c r="W1331">
        <v>1</v>
      </c>
      <c r="X1331" t="s">
        <v>30</v>
      </c>
      <c r="AC1331" t="s">
        <v>3268</v>
      </c>
      <c r="AE1331" s="135"/>
    </row>
    <row r="1332" spans="1:31" ht="12.5" customHeight="1" x14ac:dyDescent="0.35">
      <c r="A1332" t="s">
        <v>396</v>
      </c>
      <c r="C1332" t="s">
        <v>3269</v>
      </c>
      <c r="D1332" t="s">
        <v>385</v>
      </c>
      <c r="E1332" s="133">
        <v>45841</v>
      </c>
      <c r="F1332" s="2">
        <v>5.3310185185185183E-2</v>
      </c>
      <c r="G1332">
        <v>1</v>
      </c>
      <c r="H1332" s="133">
        <v>45840</v>
      </c>
      <c r="I1332" s="2">
        <v>0.55331018518518515</v>
      </c>
      <c r="J1332">
        <v>13</v>
      </c>
      <c r="R1332" t="s">
        <v>30</v>
      </c>
      <c r="W1332">
        <v>1</v>
      </c>
      <c r="X1332" t="s">
        <v>30</v>
      </c>
      <c r="AC1332" t="s">
        <v>3270</v>
      </c>
      <c r="AE1332" s="135"/>
    </row>
    <row r="1333" spans="1:31" ht="12.5" customHeight="1" x14ac:dyDescent="0.35">
      <c r="A1333" t="s">
        <v>396</v>
      </c>
      <c r="C1333" t="s">
        <v>3271</v>
      </c>
      <c r="D1333" t="s">
        <v>385</v>
      </c>
      <c r="E1333" s="133">
        <v>45841</v>
      </c>
      <c r="F1333" s="2">
        <v>5.3402777777777778E-2</v>
      </c>
      <c r="G1333">
        <v>1</v>
      </c>
      <c r="H1333" s="133">
        <v>45840</v>
      </c>
      <c r="I1333" s="2">
        <v>0.5534027777777778</v>
      </c>
      <c r="J1333">
        <v>13</v>
      </c>
      <c r="R1333" t="s">
        <v>30</v>
      </c>
      <c r="W1333">
        <v>1</v>
      </c>
      <c r="X1333" t="s">
        <v>30</v>
      </c>
      <c r="AC1333" t="s">
        <v>3272</v>
      </c>
      <c r="AE1333" s="135"/>
    </row>
    <row r="1334" spans="1:31" ht="12.5" customHeight="1" x14ac:dyDescent="0.35">
      <c r="A1334" t="s">
        <v>396</v>
      </c>
      <c r="C1334" t="s">
        <v>3273</v>
      </c>
      <c r="D1334" t="s">
        <v>385</v>
      </c>
      <c r="E1334" s="133">
        <v>45841</v>
      </c>
      <c r="F1334" s="2">
        <v>5.347222222222222E-2</v>
      </c>
      <c r="G1334">
        <v>1</v>
      </c>
      <c r="H1334" s="133">
        <v>45840</v>
      </c>
      <c r="I1334" s="2">
        <v>0.55347222222222225</v>
      </c>
      <c r="J1334">
        <v>13</v>
      </c>
      <c r="R1334" t="s">
        <v>30</v>
      </c>
      <c r="W1334">
        <v>1</v>
      </c>
      <c r="X1334" t="s">
        <v>30</v>
      </c>
      <c r="AC1334" t="s">
        <v>3274</v>
      </c>
      <c r="AE1334" s="135"/>
    </row>
    <row r="1335" spans="1:31" ht="12.5" customHeight="1" x14ac:dyDescent="0.35">
      <c r="A1335" t="s">
        <v>396</v>
      </c>
      <c r="C1335" t="s">
        <v>3275</v>
      </c>
      <c r="D1335" t="s">
        <v>385</v>
      </c>
      <c r="E1335" s="133">
        <v>45841</v>
      </c>
      <c r="F1335" s="2">
        <v>5.3564814814814815E-2</v>
      </c>
      <c r="G1335">
        <v>1</v>
      </c>
      <c r="H1335" s="133">
        <v>45840</v>
      </c>
      <c r="I1335" s="2">
        <v>0.55356481481481479</v>
      </c>
      <c r="J1335">
        <v>13</v>
      </c>
      <c r="R1335" t="s">
        <v>30</v>
      </c>
      <c r="W1335">
        <v>1</v>
      </c>
      <c r="X1335" t="s">
        <v>30</v>
      </c>
      <c r="AC1335" t="s">
        <v>3276</v>
      </c>
      <c r="AE1335" s="135"/>
    </row>
    <row r="1336" spans="1:31" ht="12.5" customHeight="1" x14ac:dyDescent="0.35">
      <c r="A1336" t="s">
        <v>396</v>
      </c>
      <c r="C1336" t="s">
        <v>3277</v>
      </c>
      <c r="D1336" t="s">
        <v>385</v>
      </c>
      <c r="E1336" s="133">
        <v>45841</v>
      </c>
      <c r="F1336" s="2">
        <v>5.3634259259259263E-2</v>
      </c>
      <c r="G1336">
        <v>1</v>
      </c>
      <c r="H1336" s="133">
        <v>45840</v>
      </c>
      <c r="I1336" s="2">
        <v>0.55363425925925924</v>
      </c>
      <c r="J1336">
        <v>13</v>
      </c>
      <c r="R1336" t="s">
        <v>30</v>
      </c>
      <c r="W1336">
        <v>1</v>
      </c>
      <c r="X1336" t="s">
        <v>30</v>
      </c>
      <c r="AC1336" t="s">
        <v>3278</v>
      </c>
      <c r="AE1336" s="135"/>
    </row>
    <row r="1337" spans="1:31" ht="12.5" customHeight="1" x14ac:dyDescent="0.35">
      <c r="A1337" t="s">
        <v>396</v>
      </c>
      <c r="C1337" t="s">
        <v>3279</v>
      </c>
      <c r="D1337" t="s">
        <v>385</v>
      </c>
      <c r="E1337" s="133">
        <v>45841</v>
      </c>
      <c r="F1337" s="2">
        <v>5.3703703703703698E-2</v>
      </c>
      <c r="G1337">
        <v>1</v>
      </c>
      <c r="H1337" s="133">
        <v>45840</v>
      </c>
      <c r="I1337" s="2">
        <v>0.5537037037037037</v>
      </c>
      <c r="J1337">
        <v>13</v>
      </c>
      <c r="R1337" t="s">
        <v>30</v>
      </c>
      <c r="W1337">
        <v>1</v>
      </c>
      <c r="X1337" t="s">
        <v>30</v>
      </c>
      <c r="AC1337" t="s">
        <v>3280</v>
      </c>
      <c r="AE1337" s="135"/>
    </row>
    <row r="1338" spans="1:31" ht="12.5" customHeight="1" x14ac:dyDescent="0.35">
      <c r="A1338" t="s">
        <v>396</v>
      </c>
      <c r="C1338" t="s">
        <v>3281</v>
      </c>
      <c r="D1338" t="s">
        <v>385</v>
      </c>
      <c r="E1338" s="133">
        <v>45841</v>
      </c>
      <c r="F1338" s="2">
        <v>5.3796296296296293E-2</v>
      </c>
      <c r="G1338">
        <v>1</v>
      </c>
      <c r="H1338" s="133">
        <v>45840</v>
      </c>
      <c r="I1338" s="2">
        <v>0.55379629629629623</v>
      </c>
      <c r="J1338">
        <v>13</v>
      </c>
      <c r="R1338" t="s">
        <v>30</v>
      </c>
      <c r="W1338">
        <v>1</v>
      </c>
      <c r="X1338" t="s">
        <v>30</v>
      </c>
      <c r="AC1338" t="s">
        <v>3282</v>
      </c>
      <c r="AE1338" s="135"/>
    </row>
    <row r="1339" spans="1:31" ht="12.5" customHeight="1" x14ac:dyDescent="0.35">
      <c r="A1339" t="s">
        <v>396</v>
      </c>
      <c r="C1339" t="s">
        <v>3283</v>
      </c>
      <c r="D1339" t="s">
        <v>385</v>
      </c>
      <c r="E1339" s="133">
        <v>45841</v>
      </c>
      <c r="F1339" s="2">
        <v>5.3865740740740742E-2</v>
      </c>
      <c r="G1339">
        <v>1</v>
      </c>
      <c r="H1339" s="133">
        <v>45840</v>
      </c>
      <c r="I1339" s="2">
        <v>0.55386574074074069</v>
      </c>
      <c r="J1339">
        <v>13</v>
      </c>
      <c r="R1339" t="s">
        <v>30</v>
      </c>
      <c r="W1339">
        <v>1</v>
      </c>
      <c r="X1339" t="s">
        <v>30</v>
      </c>
      <c r="AC1339" t="s">
        <v>3284</v>
      </c>
      <c r="AE1339" s="135"/>
    </row>
    <row r="1340" spans="1:31" ht="12.5" customHeight="1" x14ac:dyDescent="0.35">
      <c r="A1340" t="s">
        <v>396</v>
      </c>
      <c r="C1340" t="s">
        <v>3285</v>
      </c>
      <c r="D1340" t="s">
        <v>385</v>
      </c>
      <c r="E1340" s="133">
        <v>45841</v>
      </c>
      <c r="F1340" s="2">
        <v>5.395833333333333E-2</v>
      </c>
      <c r="G1340">
        <v>1</v>
      </c>
      <c r="H1340" s="133">
        <v>45840</v>
      </c>
      <c r="I1340" s="2">
        <v>0.55395833333333333</v>
      </c>
      <c r="J1340">
        <v>13</v>
      </c>
      <c r="R1340" t="s">
        <v>30</v>
      </c>
      <c r="W1340">
        <v>1</v>
      </c>
      <c r="X1340" t="s">
        <v>30</v>
      </c>
      <c r="AC1340" t="s">
        <v>3286</v>
      </c>
      <c r="AE1340" s="135"/>
    </row>
    <row r="1341" spans="1:31" ht="12.5" customHeight="1" x14ac:dyDescent="0.35">
      <c r="A1341" t="s">
        <v>396</v>
      </c>
      <c r="C1341" t="s">
        <v>3287</v>
      </c>
      <c r="D1341" t="s">
        <v>385</v>
      </c>
      <c r="E1341" s="133">
        <v>45841</v>
      </c>
      <c r="F1341" s="2">
        <v>5.4027777777777779E-2</v>
      </c>
      <c r="G1341">
        <v>1</v>
      </c>
      <c r="H1341" s="133">
        <v>45840</v>
      </c>
      <c r="I1341" s="2">
        <v>0.55402777777777779</v>
      </c>
      <c r="J1341">
        <v>13</v>
      </c>
      <c r="R1341" t="s">
        <v>30</v>
      </c>
      <c r="W1341">
        <v>1</v>
      </c>
      <c r="X1341" t="s">
        <v>30</v>
      </c>
      <c r="AC1341" t="s">
        <v>3288</v>
      </c>
      <c r="AE1341" s="135"/>
    </row>
    <row r="1342" spans="1:31" ht="12.5" customHeight="1" x14ac:dyDescent="0.35">
      <c r="A1342" t="s">
        <v>396</v>
      </c>
      <c r="C1342" t="s">
        <v>3289</v>
      </c>
      <c r="D1342" t="s">
        <v>385</v>
      </c>
      <c r="E1342" s="133">
        <v>45841</v>
      </c>
      <c r="F1342" s="2">
        <v>5.409722222222222E-2</v>
      </c>
      <c r="G1342">
        <v>1</v>
      </c>
      <c r="H1342" s="133">
        <v>45840</v>
      </c>
      <c r="I1342" s="2">
        <v>0.55409722222222224</v>
      </c>
      <c r="J1342">
        <v>13</v>
      </c>
      <c r="R1342" t="s">
        <v>30</v>
      </c>
      <c r="W1342">
        <v>1</v>
      </c>
      <c r="X1342" t="s">
        <v>30</v>
      </c>
      <c r="AC1342" t="s">
        <v>3290</v>
      </c>
      <c r="AE1342" s="135"/>
    </row>
    <row r="1343" spans="1:31" ht="12.5" customHeight="1" x14ac:dyDescent="0.35">
      <c r="A1343" t="s">
        <v>396</v>
      </c>
      <c r="C1343" t="s">
        <v>3291</v>
      </c>
      <c r="D1343" t="s">
        <v>385</v>
      </c>
      <c r="E1343" s="133">
        <v>45841</v>
      </c>
      <c r="F1343" s="2">
        <v>5.4189814814814809E-2</v>
      </c>
      <c r="G1343">
        <v>1</v>
      </c>
      <c r="H1343" s="133">
        <v>45840</v>
      </c>
      <c r="I1343" s="2">
        <v>0.55418981481481489</v>
      </c>
      <c r="J1343">
        <v>13</v>
      </c>
      <c r="R1343" t="s">
        <v>30</v>
      </c>
      <c r="W1343">
        <v>1</v>
      </c>
      <c r="X1343" t="s">
        <v>30</v>
      </c>
      <c r="AC1343" t="s">
        <v>3292</v>
      </c>
      <c r="AE1343" s="135"/>
    </row>
    <row r="1344" spans="1:31" ht="12.5" customHeight="1" x14ac:dyDescent="0.35">
      <c r="A1344" t="s">
        <v>396</v>
      </c>
      <c r="C1344" t="s">
        <v>3293</v>
      </c>
      <c r="D1344" t="s">
        <v>385</v>
      </c>
      <c r="E1344" s="133">
        <v>45841</v>
      </c>
      <c r="F1344" s="2">
        <v>5.4259259259259257E-2</v>
      </c>
      <c r="G1344">
        <v>1</v>
      </c>
      <c r="H1344" s="133">
        <v>45840</v>
      </c>
      <c r="I1344" s="2">
        <v>0.55425925925925923</v>
      </c>
      <c r="J1344">
        <v>13</v>
      </c>
      <c r="R1344" t="s">
        <v>30</v>
      </c>
      <c r="W1344">
        <v>1</v>
      </c>
      <c r="X1344" t="s">
        <v>30</v>
      </c>
      <c r="AC1344" t="s">
        <v>3294</v>
      </c>
      <c r="AE1344" s="135"/>
    </row>
    <row r="1345" spans="1:31" ht="12.5" customHeight="1" x14ac:dyDescent="0.35">
      <c r="A1345" t="s">
        <v>396</v>
      </c>
      <c r="C1345" t="s">
        <v>3295</v>
      </c>
      <c r="D1345" t="s">
        <v>385</v>
      </c>
      <c r="E1345" s="133">
        <v>45841</v>
      </c>
      <c r="F1345" s="2">
        <v>5.4328703703703705E-2</v>
      </c>
      <c r="G1345">
        <v>1</v>
      </c>
      <c r="H1345" s="133">
        <v>45840</v>
      </c>
      <c r="I1345" s="2">
        <v>0.55432870370370368</v>
      </c>
      <c r="J1345">
        <v>13</v>
      </c>
      <c r="R1345" t="s">
        <v>30</v>
      </c>
      <c r="W1345">
        <v>1</v>
      </c>
      <c r="X1345" t="s">
        <v>30</v>
      </c>
      <c r="AC1345" t="s">
        <v>3296</v>
      </c>
      <c r="AE1345" s="135"/>
    </row>
    <row r="1346" spans="1:31" ht="12.5" customHeight="1" x14ac:dyDescent="0.35">
      <c r="A1346" t="s">
        <v>396</v>
      </c>
      <c r="C1346" t="s">
        <v>3297</v>
      </c>
      <c r="D1346" t="s">
        <v>385</v>
      </c>
      <c r="E1346" s="133">
        <v>45841</v>
      </c>
      <c r="F1346" s="2">
        <v>5.4421296296296294E-2</v>
      </c>
      <c r="G1346">
        <v>1</v>
      </c>
      <c r="H1346" s="133">
        <v>45840</v>
      </c>
      <c r="I1346" s="2">
        <v>0.55442129629629633</v>
      </c>
      <c r="J1346">
        <v>13</v>
      </c>
      <c r="R1346" t="s">
        <v>30</v>
      </c>
      <c r="W1346">
        <v>1</v>
      </c>
      <c r="X1346" t="s">
        <v>30</v>
      </c>
      <c r="AC1346" t="s">
        <v>3298</v>
      </c>
      <c r="AE1346" s="135"/>
    </row>
    <row r="1347" spans="1:31" ht="12.5" customHeight="1" x14ac:dyDescent="0.35">
      <c r="A1347" t="s">
        <v>396</v>
      </c>
      <c r="C1347" t="s">
        <v>3299</v>
      </c>
      <c r="D1347" t="s">
        <v>385</v>
      </c>
      <c r="E1347" s="133">
        <v>45841</v>
      </c>
      <c r="F1347" s="2">
        <v>5.4490740740740735E-2</v>
      </c>
      <c r="G1347">
        <v>1</v>
      </c>
      <c r="H1347" s="133">
        <v>45840</v>
      </c>
      <c r="I1347" s="2">
        <v>0.55449074074074078</v>
      </c>
      <c r="J1347">
        <v>13</v>
      </c>
      <c r="R1347" t="s">
        <v>30</v>
      </c>
      <c r="W1347">
        <v>1</v>
      </c>
      <c r="X1347" t="s">
        <v>30</v>
      </c>
      <c r="AC1347" t="s">
        <v>3300</v>
      </c>
      <c r="AE1347" s="135"/>
    </row>
    <row r="1348" spans="1:31" ht="12.5" customHeight="1" x14ac:dyDescent="0.35">
      <c r="A1348" t="s">
        <v>396</v>
      </c>
      <c r="C1348" t="s">
        <v>3301</v>
      </c>
      <c r="D1348" t="s">
        <v>385</v>
      </c>
      <c r="E1348" s="133">
        <v>45841</v>
      </c>
      <c r="F1348" s="2">
        <v>5.4583333333333338E-2</v>
      </c>
      <c r="G1348">
        <v>1</v>
      </c>
      <c r="H1348" s="133">
        <v>45840</v>
      </c>
      <c r="I1348" s="2">
        <v>0.55458333333333332</v>
      </c>
      <c r="J1348">
        <v>13</v>
      </c>
      <c r="R1348" t="s">
        <v>30</v>
      </c>
      <c r="W1348">
        <v>1</v>
      </c>
      <c r="X1348" t="s">
        <v>30</v>
      </c>
      <c r="AC1348" t="s">
        <v>3302</v>
      </c>
      <c r="AE1348" s="135"/>
    </row>
    <row r="1349" spans="1:31" ht="12.5" customHeight="1" x14ac:dyDescent="0.35">
      <c r="A1349" t="s">
        <v>396</v>
      </c>
      <c r="C1349" t="s">
        <v>3303</v>
      </c>
      <c r="D1349" t="s">
        <v>385</v>
      </c>
      <c r="E1349" s="133">
        <v>45841</v>
      </c>
      <c r="F1349" s="2">
        <v>5.4652777777777772E-2</v>
      </c>
      <c r="G1349">
        <v>1</v>
      </c>
      <c r="H1349" s="133">
        <v>45840</v>
      </c>
      <c r="I1349" s="2">
        <v>0.55465277777777777</v>
      </c>
      <c r="J1349">
        <v>13</v>
      </c>
      <c r="R1349" t="s">
        <v>30</v>
      </c>
      <c r="W1349">
        <v>1</v>
      </c>
      <c r="X1349" t="s">
        <v>30</v>
      </c>
      <c r="AC1349" t="s">
        <v>3304</v>
      </c>
      <c r="AE1349" s="135"/>
    </row>
    <row r="1350" spans="1:31" ht="12.5" customHeight="1" x14ac:dyDescent="0.35">
      <c r="A1350" t="s">
        <v>396</v>
      </c>
      <c r="C1350" t="s">
        <v>3305</v>
      </c>
      <c r="D1350" t="s">
        <v>385</v>
      </c>
      <c r="E1350" s="133">
        <v>45841</v>
      </c>
      <c r="F1350" s="2">
        <v>5.4722222222222228E-2</v>
      </c>
      <c r="G1350">
        <v>1</v>
      </c>
      <c r="H1350" s="133">
        <v>45840</v>
      </c>
      <c r="I1350" s="2">
        <v>0.55472222222222223</v>
      </c>
      <c r="J1350">
        <v>13</v>
      </c>
      <c r="R1350" t="s">
        <v>30</v>
      </c>
      <c r="W1350">
        <v>1</v>
      </c>
      <c r="X1350" t="s">
        <v>30</v>
      </c>
      <c r="AC1350" t="s">
        <v>3306</v>
      </c>
      <c r="AE1350" s="135"/>
    </row>
    <row r="1351" spans="1:31" ht="12.5" customHeight="1" x14ac:dyDescent="0.35">
      <c r="A1351" t="s">
        <v>396</v>
      </c>
      <c r="C1351" t="s">
        <v>3307</v>
      </c>
      <c r="D1351" t="s">
        <v>385</v>
      </c>
      <c r="E1351" s="133">
        <v>45841</v>
      </c>
      <c r="F1351" s="2">
        <v>5.4814814814814816E-2</v>
      </c>
      <c r="G1351">
        <v>1</v>
      </c>
      <c r="H1351" s="133">
        <v>45840</v>
      </c>
      <c r="I1351" s="2">
        <v>0.55481481481481476</v>
      </c>
      <c r="J1351">
        <v>13</v>
      </c>
      <c r="R1351" t="s">
        <v>30</v>
      </c>
      <c r="W1351">
        <v>1</v>
      </c>
      <c r="X1351" t="s">
        <v>30</v>
      </c>
      <c r="AC1351" t="s">
        <v>3308</v>
      </c>
      <c r="AE1351" s="135"/>
    </row>
    <row r="1352" spans="1:31" ht="12.5" customHeight="1" x14ac:dyDescent="0.35">
      <c r="A1352" t="s">
        <v>396</v>
      </c>
      <c r="C1352" t="s">
        <v>3309</v>
      </c>
      <c r="D1352" t="s">
        <v>385</v>
      </c>
      <c r="E1352" s="133">
        <v>45841</v>
      </c>
      <c r="F1352" s="2">
        <v>5.4884259259259265E-2</v>
      </c>
      <c r="G1352">
        <v>1</v>
      </c>
      <c r="H1352" s="133">
        <v>45840</v>
      </c>
      <c r="I1352" s="2">
        <v>0.55488425925925922</v>
      </c>
      <c r="J1352">
        <v>13</v>
      </c>
      <c r="R1352" t="s">
        <v>30</v>
      </c>
      <c r="W1352">
        <v>1</v>
      </c>
      <c r="X1352" t="s">
        <v>30</v>
      </c>
      <c r="AC1352" t="s">
        <v>3310</v>
      </c>
      <c r="AE1352" s="135"/>
    </row>
    <row r="1353" spans="1:31" ht="12.5" customHeight="1" x14ac:dyDescent="0.35">
      <c r="A1353" t="s">
        <v>396</v>
      </c>
      <c r="C1353" t="s">
        <v>3311</v>
      </c>
      <c r="D1353" t="s">
        <v>385</v>
      </c>
      <c r="E1353" s="133">
        <v>45841</v>
      </c>
      <c r="F1353" s="2">
        <v>5.4953703703703706E-2</v>
      </c>
      <c r="G1353">
        <v>1</v>
      </c>
      <c r="H1353" s="133">
        <v>45840</v>
      </c>
      <c r="I1353" s="2">
        <v>0.55495370370370367</v>
      </c>
      <c r="J1353">
        <v>13</v>
      </c>
      <c r="R1353" t="s">
        <v>30</v>
      </c>
      <c r="W1353">
        <v>1</v>
      </c>
      <c r="X1353" t="s">
        <v>30</v>
      </c>
      <c r="AC1353" t="s">
        <v>3312</v>
      </c>
      <c r="AE1353" s="135"/>
    </row>
    <row r="1354" spans="1:31" ht="12.5" customHeight="1" x14ac:dyDescent="0.35">
      <c r="A1354" t="s">
        <v>396</v>
      </c>
      <c r="C1354" t="s">
        <v>3313</v>
      </c>
      <c r="D1354" t="s">
        <v>385</v>
      </c>
      <c r="E1354" s="133">
        <v>45841</v>
      </c>
      <c r="F1354" s="2">
        <v>5.5046296296296295E-2</v>
      </c>
      <c r="G1354">
        <v>1</v>
      </c>
      <c r="H1354" s="133">
        <v>45840</v>
      </c>
      <c r="I1354" s="2">
        <v>0.55504629629629632</v>
      </c>
      <c r="J1354">
        <v>13</v>
      </c>
      <c r="R1354" t="s">
        <v>30</v>
      </c>
      <c r="W1354">
        <v>1</v>
      </c>
      <c r="X1354" t="s">
        <v>30</v>
      </c>
      <c r="AC1354" t="s">
        <v>3314</v>
      </c>
      <c r="AE1354" s="135"/>
    </row>
    <row r="1355" spans="1:31" ht="12.5" customHeight="1" x14ac:dyDescent="0.35">
      <c r="A1355" t="s">
        <v>396</v>
      </c>
      <c r="C1355" t="s">
        <v>3315</v>
      </c>
      <c r="D1355" t="s">
        <v>385</v>
      </c>
      <c r="E1355" s="133">
        <v>45841</v>
      </c>
      <c r="F1355" s="2">
        <v>5.5138888888888883E-2</v>
      </c>
      <c r="G1355">
        <v>1</v>
      </c>
      <c r="H1355" s="133">
        <v>45840</v>
      </c>
      <c r="I1355" s="2">
        <v>0.55513888888888896</v>
      </c>
      <c r="J1355">
        <v>13</v>
      </c>
      <c r="R1355" t="s">
        <v>30</v>
      </c>
      <c r="W1355">
        <v>1</v>
      </c>
      <c r="X1355" t="s">
        <v>30</v>
      </c>
      <c r="AC1355" t="s">
        <v>3316</v>
      </c>
      <c r="AE1355" s="135"/>
    </row>
    <row r="1356" spans="1:31" ht="12.5" customHeight="1" x14ac:dyDescent="0.35">
      <c r="A1356" t="s">
        <v>396</v>
      </c>
      <c r="C1356" t="s">
        <v>3317</v>
      </c>
      <c r="D1356" t="s">
        <v>385</v>
      </c>
      <c r="E1356" s="133">
        <v>45841</v>
      </c>
      <c r="F1356" s="2">
        <v>5.5208333333333331E-2</v>
      </c>
      <c r="G1356">
        <v>1</v>
      </c>
      <c r="H1356" s="133">
        <v>45840</v>
      </c>
      <c r="I1356" s="2">
        <v>0.5552083333333333</v>
      </c>
      <c r="J1356">
        <v>13</v>
      </c>
      <c r="R1356" t="s">
        <v>30</v>
      </c>
      <c r="W1356">
        <v>1</v>
      </c>
      <c r="X1356" t="s">
        <v>30</v>
      </c>
      <c r="AC1356" t="s">
        <v>3318</v>
      </c>
      <c r="AE1356" s="135"/>
    </row>
    <row r="1357" spans="1:31" ht="12.5" customHeight="1" x14ac:dyDescent="0.35">
      <c r="A1357" t="s">
        <v>396</v>
      </c>
      <c r="C1357" t="s">
        <v>3319</v>
      </c>
      <c r="D1357" t="s">
        <v>385</v>
      </c>
      <c r="E1357" s="133">
        <v>45841</v>
      </c>
      <c r="F1357" s="2">
        <v>5.5300925925925927E-2</v>
      </c>
      <c r="G1357">
        <v>1</v>
      </c>
      <c r="H1357" s="133">
        <v>45840</v>
      </c>
      <c r="I1357" s="2">
        <v>0.55530092592592595</v>
      </c>
      <c r="J1357">
        <v>13</v>
      </c>
      <c r="R1357" t="s">
        <v>30</v>
      </c>
      <c r="W1357">
        <v>1</v>
      </c>
      <c r="X1357" t="s">
        <v>30</v>
      </c>
      <c r="AC1357" t="s">
        <v>3320</v>
      </c>
      <c r="AE1357" s="135"/>
    </row>
    <row r="1358" spans="1:31" ht="12.5" customHeight="1" x14ac:dyDescent="0.35">
      <c r="A1358" t="s">
        <v>396</v>
      </c>
      <c r="C1358" t="s">
        <v>3321</v>
      </c>
      <c r="D1358" t="s">
        <v>385</v>
      </c>
      <c r="E1358" s="133">
        <v>45841</v>
      </c>
      <c r="F1358" s="2">
        <v>5.5370370370370368E-2</v>
      </c>
      <c r="G1358">
        <v>1</v>
      </c>
      <c r="H1358" s="133">
        <v>45840</v>
      </c>
      <c r="I1358" s="2">
        <v>0.5553703703703704</v>
      </c>
      <c r="J1358">
        <v>13</v>
      </c>
      <c r="R1358" t="s">
        <v>30</v>
      </c>
      <c r="W1358">
        <v>1</v>
      </c>
      <c r="X1358" t="s">
        <v>30</v>
      </c>
      <c r="AC1358" t="s">
        <v>3322</v>
      </c>
      <c r="AE1358" s="135"/>
    </row>
    <row r="1359" spans="1:31" ht="12.5" customHeight="1" x14ac:dyDescent="0.35">
      <c r="A1359" t="s">
        <v>396</v>
      </c>
      <c r="C1359" t="s">
        <v>3323</v>
      </c>
      <c r="D1359" t="s">
        <v>385</v>
      </c>
      <c r="E1359" s="133">
        <v>45841</v>
      </c>
      <c r="F1359" s="2">
        <v>5.543981481481481E-2</v>
      </c>
      <c r="G1359">
        <v>1</v>
      </c>
      <c r="H1359" s="133">
        <v>45840</v>
      </c>
      <c r="I1359" s="2">
        <v>0.55543981481481486</v>
      </c>
      <c r="J1359">
        <v>13</v>
      </c>
      <c r="R1359" t="s">
        <v>30</v>
      </c>
      <c r="W1359">
        <v>1</v>
      </c>
      <c r="X1359" t="s">
        <v>30</v>
      </c>
      <c r="AC1359" t="s">
        <v>3324</v>
      </c>
      <c r="AE1359" s="135"/>
    </row>
    <row r="1360" spans="1:31" ht="12.5" customHeight="1" x14ac:dyDescent="0.35">
      <c r="A1360" t="s">
        <v>396</v>
      </c>
      <c r="C1360" t="s">
        <v>3325</v>
      </c>
      <c r="D1360" t="s">
        <v>385</v>
      </c>
      <c r="E1360" s="133">
        <v>45841</v>
      </c>
      <c r="F1360" s="2">
        <v>5.5532407407407412E-2</v>
      </c>
      <c r="G1360">
        <v>1</v>
      </c>
      <c r="H1360" s="133">
        <v>45840</v>
      </c>
      <c r="I1360" s="2">
        <v>0.55553240740740739</v>
      </c>
      <c r="J1360">
        <v>13</v>
      </c>
      <c r="R1360" t="s">
        <v>30</v>
      </c>
      <c r="W1360">
        <v>1</v>
      </c>
      <c r="X1360" t="s">
        <v>30</v>
      </c>
      <c r="AC1360" t="s">
        <v>3326</v>
      </c>
      <c r="AE1360" s="135"/>
    </row>
    <row r="1361" spans="1:31" ht="12.5" customHeight="1" x14ac:dyDescent="0.35">
      <c r="A1361" t="s">
        <v>396</v>
      </c>
      <c r="C1361" t="s">
        <v>3327</v>
      </c>
      <c r="D1361" t="s">
        <v>385</v>
      </c>
      <c r="E1361" s="133">
        <v>45841</v>
      </c>
      <c r="F1361" s="2">
        <v>5.5625000000000001E-2</v>
      </c>
      <c r="G1361">
        <v>1</v>
      </c>
      <c r="H1361" s="133">
        <v>45840</v>
      </c>
      <c r="I1361" s="2">
        <v>0.55562500000000004</v>
      </c>
      <c r="J1361">
        <v>13</v>
      </c>
      <c r="R1361" t="s">
        <v>30</v>
      </c>
      <c r="W1361">
        <v>1</v>
      </c>
      <c r="X1361" t="s">
        <v>30</v>
      </c>
      <c r="AC1361" t="s">
        <v>3328</v>
      </c>
      <c r="AE1361" s="135"/>
    </row>
    <row r="1362" spans="1:31" ht="12.5" customHeight="1" x14ac:dyDescent="0.35">
      <c r="A1362" t="s">
        <v>396</v>
      </c>
      <c r="C1362" t="s">
        <v>3329</v>
      </c>
      <c r="D1362" t="s">
        <v>385</v>
      </c>
      <c r="E1362" s="133">
        <v>45841</v>
      </c>
      <c r="F1362" s="2">
        <v>5.5694444444444442E-2</v>
      </c>
      <c r="G1362">
        <v>1</v>
      </c>
      <c r="H1362" s="133">
        <v>45840</v>
      </c>
      <c r="I1362" s="2">
        <v>0.55569444444444438</v>
      </c>
      <c r="J1362">
        <v>13</v>
      </c>
      <c r="R1362" t="s">
        <v>30</v>
      </c>
      <c r="W1362">
        <v>1</v>
      </c>
      <c r="X1362" t="s">
        <v>30</v>
      </c>
      <c r="AC1362" t="s">
        <v>3330</v>
      </c>
      <c r="AE1362" s="135"/>
    </row>
    <row r="1363" spans="1:31" ht="12.5" customHeight="1" x14ac:dyDescent="0.35">
      <c r="A1363" t="s">
        <v>396</v>
      </c>
      <c r="C1363" t="s">
        <v>3331</v>
      </c>
      <c r="D1363" t="s">
        <v>385</v>
      </c>
      <c r="E1363" s="133">
        <v>45841</v>
      </c>
      <c r="F1363" s="2">
        <v>5.5787037037037031E-2</v>
      </c>
      <c r="G1363">
        <v>1</v>
      </c>
      <c r="H1363" s="133">
        <v>45840</v>
      </c>
      <c r="I1363" s="2">
        <v>0.55578703703703702</v>
      </c>
      <c r="J1363">
        <v>13</v>
      </c>
      <c r="R1363" t="s">
        <v>30</v>
      </c>
      <c r="W1363">
        <v>1</v>
      </c>
      <c r="X1363" t="s">
        <v>30</v>
      </c>
      <c r="AC1363" t="s">
        <v>3332</v>
      </c>
      <c r="AE1363" s="135"/>
    </row>
    <row r="1364" spans="1:31" ht="12.5" customHeight="1" x14ac:dyDescent="0.35">
      <c r="A1364" t="s">
        <v>396</v>
      </c>
      <c r="C1364" t="s">
        <v>3333</v>
      </c>
      <c r="D1364" t="s">
        <v>385</v>
      </c>
      <c r="E1364" s="133">
        <v>45841</v>
      </c>
      <c r="F1364" s="2">
        <v>5.5856481481481479E-2</v>
      </c>
      <c r="G1364">
        <v>1</v>
      </c>
      <c r="H1364" s="133">
        <v>45840</v>
      </c>
      <c r="I1364" s="2">
        <v>0.55585648148148148</v>
      </c>
      <c r="J1364">
        <v>13</v>
      </c>
      <c r="R1364" t="s">
        <v>30</v>
      </c>
      <c r="W1364">
        <v>1</v>
      </c>
      <c r="X1364" t="s">
        <v>30</v>
      </c>
      <c r="AC1364" t="s">
        <v>3334</v>
      </c>
      <c r="AE1364" s="135"/>
    </row>
    <row r="1365" spans="1:31" ht="12.5" customHeight="1" x14ac:dyDescent="0.35">
      <c r="A1365" t="s">
        <v>396</v>
      </c>
      <c r="C1365" t="s">
        <v>3335</v>
      </c>
      <c r="D1365" t="s">
        <v>385</v>
      </c>
      <c r="E1365" s="133">
        <v>45841</v>
      </c>
      <c r="F1365" s="2">
        <v>5.5949074074074075E-2</v>
      </c>
      <c r="G1365">
        <v>1</v>
      </c>
      <c r="H1365" s="133">
        <v>45840</v>
      </c>
      <c r="I1365" s="2">
        <v>0.55594907407407412</v>
      </c>
      <c r="J1365">
        <v>13</v>
      </c>
      <c r="R1365" t="s">
        <v>30</v>
      </c>
      <c r="W1365">
        <v>1</v>
      </c>
      <c r="X1365" t="s">
        <v>30</v>
      </c>
      <c r="AC1365" t="s">
        <v>3336</v>
      </c>
      <c r="AE1365" s="135"/>
    </row>
    <row r="1366" spans="1:31" ht="12.5" customHeight="1" x14ac:dyDescent="0.35">
      <c r="A1366" t="s">
        <v>396</v>
      </c>
      <c r="C1366" t="s">
        <v>3337</v>
      </c>
      <c r="D1366" t="s">
        <v>385</v>
      </c>
      <c r="E1366" s="133">
        <v>45841</v>
      </c>
      <c r="F1366" s="2">
        <v>5.6018518518518523E-2</v>
      </c>
      <c r="G1366">
        <v>1</v>
      </c>
      <c r="H1366" s="133">
        <v>45840</v>
      </c>
      <c r="I1366" s="2">
        <v>0.55601851851851858</v>
      </c>
      <c r="J1366">
        <v>13</v>
      </c>
      <c r="R1366" t="s">
        <v>30</v>
      </c>
      <c r="W1366">
        <v>1</v>
      </c>
      <c r="X1366" t="s">
        <v>30</v>
      </c>
      <c r="AC1366" t="s">
        <v>3338</v>
      </c>
      <c r="AE1366" s="135"/>
    </row>
    <row r="1367" spans="1:31" ht="12.5" customHeight="1" x14ac:dyDescent="0.35">
      <c r="A1367" t="s">
        <v>396</v>
      </c>
      <c r="C1367" t="s">
        <v>3339</v>
      </c>
      <c r="D1367" t="s">
        <v>385</v>
      </c>
      <c r="E1367" s="133">
        <v>45841</v>
      </c>
      <c r="F1367" s="2">
        <v>5.6111111111111112E-2</v>
      </c>
      <c r="G1367">
        <v>1</v>
      </c>
      <c r="H1367" s="133">
        <v>45840</v>
      </c>
      <c r="I1367" s="2">
        <v>0.55611111111111111</v>
      </c>
      <c r="J1367">
        <v>13</v>
      </c>
      <c r="R1367" t="s">
        <v>30</v>
      </c>
      <c r="W1367">
        <v>1</v>
      </c>
      <c r="X1367" t="s">
        <v>30</v>
      </c>
      <c r="AC1367" t="s">
        <v>3340</v>
      </c>
      <c r="AE1367" s="135"/>
    </row>
    <row r="1368" spans="1:31" ht="12.5" customHeight="1" x14ac:dyDescent="0.35">
      <c r="A1368" t="s">
        <v>396</v>
      </c>
      <c r="C1368" t="s">
        <v>3341</v>
      </c>
      <c r="D1368" t="s">
        <v>385</v>
      </c>
      <c r="E1368" s="133">
        <v>45841</v>
      </c>
      <c r="F1368" s="2">
        <v>5.618055555555556E-2</v>
      </c>
      <c r="G1368">
        <v>1</v>
      </c>
      <c r="H1368" s="133">
        <v>45840</v>
      </c>
      <c r="I1368" s="2">
        <v>0.55618055555555557</v>
      </c>
      <c r="J1368">
        <v>13</v>
      </c>
      <c r="R1368" t="s">
        <v>30</v>
      </c>
      <c r="W1368">
        <v>1</v>
      </c>
      <c r="X1368" t="s">
        <v>30</v>
      </c>
      <c r="AC1368" t="s">
        <v>3342</v>
      </c>
      <c r="AE1368" s="135"/>
    </row>
    <row r="1369" spans="1:31" ht="12.5" customHeight="1" x14ac:dyDescent="0.35">
      <c r="A1369" t="s">
        <v>396</v>
      </c>
      <c r="C1369" t="s">
        <v>3343</v>
      </c>
      <c r="D1369" t="s">
        <v>385</v>
      </c>
      <c r="E1369" s="133">
        <v>45841</v>
      </c>
      <c r="F1369" s="2">
        <v>5.6250000000000001E-2</v>
      </c>
      <c r="G1369">
        <v>1</v>
      </c>
      <c r="H1369" s="133">
        <v>45840</v>
      </c>
      <c r="I1369" s="2">
        <v>0.55625000000000002</v>
      </c>
      <c r="J1369">
        <v>13</v>
      </c>
      <c r="R1369" t="s">
        <v>30</v>
      </c>
      <c r="W1369">
        <v>1</v>
      </c>
      <c r="X1369" t="s">
        <v>30</v>
      </c>
      <c r="AC1369" t="s">
        <v>3344</v>
      </c>
      <c r="AE1369" s="135"/>
    </row>
    <row r="1370" spans="1:31" ht="12.5" customHeight="1" x14ac:dyDescent="0.35">
      <c r="A1370" t="s">
        <v>396</v>
      </c>
      <c r="C1370" t="s">
        <v>3345</v>
      </c>
      <c r="D1370" t="s">
        <v>385</v>
      </c>
      <c r="E1370" s="133">
        <v>45841</v>
      </c>
      <c r="F1370" s="2">
        <v>5.634259259259259E-2</v>
      </c>
      <c r="G1370">
        <v>1</v>
      </c>
      <c r="H1370" s="133">
        <v>45840</v>
      </c>
      <c r="I1370" s="2">
        <v>0.55634259259259256</v>
      </c>
      <c r="J1370">
        <v>13</v>
      </c>
      <c r="R1370" t="s">
        <v>30</v>
      </c>
      <c r="W1370">
        <v>1</v>
      </c>
      <c r="X1370" t="s">
        <v>30</v>
      </c>
      <c r="AC1370" t="s">
        <v>3346</v>
      </c>
      <c r="AE1370" s="135"/>
    </row>
    <row r="1371" spans="1:31" ht="12.5" customHeight="1" x14ac:dyDescent="0.35">
      <c r="A1371" t="s">
        <v>396</v>
      </c>
      <c r="C1371" t="s">
        <v>3347</v>
      </c>
      <c r="D1371" t="s">
        <v>385</v>
      </c>
      <c r="E1371" s="133">
        <v>45841</v>
      </c>
      <c r="F1371" s="2">
        <v>5.6412037037037038E-2</v>
      </c>
      <c r="G1371">
        <v>1</v>
      </c>
      <c r="H1371" s="133">
        <v>45840</v>
      </c>
      <c r="I1371" s="2">
        <v>0.55641203703703701</v>
      </c>
      <c r="J1371">
        <v>13</v>
      </c>
      <c r="R1371" t="s">
        <v>30</v>
      </c>
      <c r="W1371">
        <v>1</v>
      </c>
      <c r="X1371" t="s">
        <v>30</v>
      </c>
      <c r="AC1371" t="s">
        <v>3348</v>
      </c>
      <c r="AE1371" s="135"/>
    </row>
    <row r="1372" spans="1:31" ht="12.5" customHeight="1" x14ac:dyDescent="0.35">
      <c r="A1372" t="s">
        <v>396</v>
      </c>
      <c r="C1372" t="s">
        <v>3349</v>
      </c>
      <c r="D1372" t="s">
        <v>385</v>
      </c>
      <c r="E1372" s="133">
        <v>45841</v>
      </c>
      <c r="F1372" s="2">
        <v>5.6504629629629627E-2</v>
      </c>
      <c r="G1372">
        <v>1</v>
      </c>
      <c r="H1372" s="133">
        <v>45840</v>
      </c>
      <c r="I1372" s="2">
        <v>0.55650462962962965</v>
      </c>
      <c r="J1372">
        <v>13</v>
      </c>
      <c r="R1372" t="s">
        <v>30</v>
      </c>
      <c r="W1372">
        <v>1</v>
      </c>
      <c r="X1372" t="s">
        <v>30</v>
      </c>
      <c r="AC1372" t="s">
        <v>3350</v>
      </c>
      <c r="AE1372" s="135"/>
    </row>
    <row r="1373" spans="1:31" ht="12.5" customHeight="1" x14ac:dyDescent="0.35">
      <c r="A1373" t="s">
        <v>396</v>
      </c>
      <c r="C1373" t="s">
        <v>3351</v>
      </c>
      <c r="D1373" t="s">
        <v>385</v>
      </c>
      <c r="E1373" s="133">
        <v>45841</v>
      </c>
      <c r="F1373" s="2">
        <v>5.6574074074074075E-2</v>
      </c>
      <c r="G1373">
        <v>1</v>
      </c>
      <c r="H1373" s="133">
        <v>45840</v>
      </c>
      <c r="I1373" s="2">
        <v>0.556574074074074</v>
      </c>
      <c r="J1373">
        <v>13</v>
      </c>
      <c r="R1373" t="s">
        <v>30</v>
      </c>
      <c r="W1373">
        <v>1</v>
      </c>
      <c r="X1373" t="s">
        <v>30</v>
      </c>
      <c r="AC1373" t="s">
        <v>3352</v>
      </c>
      <c r="AE1373" s="135"/>
    </row>
    <row r="1374" spans="1:31" ht="12.5" customHeight="1" x14ac:dyDescent="0.35">
      <c r="A1374" t="s">
        <v>396</v>
      </c>
      <c r="C1374" t="s">
        <v>3353</v>
      </c>
      <c r="D1374" t="s">
        <v>385</v>
      </c>
      <c r="E1374" s="133">
        <v>45841</v>
      </c>
      <c r="F1374" s="2">
        <v>5.6666666666666671E-2</v>
      </c>
      <c r="G1374">
        <v>1</v>
      </c>
      <c r="H1374" s="133">
        <v>45840</v>
      </c>
      <c r="I1374" s="2">
        <v>0.55666666666666664</v>
      </c>
      <c r="J1374">
        <v>13</v>
      </c>
      <c r="R1374" t="s">
        <v>30</v>
      </c>
      <c r="W1374">
        <v>1</v>
      </c>
      <c r="X1374" t="s">
        <v>30</v>
      </c>
      <c r="AC1374" t="s">
        <v>3354</v>
      </c>
      <c r="AE1374" s="135"/>
    </row>
    <row r="1375" spans="1:31" ht="12.5" customHeight="1" x14ac:dyDescent="0.35">
      <c r="A1375" t="s">
        <v>396</v>
      </c>
      <c r="C1375" t="s">
        <v>3355</v>
      </c>
      <c r="D1375" t="s">
        <v>385</v>
      </c>
      <c r="E1375" s="133">
        <v>45841</v>
      </c>
      <c r="F1375" s="2">
        <v>5.6736111111111105E-2</v>
      </c>
      <c r="G1375">
        <v>1</v>
      </c>
      <c r="H1375" s="133">
        <v>45840</v>
      </c>
      <c r="I1375" s="2">
        <v>0.5567361111111111</v>
      </c>
      <c r="J1375">
        <v>13</v>
      </c>
      <c r="R1375" t="s">
        <v>30</v>
      </c>
      <c r="W1375">
        <v>1</v>
      </c>
      <c r="X1375" t="s">
        <v>30</v>
      </c>
      <c r="AC1375" t="s">
        <v>3356</v>
      </c>
      <c r="AE1375" s="135"/>
    </row>
    <row r="1376" spans="1:31" ht="12.5" customHeight="1" x14ac:dyDescent="0.35">
      <c r="A1376" t="s">
        <v>396</v>
      </c>
      <c r="C1376" t="s">
        <v>3357</v>
      </c>
      <c r="D1376" t="s">
        <v>385</v>
      </c>
      <c r="E1376" s="133">
        <v>45841</v>
      </c>
      <c r="F1376" s="2">
        <v>5.6828703703703708E-2</v>
      </c>
      <c r="G1376">
        <v>1</v>
      </c>
      <c r="H1376" s="133">
        <v>45840</v>
      </c>
      <c r="I1376" s="2">
        <v>0.55682870370370374</v>
      </c>
      <c r="J1376">
        <v>13</v>
      </c>
      <c r="R1376" t="s">
        <v>30</v>
      </c>
      <c r="W1376">
        <v>1</v>
      </c>
      <c r="X1376" t="s">
        <v>30</v>
      </c>
      <c r="AC1376" t="s">
        <v>3358</v>
      </c>
      <c r="AE1376" s="135"/>
    </row>
    <row r="1377" spans="1:31" ht="12.5" customHeight="1" x14ac:dyDescent="0.35">
      <c r="A1377" t="s">
        <v>396</v>
      </c>
      <c r="C1377" t="s">
        <v>3359</v>
      </c>
      <c r="D1377" t="s">
        <v>385</v>
      </c>
      <c r="E1377" s="133">
        <v>45841</v>
      </c>
      <c r="F1377" s="2">
        <v>5.6898148148148149E-2</v>
      </c>
      <c r="G1377">
        <v>1</v>
      </c>
      <c r="H1377" s="133">
        <v>45840</v>
      </c>
      <c r="I1377" s="2">
        <v>0.5568981481481482</v>
      </c>
      <c r="J1377">
        <v>13</v>
      </c>
      <c r="R1377" t="s">
        <v>30</v>
      </c>
      <c r="W1377">
        <v>1</v>
      </c>
      <c r="X1377" t="s">
        <v>30</v>
      </c>
      <c r="AC1377" t="s">
        <v>3360</v>
      </c>
      <c r="AE1377" s="135"/>
    </row>
    <row r="1378" spans="1:31" ht="12.5" customHeight="1" x14ac:dyDescent="0.35">
      <c r="A1378" t="s">
        <v>396</v>
      </c>
      <c r="C1378" t="s">
        <v>3361</v>
      </c>
      <c r="D1378" t="s">
        <v>385</v>
      </c>
      <c r="E1378" s="133">
        <v>45841</v>
      </c>
      <c r="F1378" s="2">
        <v>5.6967592592592597E-2</v>
      </c>
      <c r="G1378">
        <v>1</v>
      </c>
      <c r="H1378" s="133">
        <v>45840</v>
      </c>
      <c r="I1378" s="2">
        <v>0.55696759259259265</v>
      </c>
      <c r="J1378">
        <v>13</v>
      </c>
      <c r="R1378" t="s">
        <v>30</v>
      </c>
      <c r="W1378">
        <v>1</v>
      </c>
      <c r="X1378" t="s">
        <v>30</v>
      </c>
      <c r="AC1378" t="s">
        <v>3362</v>
      </c>
      <c r="AE1378" s="135"/>
    </row>
    <row r="1379" spans="1:31" ht="12.5" customHeight="1" x14ac:dyDescent="0.35">
      <c r="A1379" t="s">
        <v>396</v>
      </c>
      <c r="C1379" t="s">
        <v>3363</v>
      </c>
      <c r="D1379" t="s">
        <v>385</v>
      </c>
      <c r="E1379" s="133">
        <v>45841</v>
      </c>
      <c r="F1379" s="2">
        <v>5.7060185185185186E-2</v>
      </c>
      <c r="G1379">
        <v>1</v>
      </c>
      <c r="H1379" s="133">
        <v>45840</v>
      </c>
      <c r="I1379" s="2">
        <v>0.55706018518518519</v>
      </c>
      <c r="J1379">
        <v>13</v>
      </c>
      <c r="R1379" t="s">
        <v>30</v>
      </c>
      <c r="W1379">
        <v>1</v>
      </c>
      <c r="X1379" t="s">
        <v>30</v>
      </c>
      <c r="AC1379" t="s">
        <v>3364</v>
      </c>
      <c r="AE1379" s="135"/>
    </row>
    <row r="1380" spans="1:31" ht="12.5" customHeight="1" x14ac:dyDescent="0.35">
      <c r="A1380" t="s">
        <v>396</v>
      </c>
      <c r="C1380" t="s">
        <v>3365</v>
      </c>
      <c r="D1380" t="s">
        <v>385</v>
      </c>
      <c r="E1380" s="133">
        <v>45841</v>
      </c>
      <c r="F1380" s="2">
        <v>5.7129629629629634E-2</v>
      </c>
      <c r="G1380">
        <v>1</v>
      </c>
      <c r="H1380" s="133">
        <v>45840</v>
      </c>
      <c r="I1380" s="2">
        <v>0.55712962962962964</v>
      </c>
      <c r="J1380">
        <v>13</v>
      </c>
      <c r="R1380" t="s">
        <v>30</v>
      </c>
      <c r="W1380">
        <v>1</v>
      </c>
      <c r="X1380" t="s">
        <v>30</v>
      </c>
      <c r="AC1380" t="s">
        <v>3366</v>
      </c>
      <c r="AE1380" s="135"/>
    </row>
    <row r="1381" spans="1:31" ht="12.5" customHeight="1" x14ac:dyDescent="0.35">
      <c r="A1381" t="s">
        <v>396</v>
      </c>
      <c r="C1381" t="s">
        <v>3367</v>
      </c>
      <c r="D1381" t="s">
        <v>385</v>
      </c>
      <c r="E1381" s="133">
        <v>45841</v>
      </c>
      <c r="F1381" s="2">
        <v>5.7199074074074076E-2</v>
      </c>
      <c r="G1381">
        <v>1</v>
      </c>
      <c r="H1381" s="133">
        <v>45840</v>
      </c>
      <c r="I1381" s="2">
        <v>0.5571990740740741</v>
      </c>
      <c r="J1381">
        <v>13</v>
      </c>
      <c r="R1381" t="s">
        <v>30</v>
      </c>
      <c r="W1381">
        <v>1</v>
      </c>
      <c r="X1381" t="s">
        <v>30</v>
      </c>
      <c r="AC1381" t="s">
        <v>3368</v>
      </c>
      <c r="AE1381" s="135"/>
    </row>
    <row r="1382" spans="1:31" ht="12.5" customHeight="1" x14ac:dyDescent="0.35">
      <c r="A1382" t="s">
        <v>396</v>
      </c>
      <c r="C1382" t="s">
        <v>3369</v>
      </c>
      <c r="D1382" t="s">
        <v>385</v>
      </c>
      <c r="E1382" s="133">
        <v>45841</v>
      </c>
      <c r="F1382" s="2">
        <v>5.7291666666666664E-2</v>
      </c>
      <c r="G1382">
        <v>1</v>
      </c>
      <c r="H1382" s="133">
        <v>45840</v>
      </c>
      <c r="I1382" s="2">
        <v>0.55729166666666663</v>
      </c>
      <c r="J1382">
        <v>13</v>
      </c>
      <c r="R1382" t="s">
        <v>30</v>
      </c>
      <c r="W1382">
        <v>1</v>
      </c>
      <c r="X1382" t="s">
        <v>30</v>
      </c>
      <c r="AC1382" t="s">
        <v>3370</v>
      </c>
      <c r="AE1382" s="135"/>
    </row>
    <row r="1383" spans="1:31" ht="12.5" customHeight="1" x14ac:dyDescent="0.35">
      <c r="A1383" t="s">
        <v>396</v>
      </c>
      <c r="C1383" t="s">
        <v>3371</v>
      </c>
      <c r="D1383" t="s">
        <v>385</v>
      </c>
      <c r="E1383" s="133">
        <v>45841</v>
      </c>
      <c r="F1383" s="2">
        <v>5.7361111111111113E-2</v>
      </c>
      <c r="G1383">
        <v>1</v>
      </c>
      <c r="H1383" s="133">
        <v>45840</v>
      </c>
      <c r="I1383" s="2">
        <v>0.55736111111111108</v>
      </c>
      <c r="J1383">
        <v>13</v>
      </c>
      <c r="R1383" t="s">
        <v>30</v>
      </c>
      <c r="W1383">
        <v>1</v>
      </c>
      <c r="X1383" t="s">
        <v>30</v>
      </c>
      <c r="AC1383" t="s">
        <v>3372</v>
      </c>
      <c r="AE1383" s="135"/>
    </row>
    <row r="1384" spans="1:31" ht="12.5" customHeight="1" x14ac:dyDescent="0.35">
      <c r="A1384" t="s">
        <v>396</v>
      </c>
      <c r="C1384" t="s">
        <v>3373</v>
      </c>
      <c r="D1384" t="s">
        <v>385</v>
      </c>
      <c r="E1384" s="133">
        <v>45841</v>
      </c>
      <c r="F1384" s="2">
        <v>5.7453703703703701E-2</v>
      </c>
      <c r="G1384">
        <v>1</v>
      </c>
      <c r="H1384" s="133">
        <v>45840</v>
      </c>
      <c r="I1384" s="2">
        <v>0.55745370370370373</v>
      </c>
      <c r="J1384">
        <v>13</v>
      </c>
      <c r="R1384" t="s">
        <v>30</v>
      </c>
      <c r="W1384">
        <v>1</v>
      </c>
      <c r="X1384" t="s">
        <v>30</v>
      </c>
      <c r="AC1384" t="s">
        <v>3374</v>
      </c>
      <c r="AE1384" s="135"/>
    </row>
    <row r="1385" spans="1:31" ht="12.5" customHeight="1" x14ac:dyDescent="0.35">
      <c r="A1385" t="s">
        <v>396</v>
      </c>
      <c r="C1385" t="s">
        <v>3375</v>
      </c>
      <c r="D1385" t="s">
        <v>385</v>
      </c>
      <c r="E1385" s="133">
        <v>45841</v>
      </c>
      <c r="F1385" s="2">
        <v>5.752314814814815E-2</v>
      </c>
      <c r="G1385">
        <v>1</v>
      </c>
      <c r="H1385" s="133">
        <v>45840</v>
      </c>
      <c r="I1385" s="2">
        <v>0.55752314814814818</v>
      </c>
      <c r="J1385">
        <v>13</v>
      </c>
      <c r="R1385" t="s">
        <v>30</v>
      </c>
      <c r="W1385">
        <v>1</v>
      </c>
      <c r="X1385" t="s">
        <v>30</v>
      </c>
      <c r="AC1385" t="s">
        <v>3376</v>
      </c>
      <c r="AE1385" s="135"/>
    </row>
    <row r="1386" spans="1:31" ht="12.5" customHeight="1" x14ac:dyDescent="0.35">
      <c r="A1386" t="s">
        <v>396</v>
      </c>
      <c r="C1386" t="s">
        <v>3377</v>
      </c>
      <c r="D1386" t="s">
        <v>385</v>
      </c>
      <c r="E1386" s="133">
        <v>45841</v>
      </c>
      <c r="F1386" s="2">
        <v>5.7592592592592591E-2</v>
      </c>
      <c r="G1386">
        <v>1</v>
      </c>
      <c r="H1386" s="133">
        <v>45840</v>
      </c>
      <c r="I1386" s="2">
        <v>0.55759259259259253</v>
      </c>
      <c r="J1386">
        <v>13</v>
      </c>
      <c r="R1386" t="s">
        <v>30</v>
      </c>
      <c r="W1386">
        <v>1</v>
      </c>
      <c r="X1386" t="s">
        <v>30</v>
      </c>
      <c r="AC1386" t="s">
        <v>3378</v>
      </c>
      <c r="AE1386" s="135"/>
    </row>
    <row r="1387" spans="1:31" ht="12.5" customHeight="1" x14ac:dyDescent="0.35">
      <c r="A1387" t="s">
        <v>396</v>
      </c>
      <c r="C1387" t="s">
        <v>3379</v>
      </c>
      <c r="D1387" t="s">
        <v>385</v>
      </c>
      <c r="E1387" s="133">
        <v>45841</v>
      </c>
      <c r="F1387" s="2">
        <v>5.768518518518518E-2</v>
      </c>
      <c r="G1387">
        <v>1</v>
      </c>
      <c r="H1387" s="133">
        <v>45840</v>
      </c>
      <c r="I1387" s="2">
        <v>0.55768518518518517</v>
      </c>
      <c r="J1387">
        <v>13</v>
      </c>
      <c r="R1387" t="s">
        <v>30</v>
      </c>
      <c r="W1387">
        <v>1</v>
      </c>
      <c r="X1387" t="s">
        <v>30</v>
      </c>
      <c r="AC1387" t="s">
        <v>3380</v>
      </c>
      <c r="AE1387" s="135"/>
    </row>
    <row r="1388" spans="1:31" ht="12.5" customHeight="1" x14ac:dyDescent="0.35">
      <c r="A1388" t="s">
        <v>396</v>
      </c>
      <c r="C1388" t="s">
        <v>3381</v>
      </c>
      <c r="D1388" t="s">
        <v>385</v>
      </c>
      <c r="E1388" s="133">
        <v>45841</v>
      </c>
      <c r="F1388" s="2">
        <v>5.7754629629629628E-2</v>
      </c>
      <c r="G1388">
        <v>1</v>
      </c>
      <c r="H1388" s="133">
        <v>45840</v>
      </c>
      <c r="I1388" s="2">
        <v>0.55775462962962963</v>
      </c>
      <c r="J1388">
        <v>13</v>
      </c>
      <c r="R1388" t="s">
        <v>30</v>
      </c>
      <c r="W1388">
        <v>1</v>
      </c>
      <c r="X1388" t="s">
        <v>30</v>
      </c>
      <c r="AC1388" t="s">
        <v>3382</v>
      </c>
      <c r="AE1388" s="135"/>
    </row>
    <row r="1389" spans="1:31" ht="12.5" customHeight="1" x14ac:dyDescent="0.35">
      <c r="A1389" t="s">
        <v>396</v>
      </c>
      <c r="C1389" t="s">
        <v>3383</v>
      </c>
      <c r="D1389" t="s">
        <v>385</v>
      </c>
      <c r="E1389" s="133">
        <v>45841</v>
      </c>
      <c r="F1389" s="2">
        <v>5.7824074074074076E-2</v>
      </c>
      <c r="G1389">
        <v>1</v>
      </c>
      <c r="H1389" s="133">
        <v>45840</v>
      </c>
      <c r="I1389" s="2">
        <v>0.55782407407407408</v>
      </c>
      <c r="J1389">
        <v>13</v>
      </c>
      <c r="R1389" t="s">
        <v>30</v>
      </c>
      <c r="W1389">
        <v>1</v>
      </c>
      <c r="X1389" t="s">
        <v>30</v>
      </c>
      <c r="AC1389" t="s">
        <v>3384</v>
      </c>
      <c r="AE1389" s="135"/>
    </row>
    <row r="1390" spans="1:31" ht="12.5" customHeight="1" x14ac:dyDescent="0.35">
      <c r="A1390" t="s">
        <v>396</v>
      </c>
      <c r="C1390" t="s">
        <v>3385</v>
      </c>
      <c r="D1390" t="s">
        <v>385</v>
      </c>
      <c r="E1390" s="133">
        <v>45841</v>
      </c>
      <c r="F1390" s="2">
        <v>5.7916666666666665E-2</v>
      </c>
      <c r="G1390">
        <v>1</v>
      </c>
      <c r="H1390" s="133">
        <v>45840</v>
      </c>
      <c r="I1390" s="2">
        <v>0.55791666666666673</v>
      </c>
      <c r="J1390">
        <v>13</v>
      </c>
      <c r="R1390" t="s">
        <v>30</v>
      </c>
      <c r="W1390">
        <v>1</v>
      </c>
      <c r="X1390" t="s">
        <v>30</v>
      </c>
      <c r="AC1390" t="s">
        <v>3386</v>
      </c>
      <c r="AE1390" s="135"/>
    </row>
    <row r="1391" spans="1:31" ht="12.5" customHeight="1" x14ac:dyDescent="0.35">
      <c r="A1391" t="s">
        <v>396</v>
      </c>
      <c r="C1391" t="s">
        <v>3387</v>
      </c>
      <c r="D1391" t="s">
        <v>385</v>
      </c>
      <c r="E1391" s="133">
        <v>45841</v>
      </c>
      <c r="F1391" s="2">
        <v>5.7986111111111106E-2</v>
      </c>
      <c r="G1391">
        <v>1</v>
      </c>
      <c r="H1391" s="133">
        <v>45840</v>
      </c>
      <c r="I1391" s="2">
        <v>0.55798611111111118</v>
      </c>
      <c r="J1391">
        <v>13</v>
      </c>
      <c r="R1391" t="s">
        <v>30</v>
      </c>
      <c r="W1391">
        <v>1</v>
      </c>
      <c r="X1391" t="s">
        <v>30</v>
      </c>
      <c r="AC1391" t="s">
        <v>3388</v>
      </c>
      <c r="AE1391" s="135"/>
    </row>
    <row r="1392" spans="1:31" ht="12.5" customHeight="1" x14ac:dyDescent="0.35">
      <c r="A1392" t="s">
        <v>396</v>
      </c>
      <c r="C1392" t="s">
        <v>3389</v>
      </c>
      <c r="D1392" t="s">
        <v>385</v>
      </c>
      <c r="E1392" s="133">
        <v>45841</v>
      </c>
      <c r="F1392" s="2">
        <v>5.8055555555555555E-2</v>
      </c>
      <c r="G1392">
        <v>1</v>
      </c>
      <c r="H1392" s="133">
        <v>45840</v>
      </c>
      <c r="I1392" s="2">
        <v>0.55805555555555553</v>
      </c>
      <c r="J1392">
        <v>13</v>
      </c>
      <c r="R1392" t="s">
        <v>30</v>
      </c>
      <c r="W1392">
        <v>1</v>
      </c>
      <c r="X1392" t="s">
        <v>30</v>
      </c>
      <c r="AC1392" t="s">
        <v>3390</v>
      </c>
      <c r="AE1392" s="135"/>
    </row>
    <row r="1393" spans="1:31" ht="12.5" customHeight="1" x14ac:dyDescent="0.35">
      <c r="A1393" t="s">
        <v>396</v>
      </c>
      <c r="C1393" t="s">
        <v>3391</v>
      </c>
      <c r="D1393" t="s">
        <v>385</v>
      </c>
      <c r="E1393" s="133">
        <v>45841</v>
      </c>
      <c r="F1393" s="2">
        <v>5.814814814814815E-2</v>
      </c>
      <c r="G1393">
        <v>1</v>
      </c>
      <c r="H1393" s="133">
        <v>45840</v>
      </c>
      <c r="I1393" s="2">
        <v>0.55814814814814817</v>
      </c>
      <c r="J1393">
        <v>13</v>
      </c>
      <c r="R1393" t="s">
        <v>30</v>
      </c>
      <c r="W1393">
        <v>1</v>
      </c>
      <c r="X1393" t="s">
        <v>30</v>
      </c>
      <c r="AC1393" t="s">
        <v>3392</v>
      </c>
      <c r="AE1393" s="135"/>
    </row>
    <row r="1394" spans="1:31" ht="12.5" customHeight="1" x14ac:dyDescent="0.35">
      <c r="A1394" t="s">
        <v>396</v>
      </c>
      <c r="C1394" t="s">
        <v>3393</v>
      </c>
      <c r="D1394" t="s">
        <v>385</v>
      </c>
      <c r="E1394" s="133">
        <v>45841</v>
      </c>
      <c r="F1394" s="2">
        <v>5.8240740740740739E-2</v>
      </c>
      <c r="G1394">
        <v>1</v>
      </c>
      <c r="H1394" s="133">
        <v>45840</v>
      </c>
      <c r="I1394" s="2">
        <v>0.5582407407407407</v>
      </c>
      <c r="J1394">
        <v>13</v>
      </c>
      <c r="R1394" t="s">
        <v>30</v>
      </c>
      <c r="W1394">
        <v>1</v>
      </c>
      <c r="X1394" t="s">
        <v>30</v>
      </c>
      <c r="AC1394" t="s">
        <v>3394</v>
      </c>
      <c r="AE1394" s="135"/>
    </row>
    <row r="1395" spans="1:31" ht="12.5" customHeight="1" x14ac:dyDescent="0.35">
      <c r="A1395" t="s">
        <v>396</v>
      </c>
      <c r="C1395" t="s">
        <v>3395</v>
      </c>
      <c r="D1395" t="s">
        <v>385</v>
      </c>
      <c r="E1395" s="133">
        <v>45841</v>
      </c>
      <c r="F1395" s="2">
        <v>5.8310185185185187E-2</v>
      </c>
      <c r="G1395">
        <v>1</v>
      </c>
      <c r="H1395" s="133">
        <v>45840</v>
      </c>
      <c r="I1395" s="2">
        <v>0.55831018518518516</v>
      </c>
      <c r="J1395">
        <v>13</v>
      </c>
      <c r="R1395" t="s">
        <v>30</v>
      </c>
      <c r="W1395">
        <v>1</v>
      </c>
      <c r="X1395" t="s">
        <v>30</v>
      </c>
      <c r="AC1395" t="s">
        <v>3396</v>
      </c>
      <c r="AE1395" s="135"/>
    </row>
    <row r="1396" spans="1:31" ht="12.5" customHeight="1" x14ac:dyDescent="0.35">
      <c r="A1396" t="s">
        <v>396</v>
      </c>
      <c r="C1396" t="s">
        <v>3397</v>
      </c>
      <c r="D1396" t="s">
        <v>385</v>
      </c>
      <c r="E1396" s="133">
        <v>45841</v>
      </c>
      <c r="F1396" s="2">
        <v>5.8402777777777776E-2</v>
      </c>
      <c r="G1396">
        <v>1</v>
      </c>
      <c r="H1396" s="133">
        <v>45840</v>
      </c>
      <c r="I1396" s="2">
        <v>0.5584027777777778</v>
      </c>
      <c r="J1396">
        <v>13</v>
      </c>
      <c r="R1396" t="s">
        <v>30</v>
      </c>
      <c r="W1396">
        <v>1</v>
      </c>
      <c r="X1396" t="s">
        <v>30</v>
      </c>
      <c r="AC1396" t="s">
        <v>3398</v>
      </c>
      <c r="AE1396" s="135"/>
    </row>
    <row r="1397" spans="1:31" ht="12.5" customHeight="1" x14ac:dyDescent="0.35">
      <c r="A1397" t="s">
        <v>396</v>
      </c>
      <c r="C1397" t="s">
        <v>3399</v>
      </c>
      <c r="D1397" t="s">
        <v>385</v>
      </c>
      <c r="E1397" s="133">
        <v>45841</v>
      </c>
      <c r="F1397" s="2">
        <v>5.8472222222222224E-2</v>
      </c>
      <c r="G1397">
        <v>1</v>
      </c>
      <c r="H1397" s="133">
        <v>45840</v>
      </c>
      <c r="I1397" s="2">
        <v>0.55847222222222215</v>
      </c>
      <c r="J1397">
        <v>13</v>
      </c>
      <c r="R1397" t="s">
        <v>30</v>
      </c>
      <c r="W1397">
        <v>1</v>
      </c>
      <c r="X1397" t="s">
        <v>30</v>
      </c>
      <c r="AC1397" t="s">
        <v>3400</v>
      </c>
      <c r="AE1397" s="135"/>
    </row>
    <row r="1398" spans="1:31" ht="12.5" customHeight="1" x14ac:dyDescent="0.35">
      <c r="A1398" t="s">
        <v>396</v>
      </c>
      <c r="C1398" t="s">
        <v>3401</v>
      </c>
      <c r="D1398" t="s">
        <v>385</v>
      </c>
      <c r="E1398" s="133">
        <v>45841</v>
      </c>
      <c r="F1398" s="2">
        <v>5.8541666666666665E-2</v>
      </c>
      <c r="G1398">
        <v>1</v>
      </c>
      <c r="H1398" s="133">
        <v>45840</v>
      </c>
      <c r="I1398" s="2">
        <v>0.5585416666666666</v>
      </c>
      <c r="J1398">
        <v>13</v>
      </c>
      <c r="R1398" t="s">
        <v>30</v>
      </c>
      <c r="W1398">
        <v>1</v>
      </c>
      <c r="X1398" t="s">
        <v>30</v>
      </c>
      <c r="AC1398" t="s">
        <v>3402</v>
      </c>
      <c r="AE1398" s="135"/>
    </row>
    <row r="1399" spans="1:31" ht="12.5" customHeight="1" x14ac:dyDescent="0.35">
      <c r="A1399" t="s">
        <v>396</v>
      </c>
      <c r="C1399" t="s">
        <v>3403</v>
      </c>
      <c r="D1399" t="s">
        <v>385</v>
      </c>
      <c r="E1399" s="133">
        <v>45841</v>
      </c>
      <c r="F1399" s="2">
        <v>5.8634259259259254E-2</v>
      </c>
      <c r="G1399">
        <v>1</v>
      </c>
      <c r="H1399" s="133">
        <v>45840</v>
      </c>
      <c r="I1399" s="2">
        <v>0.55863425925925925</v>
      </c>
      <c r="J1399">
        <v>13</v>
      </c>
      <c r="R1399" t="s">
        <v>30</v>
      </c>
      <c r="W1399">
        <v>1</v>
      </c>
      <c r="X1399" t="s">
        <v>30</v>
      </c>
      <c r="AC1399" t="s">
        <v>3404</v>
      </c>
      <c r="AE1399" s="135"/>
    </row>
    <row r="1400" spans="1:31" ht="12.5" customHeight="1" x14ac:dyDescent="0.35">
      <c r="A1400" t="s">
        <v>396</v>
      </c>
      <c r="C1400" t="s">
        <v>3405</v>
      </c>
      <c r="D1400" t="s">
        <v>385</v>
      </c>
      <c r="E1400" s="133">
        <v>45841</v>
      </c>
      <c r="F1400" s="2">
        <v>5.8703703703703702E-2</v>
      </c>
      <c r="G1400">
        <v>1</v>
      </c>
      <c r="H1400" s="133">
        <v>45840</v>
      </c>
      <c r="I1400" s="2">
        <v>0.5587037037037037</v>
      </c>
      <c r="J1400">
        <v>13</v>
      </c>
      <c r="R1400" t="s">
        <v>30</v>
      </c>
      <c r="W1400">
        <v>1</v>
      </c>
      <c r="X1400" t="s">
        <v>30</v>
      </c>
      <c r="AC1400" t="s">
        <v>3406</v>
      </c>
      <c r="AE1400" s="135"/>
    </row>
    <row r="1401" spans="1:31" ht="12.5" customHeight="1" x14ac:dyDescent="0.35">
      <c r="A1401" t="s">
        <v>396</v>
      </c>
      <c r="C1401" t="s">
        <v>3407</v>
      </c>
      <c r="D1401" t="s">
        <v>385</v>
      </c>
      <c r="E1401" s="133">
        <v>45841</v>
      </c>
      <c r="F1401" s="2">
        <v>5.8796296296296298E-2</v>
      </c>
      <c r="G1401">
        <v>1</v>
      </c>
      <c r="H1401" s="133">
        <v>45840</v>
      </c>
      <c r="I1401" s="2">
        <v>0.55879629629629635</v>
      </c>
      <c r="J1401">
        <v>13</v>
      </c>
      <c r="R1401" t="s">
        <v>30</v>
      </c>
      <c r="W1401">
        <v>1</v>
      </c>
      <c r="X1401" t="s">
        <v>30</v>
      </c>
      <c r="AC1401" t="s">
        <v>3408</v>
      </c>
      <c r="AE1401" s="135"/>
    </row>
    <row r="1402" spans="1:31" ht="12.5" customHeight="1" x14ac:dyDescent="0.35">
      <c r="A1402" t="s">
        <v>396</v>
      </c>
      <c r="C1402" t="s">
        <v>3409</v>
      </c>
      <c r="D1402" t="s">
        <v>385</v>
      </c>
      <c r="E1402" s="133">
        <v>45841</v>
      </c>
      <c r="F1402" s="2">
        <v>5.8865740740740739E-2</v>
      </c>
      <c r="G1402">
        <v>1</v>
      </c>
      <c r="H1402" s="133">
        <v>45840</v>
      </c>
      <c r="I1402" s="2">
        <v>0.5588657407407408</v>
      </c>
      <c r="J1402">
        <v>13</v>
      </c>
      <c r="R1402" t="s">
        <v>30</v>
      </c>
      <c r="W1402">
        <v>1</v>
      </c>
      <c r="X1402" t="s">
        <v>30</v>
      </c>
      <c r="AC1402" t="s">
        <v>3410</v>
      </c>
      <c r="AE1402" s="135"/>
    </row>
    <row r="1403" spans="1:31" ht="12.5" customHeight="1" x14ac:dyDescent="0.35">
      <c r="A1403" t="s">
        <v>396</v>
      </c>
      <c r="C1403" t="s">
        <v>3411</v>
      </c>
      <c r="D1403" t="s">
        <v>385</v>
      </c>
      <c r="E1403" s="133">
        <v>45841</v>
      </c>
      <c r="F1403" s="2">
        <v>5.8935185185185181E-2</v>
      </c>
      <c r="G1403">
        <v>1</v>
      </c>
      <c r="H1403" s="133">
        <v>45840</v>
      </c>
      <c r="I1403" s="2">
        <v>0.55893518518518526</v>
      </c>
      <c r="J1403">
        <v>13</v>
      </c>
      <c r="R1403" t="s">
        <v>30</v>
      </c>
      <c r="W1403">
        <v>1</v>
      </c>
      <c r="X1403" t="s">
        <v>30</v>
      </c>
      <c r="AC1403" t="s">
        <v>3412</v>
      </c>
      <c r="AE1403" s="135"/>
    </row>
    <row r="1404" spans="1:31" ht="12.5" customHeight="1" x14ac:dyDescent="0.35">
      <c r="A1404" t="s">
        <v>396</v>
      </c>
      <c r="C1404" t="s">
        <v>3413</v>
      </c>
      <c r="D1404" t="s">
        <v>385</v>
      </c>
      <c r="E1404" s="133">
        <v>45841</v>
      </c>
      <c r="F1404" s="2">
        <v>5.9004629629629629E-2</v>
      </c>
      <c r="G1404">
        <v>1</v>
      </c>
      <c r="H1404" s="133">
        <v>45840</v>
      </c>
      <c r="I1404" s="2">
        <v>0.5590046296296296</v>
      </c>
      <c r="J1404">
        <v>13</v>
      </c>
      <c r="R1404" t="s">
        <v>30</v>
      </c>
      <c r="W1404">
        <v>1</v>
      </c>
      <c r="X1404" t="s">
        <v>30</v>
      </c>
      <c r="AC1404" t="s">
        <v>3414</v>
      </c>
      <c r="AE1404" s="135"/>
    </row>
    <row r="1405" spans="1:31" ht="12.5" customHeight="1" x14ac:dyDescent="0.35">
      <c r="A1405" t="s">
        <v>396</v>
      </c>
      <c r="C1405" t="s">
        <v>3415</v>
      </c>
      <c r="D1405" t="s">
        <v>385</v>
      </c>
      <c r="E1405" s="133">
        <v>45841</v>
      </c>
      <c r="F1405" s="2">
        <v>5.9097222222222225E-2</v>
      </c>
      <c r="G1405">
        <v>1</v>
      </c>
      <c r="H1405" s="133">
        <v>45840</v>
      </c>
      <c r="I1405" s="2">
        <v>0.55909722222222225</v>
      </c>
      <c r="J1405">
        <v>13</v>
      </c>
      <c r="R1405" t="s">
        <v>30</v>
      </c>
      <c r="W1405">
        <v>1</v>
      </c>
      <c r="X1405" t="s">
        <v>30</v>
      </c>
      <c r="AC1405" t="s">
        <v>3416</v>
      </c>
      <c r="AE1405" s="135"/>
    </row>
    <row r="1406" spans="1:31" ht="12.5" customHeight="1" x14ac:dyDescent="0.35">
      <c r="A1406" t="s">
        <v>396</v>
      </c>
      <c r="C1406" t="s">
        <v>3417</v>
      </c>
      <c r="D1406" t="s">
        <v>385</v>
      </c>
      <c r="E1406" s="133">
        <v>45841</v>
      </c>
      <c r="F1406" s="2">
        <v>5.9166666666666666E-2</v>
      </c>
      <c r="G1406">
        <v>1</v>
      </c>
      <c r="H1406" s="133">
        <v>45840</v>
      </c>
      <c r="I1406" s="2">
        <v>0.5591666666666667</v>
      </c>
      <c r="J1406">
        <v>13</v>
      </c>
      <c r="R1406" t="s">
        <v>30</v>
      </c>
      <c r="W1406">
        <v>1</v>
      </c>
      <c r="X1406" t="s">
        <v>30</v>
      </c>
      <c r="AC1406" t="s">
        <v>3418</v>
      </c>
      <c r="AE1406" s="135"/>
    </row>
    <row r="1407" spans="1:31" ht="12.5" customHeight="1" x14ac:dyDescent="0.35">
      <c r="A1407" t="s">
        <v>396</v>
      </c>
      <c r="C1407" t="s">
        <v>3419</v>
      </c>
      <c r="D1407" t="s">
        <v>385</v>
      </c>
      <c r="E1407" s="133">
        <v>45841</v>
      </c>
      <c r="F1407" s="2">
        <v>5.9259259259259262E-2</v>
      </c>
      <c r="G1407">
        <v>1</v>
      </c>
      <c r="H1407" s="133">
        <v>45840</v>
      </c>
      <c r="I1407" s="2">
        <v>0.55925925925925923</v>
      </c>
      <c r="J1407">
        <v>13</v>
      </c>
      <c r="R1407" t="s">
        <v>30</v>
      </c>
      <c r="W1407">
        <v>1</v>
      </c>
      <c r="X1407" t="s">
        <v>30</v>
      </c>
      <c r="AC1407" t="s">
        <v>3420</v>
      </c>
      <c r="AE1407" s="135"/>
    </row>
    <row r="1408" spans="1:31" ht="12.5" customHeight="1" x14ac:dyDescent="0.35">
      <c r="A1408" t="s">
        <v>396</v>
      </c>
      <c r="C1408" t="s">
        <v>3421</v>
      </c>
      <c r="D1408" t="s">
        <v>385</v>
      </c>
      <c r="E1408" s="133">
        <v>45841</v>
      </c>
      <c r="F1408" s="2">
        <v>5.932870370370371E-2</v>
      </c>
      <c r="G1408">
        <v>1</v>
      </c>
      <c r="H1408" s="133">
        <v>45840</v>
      </c>
      <c r="I1408" s="2">
        <v>0.55932870370370369</v>
      </c>
      <c r="J1408">
        <v>13</v>
      </c>
      <c r="R1408" t="s">
        <v>30</v>
      </c>
      <c r="W1408">
        <v>1</v>
      </c>
      <c r="X1408" t="s">
        <v>30</v>
      </c>
      <c r="AC1408" t="s">
        <v>3422</v>
      </c>
      <c r="AE1408" s="135"/>
    </row>
    <row r="1409" spans="1:31" ht="12.5" customHeight="1" x14ac:dyDescent="0.35">
      <c r="A1409" t="s">
        <v>396</v>
      </c>
      <c r="C1409" t="s">
        <v>3423</v>
      </c>
      <c r="D1409" t="s">
        <v>385</v>
      </c>
      <c r="E1409" s="133">
        <v>45841</v>
      </c>
      <c r="F1409" s="2">
        <v>5.9398148148148144E-2</v>
      </c>
      <c r="G1409">
        <v>1</v>
      </c>
      <c r="H1409" s="133">
        <v>45840</v>
      </c>
      <c r="I1409" s="2">
        <v>0.55939814814814814</v>
      </c>
      <c r="J1409">
        <v>13</v>
      </c>
      <c r="R1409" t="s">
        <v>30</v>
      </c>
      <c r="W1409">
        <v>1</v>
      </c>
      <c r="X1409" t="s">
        <v>30</v>
      </c>
      <c r="AC1409" t="s">
        <v>3424</v>
      </c>
      <c r="AE1409" s="135"/>
    </row>
    <row r="1410" spans="1:31" ht="12.5" customHeight="1" x14ac:dyDescent="0.35">
      <c r="A1410" t="s">
        <v>396</v>
      </c>
      <c r="C1410" t="s">
        <v>3425</v>
      </c>
      <c r="D1410" t="s">
        <v>385</v>
      </c>
      <c r="E1410" s="133">
        <v>45841</v>
      </c>
      <c r="F1410" s="2">
        <v>5.949074074074074E-2</v>
      </c>
      <c r="G1410">
        <v>1</v>
      </c>
      <c r="H1410" s="133">
        <v>45840</v>
      </c>
      <c r="I1410" s="2">
        <v>0.55949074074074068</v>
      </c>
      <c r="J1410">
        <v>13</v>
      </c>
      <c r="R1410" t="s">
        <v>30</v>
      </c>
      <c r="W1410">
        <v>1</v>
      </c>
      <c r="X1410" t="s">
        <v>30</v>
      </c>
      <c r="AC1410" t="s">
        <v>3426</v>
      </c>
      <c r="AE1410" s="135"/>
    </row>
    <row r="1411" spans="1:31" ht="12.5" customHeight="1" x14ac:dyDescent="0.35">
      <c r="A1411" t="s">
        <v>396</v>
      </c>
      <c r="C1411" t="s">
        <v>3427</v>
      </c>
      <c r="D1411" t="s">
        <v>385</v>
      </c>
      <c r="E1411" s="133">
        <v>45841</v>
      </c>
      <c r="F1411" s="2">
        <v>5.9560185185185188E-2</v>
      </c>
      <c r="G1411">
        <v>1</v>
      </c>
      <c r="H1411" s="133">
        <v>45840</v>
      </c>
      <c r="I1411" s="2">
        <v>0.55956018518518513</v>
      </c>
      <c r="J1411">
        <v>13</v>
      </c>
      <c r="R1411" t="s">
        <v>30</v>
      </c>
      <c r="W1411">
        <v>1</v>
      </c>
      <c r="X1411" t="s">
        <v>30</v>
      </c>
      <c r="AC1411" t="s">
        <v>3428</v>
      </c>
      <c r="AE1411" s="135"/>
    </row>
    <row r="1412" spans="1:31" ht="12.5" customHeight="1" x14ac:dyDescent="0.35">
      <c r="A1412" t="s">
        <v>396</v>
      </c>
      <c r="C1412" t="s">
        <v>3429</v>
      </c>
      <c r="D1412" t="s">
        <v>385</v>
      </c>
      <c r="E1412" s="133">
        <v>45841</v>
      </c>
      <c r="F1412" s="2">
        <v>5.9629629629629623E-2</v>
      </c>
      <c r="G1412">
        <v>1</v>
      </c>
      <c r="H1412" s="133">
        <v>45840</v>
      </c>
      <c r="I1412" s="2">
        <v>0.55962962962962959</v>
      </c>
      <c r="J1412">
        <v>13</v>
      </c>
      <c r="R1412" t="s">
        <v>30</v>
      </c>
      <c r="W1412">
        <v>1</v>
      </c>
      <c r="X1412" t="s">
        <v>30</v>
      </c>
      <c r="AC1412" t="s">
        <v>3430</v>
      </c>
      <c r="AE1412" s="135"/>
    </row>
    <row r="1413" spans="1:31" ht="12.5" customHeight="1" x14ac:dyDescent="0.35">
      <c r="A1413" t="s">
        <v>396</v>
      </c>
      <c r="C1413" t="s">
        <v>3431</v>
      </c>
      <c r="D1413" t="s">
        <v>385</v>
      </c>
      <c r="E1413" s="133">
        <v>45841</v>
      </c>
      <c r="F1413" s="2">
        <v>5.9722222222222225E-2</v>
      </c>
      <c r="G1413">
        <v>1</v>
      </c>
      <c r="H1413" s="133">
        <v>45840</v>
      </c>
      <c r="I1413" s="2">
        <v>0.55972222222222223</v>
      </c>
      <c r="J1413">
        <v>13</v>
      </c>
      <c r="R1413" t="s">
        <v>30</v>
      </c>
      <c r="W1413">
        <v>1</v>
      </c>
      <c r="X1413" t="s">
        <v>30</v>
      </c>
      <c r="AC1413" t="s">
        <v>3432</v>
      </c>
      <c r="AE1413" s="135"/>
    </row>
    <row r="1414" spans="1:31" ht="12.5" customHeight="1" x14ac:dyDescent="0.35">
      <c r="A1414" t="s">
        <v>396</v>
      </c>
      <c r="C1414" t="s">
        <v>3433</v>
      </c>
      <c r="D1414" t="s">
        <v>385</v>
      </c>
      <c r="E1414" s="133">
        <v>45841</v>
      </c>
      <c r="F1414" s="2">
        <v>5.9791666666666667E-2</v>
      </c>
      <c r="G1414">
        <v>1</v>
      </c>
      <c r="H1414" s="133">
        <v>45840</v>
      </c>
      <c r="I1414" s="2">
        <v>0.55979166666666669</v>
      </c>
      <c r="J1414">
        <v>13</v>
      </c>
      <c r="R1414" t="s">
        <v>30</v>
      </c>
      <c r="W1414">
        <v>1</v>
      </c>
      <c r="X1414" t="s">
        <v>30</v>
      </c>
      <c r="AC1414" t="s">
        <v>3434</v>
      </c>
      <c r="AE1414" s="135"/>
    </row>
    <row r="1415" spans="1:31" ht="12.5" customHeight="1" x14ac:dyDescent="0.35">
      <c r="A1415" t="s">
        <v>396</v>
      </c>
      <c r="C1415" t="s">
        <v>3435</v>
      </c>
      <c r="D1415" t="s">
        <v>385</v>
      </c>
      <c r="E1415" s="133">
        <v>45841</v>
      </c>
      <c r="F1415" s="2">
        <v>5.9861111111111108E-2</v>
      </c>
      <c r="G1415">
        <v>1</v>
      </c>
      <c r="H1415" s="133">
        <v>45840</v>
      </c>
      <c r="I1415" s="2">
        <v>0.55986111111111114</v>
      </c>
      <c r="J1415">
        <v>13</v>
      </c>
      <c r="R1415" t="s">
        <v>30</v>
      </c>
      <c r="W1415">
        <v>1</v>
      </c>
      <c r="X1415" t="s">
        <v>30</v>
      </c>
      <c r="AC1415" t="s">
        <v>3436</v>
      </c>
      <c r="AE1415" s="135"/>
    </row>
    <row r="1416" spans="1:31" ht="12.5" customHeight="1" x14ac:dyDescent="0.35">
      <c r="A1416" t="s">
        <v>396</v>
      </c>
      <c r="C1416" t="s">
        <v>3437</v>
      </c>
      <c r="D1416" t="s">
        <v>385</v>
      </c>
      <c r="E1416" s="133">
        <v>45841</v>
      </c>
      <c r="F1416" s="2">
        <v>5.9953703703703703E-2</v>
      </c>
      <c r="G1416">
        <v>1</v>
      </c>
      <c r="H1416" s="133">
        <v>45840</v>
      </c>
      <c r="I1416" s="2">
        <v>0.55995370370370368</v>
      </c>
      <c r="J1416">
        <v>13</v>
      </c>
      <c r="R1416" t="s">
        <v>30</v>
      </c>
      <c r="W1416">
        <v>1</v>
      </c>
      <c r="X1416" t="s">
        <v>30</v>
      </c>
      <c r="AC1416" t="s">
        <v>3438</v>
      </c>
      <c r="AE1416" s="135"/>
    </row>
    <row r="1417" spans="1:31" ht="12.5" customHeight="1" x14ac:dyDescent="0.35">
      <c r="A1417" t="s">
        <v>396</v>
      </c>
      <c r="C1417" t="s">
        <v>3439</v>
      </c>
      <c r="D1417" t="s">
        <v>385</v>
      </c>
      <c r="E1417" s="133">
        <v>45841</v>
      </c>
      <c r="F1417" s="2">
        <v>6.0023148148148152E-2</v>
      </c>
      <c r="G1417">
        <v>1</v>
      </c>
      <c r="H1417" s="133">
        <v>45840</v>
      </c>
      <c r="I1417" s="2">
        <v>0.56002314814814813</v>
      </c>
      <c r="J1417">
        <v>13</v>
      </c>
      <c r="R1417" t="s">
        <v>30</v>
      </c>
      <c r="W1417">
        <v>1</v>
      </c>
      <c r="X1417" t="s">
        <v>30</v>
      </c>
      <c r="AC1417" t="s">
        <v>3440</v>
      </c>
      <c r="AE1417" s="135"/>
    </row>
    <row r="1418" spans="1:31" ht="12.5" customHeight="1" x14ac:dyDescent="0.35">
      <c r="A1418" t="s">
        <v>396</v>
      </c>
      <c r="C1418" t="s">
        <v>3441</v>
      </c>
      <c r="D1418" t="s">
        <v>385</v>
      </c>
      <c r="E1418" s="133">
        <v>45841</v>
      </c>
      <c r="F1418" s="2">
        <v>6.0092592592592593E-2</v>
      </c>
      <c r="G1418">
        <v>1</v>
      </c>
      <c r="H1418" s="133">
        <v>45840</v>
      </c>
      <c r="I1418" s="2">
        <v>0.56009259259259259</v>
      </c>
      <c r="J1418">
        <v>13</v>
      </c>
      <c r="R1418" t="s">
        <v>30</v>
      </c>
      <c r="W1418">
        <v>1</v>
      </c>
      <c r="X1418" t="s">
        <v>30</v>
      </c>
      <c r="AC1418" t="s">
        <v>3442</v>
      </c>
      <c r="AE1418" s="135"/>
    </row>
    <row r="1419" spans="1:31" ht="12.5" customHeight="1" x14ac:dyDescent="0.35">
      <c r="A1419" t="s">
        <v>396</v>
      </c>
      <c r="C1419" t="s">
        <v>3443</v>
      </c>
      <c r="D1419" t="s">
        <v>385</v>
      </c>
      <c r="E1419" s="133">
        <v>45841</v>
      </c>
      <c r="F1419" s="2">
        <v>6.0162037037037042E-2</v>
      </c>
      <c r="G1419">
        <v>1</v>
      </c>
      <c r="H1419" s="133">
        <v>45840</v>
      </c>
      <c r="I1419" s="2">
        <v>0.56016203703703704</v>
      </c>
      <c r="J1419">
        <v>13</v>
      </c>
      <c r="R1419" t="s">
        <v>30</v>
      </c>
      <c r="W1419">
        <v>1</v>
      </c>
      <c r="X1419" t="s">
        <v>30</v>
      </c>
      <c r="AC1419" t="s">
        <v>3444</v>
      </c>
      <c r="AE1419" s="135"/>
    </row>
    <row r="1420" spans="1:31" ht="12.5" customHeight="1" x14ac:dyDescent="0.35">
      <c r="A1420" t="s">
        <v>396</v>
      </c>
      <c r="C1420" t="s">
        <v>3445</v>
      </c>
      <c r="D1420" t="s">
        <v>385</v>
      </c>
      <c r="E1420" s="133">
        <v>45841</v>
      </c>
      <c r="F1420" s="2">
        <v>6.025462962962963E-2</v>
      </c>
      <c r="G1420">
        <v>1</v>
      </c>
      <c r="H1420" s="133">
        <v>45840</v>
      </c>
      <c r="I1420" s="2">
        <v>0.56025462962962969</v>
      </c>
      <c r="J1420">
        <v>13</v>
      </c>
      <c r="R1420" t="s">
        <v>30</v>
      </c>
      <c r="W1420">
        <v>1</v>
      </c>
      <c r="X1420" t="s">
        <v>30</v>
      </c>
      <c r="AC1420" t="s">
        <v>3446</v>
      </c>
      <c r="AE1420" s="135"/>
    </row>
    <row r="1421" spans="1:31" ht="12.5" customHeight="1" x14ac:dyDescent="0.35">
      <c r="A1421" t="s">
        <v>396</v>
      </c>
      <c r="C1421" t="s">
        <v>3447</v>
      </c>
      <c r="D1421" t="s">
        <v>385</v>
      </c>
      <c r="E1421" s="133">
        <v>45841</v>
      </c>
      <c r="F1421" s="2">
        <v>6.0324074074074079E-2</v>
      </c>
      <c r="G1421">
        <v>1</v>
      </c>
      <c r="H1421" s="133">
        <v>45840</v>
      </c>
      <c r="I1421" s="2">
        <v>0.56032407407407414</v>
      </c>
      <c r="J1421">
        <v>13</v>
      </c>
      <c r="R1421" t="s">
        <v>30</v>
      </c>
      <c r="W1421">
        <v>1</v>
      </c>
      <c r="X1421" t="s">
        <v>30</v>
      </c>
      <c r="AC1421" t="s">
        <v>3448</v>
      </c>
      <c r="AE1421" s="135"/>
    </row>
    <row r="1422" spans="1:31" ht="12.5" customHeight="1" x14ac:dyDescent="0.35">
      <c r="A1422" t="s">
        <v>396</v>
      </c>
      <c r="C1422" t="s">
        <v>3449</v>
      </c>
      <c r="D1422" t="s">
        <v>385</v>
      </c>
      <c r="E1422" s="133">
        <v>45841</v>
      </c>
      <c r="F1422" s="2">
        <v>6.039351851851852E-2</v>
      </c>
      <c r="G1422">
        <v>1</v>
      </c>
      <c r="H1422" s="133">
        <v>45840</v>
      </c>
      <c r="I1422" s="2">
        <v>0.56039351851851849</v>
      </c>
      <c r="J1422">
        <v>13</v>
      </c>
      <c r="R1422" t="s">
        <v>30</v>
      </c>
      <c r="W1422">
        <v>1</v>
      </c>
      <c r="X1422" t="s">
        <v>30</v>
      </c>
      <c r="AC1422" t="s">
        <v>3450</v>
      </c>
      <c r="AE1422" s="135"/>
    </row>
    <row r="1423" spans="1:31" ht="12.5" customHeight="1" x14ac:dyDescent="0.35">
      <c r="A1423" t="s">
        <v>396</v>
      </c>
      <c r="C1423" t="s">
        <v>3451</v>
      </c>
      <c r="D1423" t="s">
        <v>385</v>
      </c>
      <c r="E1423" s="133">
        <v>45841</v>
      </c>
      <c r="F1423" s="2">
        <v>6.0462962962962961E-2</v>
      </c>
      <c r="G1423">
        <v>1</v>
      </c>
      <c r="H1423" s="133">
        <v>45840</v>
      </c>
      <c r="I1423" s="2">
        <v>0.56046296296296294</v>
      </c>
      <c r="J1423">
        <v>13</v>
      </c>
      <c r="R1423" t="s">
        <v>30</v>
      </c>
      <c r="W1423">
        <v>1</v>
      </c>
      <c r="X1423" t="s">
        <v>30</v>
      </c>
      <c r="AC1423" t="s">
        <v>3452</v>
      </c>
      <c r="AE1423" s="135"/>
    </row>
    <row r="1424" spans="1:31" ht="12.5" customHeight="1" x14ac:dyDescent="0.35">
      <c r="A1424" t="s">
        <v>396</v>
      </c>
      <c r="C1424" t="s">
        <v>3453</v>
      </c>
      <c r="D1424" t="s">
        <v>385</v>
      </c>
      <c r="E1424" s="133">
        <v>45841</v>
      </c>
      <c r="F1424" s="2">
        <v>6.0555555555555557E-2</v>
      </c>
      <c r="G1424">
        <v>1</v>
      </c>
      <c r="H1424" s="133">
        <v>45840</v>
      </c>
      <c r="I1424" s="2">
        <v>0.56055555555555558</v>
      </c>
      <c r="J1424">
        <v>13</v>
      </c>
      <c r="R1424" t="s">
        <v>30</v>
      </c>
      <c r="W1424">
        <v>1</v>
      </c>
      <c r="X1424" t="s">
        <v>30</v>
      </c>
      <c r="AC1424" t="s">
        <v>3454</v>
      </c>
      <c r="AE1424" s="135"/>
    </row>
    <row r="1425" spans="1:31" ht="12.5" customHeight="1" x14ac:dyDescent="0.35">
      <c r="A1425" t="s">
        <v>396</v>
      </c>
      <c r="C1425" t="s">
        <v>3455</v>
      </c>
      <c r="D1425" t="s">
        <v>385</v>
      </c>
      <c r="E1425" s="133">
        <v>45841</v>
      </c>
      <c r="F1425" s="2">
        <v>6.0625000000000005E-2</v>
      </c>
      <c r="G1425">
        <v>1</v>
      </c>
      <c r="H1425" s="133">
        <v>45840</v>
      </c>
      <c r="I1425" s="2">
        <v>0.56062500000000004</v>
      </c>
      <c r="J1425">
        <v>13</v>
      </c>
      <c r="R1425" t="s">
        <v>30</v>
      </c>
      <c r="W1425">
        <v>1</v>
      </c>
      <c r="X1425" t="s">
        <v>30</v>
      </c>
      <c r="AC1425" t="s">
        <v>3456</v>
      </c>
      <c r="AE1425" s="135"/>
    </row>
    <row r="1426" spans="1:31" ht="12.5" customHeight="1" x14ac:dyDescent="0.35">
      <c r="A1426" t="s">
        <v>396</v>
      </c>
      <c r="C1426" t="s">
        <v>3457</v>
      </c>
      <c r="D1426" t="s">
        <v>385</v>
      </c>
      <c r="E1426" s="133">
        <v>45841</v>
      </c>
      <c r="F1426" s="2">
        <v>6.069444444444444E-2</v>
      </c>
      <c r="G1426">
        <v>1</v>
      </c>
      <c r="H1426" s="133">
        <v>45840</v>
      </c>
      <c r="I1426" s="2">
        <v>0.5606944444444445</v>
      </c>
      <c r="J1426">
        <v>13</v>
      </c>
      <c r="R1426" t="s">
        <v>30</v>
      </c>
      <c r="W1426">
        <v>1</v>
      </c>
      <c r="X1426" t="s">
        <v>30</v>
      </c>
      <c r="AC1426" t="s">
        <v>3458</v>
      </c>
      <c r="AE1426" s="135"/>
    </row>
    <row r="1427" spans="1:31" ht="12.5" customHeight="1" x14ac:dyDescent="0.35">
      <c r="A1427" t="s">
        <v>396</v>
      </c>
      <c r="C1427" t="s">
        <v>3459</v>
      </c>
      <c r="D1427" t="s">
        <v>385</v>
      </c>
      <c r="E1427" s="133">
        <v>45841</v>
      </c>
      <c r="F1427" s="2">
        <v>6.0763888888888888E-2</v>
      </c>
      <c r="G1427">
        <v>1</v>
      </c>
      <c r="H1427" s="133">
        <v>45840</v>
      </c>
      <c r="I1427" s="2">
        <v>0.56076388888888895</v>
      </c>
      <c r="J1427">
        <v>13</v>
      </c>
      <c r="R1427" t="s">
        <v>30</v>
      </c>
      <c r="W1427">
        <v>1</v>
      </c>
      <c r="X1427" t="s">
        <v>30</v>
      </c>
      <c r="AC1427" t="s">
        <v>3460</v>
      </c>
      <c r="AE1427" s="135"/>
    </row>
    <row r="1428" spans="1:31" ht="12.5" customHeight="1" x14ac:dyDescent="0.35">
      <c r="A1428" t="s">
        <v>396</v>
      </c>
      <c r="C1428" t="s">
        <v>3461</v>
      </c>
      <c r="D1428" t="s">
        <v>385</v>
      </c>
      <c r="E1428" s="133">
        <v>45841</v>
      </c>
      <c r="F1428" s="2">
        <v>6.0856481481481484E-2</v>
      </c>
      <c r="G1428">
        <v>1</v>
      </c>
      <c r="H1428" s="133">
        <v>45840</v>
      </c>
      <c r="I1428" s="2">
        <v>0.56085648148148148</v>
      </c>
      <c r="J1428">
        <v>13</v>
      </c>
      <c r="R1428" t="s">
        <v>30</v>
      </c>
      <c r="W1428">
        <v>1</v>
      </c>
      <c r="X1428" t="s">
        <v>30</v>
      </c>
      <c r="AC1428" t="s">
        <v>3462</v>
      </c>
      <c r="AE1428" s="135"/>
    </row>
    <row r="1429" spans="1:31" ht="12.5" customHeight="1" x14ac:dyDescent="0.35">
      <c r="A1429" t="s">
        <v>396</v>
      </c>
      <c r="C1429" t="s">
        <v>3463</v>
      </c>
      <c r="D1429" t="s">
        <v>385</v>
      </c>
      <c r="E1429" s="133">
        <v>45841</v>
      </c>
      <c r="F1429" s="2">
        <v>6.0925925925925932E-2</v>
      </c>
      <c r="G1429">
        <v>1</v>
      </c>
      <c r="H1429" s="133">
        <v>45840</v>
      </c>
      <c r="I1429" s="2">
        <v>0.56092592592592594</v>
      </c>
      <c r="J1429">
        <v>13</v>
      </c>
      <c r="R1429" t="s">
        <v>30</v>
      </c>
      <c r="W1429">
        <v>1</v>
      </c>
      <c r="X1429" t="s">
        <v>30</v>
      </c>
      <c r="AC1429" t="s">
        <v>3464</v>
      </c>
      <c r="AE1429" s="135"/>
    </row>
    <row r="1430" spans="1:31" ht="12.5" customHeight="1" x14ac:dyDescent="0.35">
      <c r="A1430" t="s">
        <v>396</v>
      </c>
      <c r="C1430" t="s">
        <v>3465</v>
      </c>
      <c r="D1430" t="s">
        <v>385</v>
      </c>
      <c r="E1430" s="133">
        <v>45841</v>
      </c>
      <c r="F1430" s="2">
        <v>6.0995370370370366E-2</v>
      </c>
      <c r="G1430">
        <v>1</v>
      </c>
      <c r="H1430" s="133">
        <v>45840</v>
      </c>
      <c r="I1430" s="2">
        <v>0.56099537037037039</v>
      </c>
      <c r="J1430">
        <v>13</v>
      </c>
      <c r="R1430" t="s">
        <v>30</v>
      </c>
      <c r="W1430">
        <v>1</v>
      </c>
      <c r="X1430" t="s">
        <v>30</v>
      </c>
      <c r="AC1430" t="s">
        <v>3466</v>
      </c>
      <c r="AE1430" s="135"/>
    </row>
    <row r="1431" spans="1:31" ht="12.5" customHeight="1" x14ac:dyDescent="0.35">
      <c r="A1431" t="s">
        <v>396</v>
      </c>
      <c r="C1431" t="s">
        <v>3467</v>
      </c>
      <c r="D1431" t="s">
        <v>385</v>
      </c>
      <c r="E1431" s="133">
        <v>45841</v>
      </c>
      <c r="F1431" s="2">
        <v>6.1064814814814815E-2</v>
      </c>
      <c r="G1431">
        <v>1</v>
      </c>
      <c r="H1431" s="133">
        <v>45840</v>
      </c>
      <c r="I1431" s="2">
        <v>0.56106481481481485</v>
      </c>
      <c r="J1431">
        <v>13</v>
      </c>
      <c r="R1431" t="s">
        <v>30</v>
      </c>
      <c r="W1431">
        <v>1</v>
      </c>
      <c r="X1431" t="s">
        <v>30</v>
      </c>
      <c r="AC1431" t="s">
        <v>3468</v>
      </c>
      <c r="AE1431" s="135"/>
    </row>
    <row r="1432" spans="1:31" ht="12.5" customHeight="1" x14ac:dyDescent="0.35">
      <c r="A1432" t="s">
        <v>396</v>
      </c>
      <c r="C1432" t="s">
        <v>3469</v>
      </c>
      <c r="D1432" t="s">
        <v>385</v>
      </c>
      <c r="E1432" s="133">
        <v>45841</v>
      </c>
      <c r="F1432" s="2">
        <v>6.115740740740741E-2</v>
      </c>
      <c r="G1432">
        <v>1</v>
      </c>
      <c r="H1432" s="133">
        <v>45840</v>
      </c>
      <c r="I1432" s="2">
        <v>0.56115740740740738</v>
      </c>
      <c r="J1432">
        <v>13</v>
      </c>
      <c r="R1432" t="s">
        <v>30</v>
      </c>
      <c r="W1432">
        <v>1</v>
      </c>
      <c r="X1432" t="s">
        <v>30</v>
      </c>
      <c r="AC1432" t="s">
        <v>3470</v>
      </c>
      <c r="AE1432" s="135"/>
    </row>
    <row r="1433" spans="1:31" ht="12.5" customHeight="1" x14ac:dyDescent="0.35">
      <c r="A1433" t="s">
        <v>396</v>
      </c>
      <c r="C1433" t="s">
        <v>3471</v>
      </c>
      <c r="D1433" t="s">
        <v>385</v>
      </c>
      <c r="E1433" s="133">
        <v>45841</v>
      </c>
      <c r="F1433" s="2">
        <v>6.1226851851851859E-2</v>
      </c>
      <c r="G1433">
        <v>1</v>
      </c>
      <c r="H1433" s="133">
        <v>45840</v>
      </c>
      <c r="I1433" s="2">
        <v>0.56122685185185184</v>
      </c>
      <c r="J1433">
        <v>13</v>
      </c>
      <c r="R1433" t="s">
        <v>30</v>
      </c>
      <c r="W1433">
        <v>1</v>
      </c>
      <c r="X1433" t="s">
        <v>30</v>
      </c>
      <c r="AC1433" t="s">
        <v>3472</v>
      </c>
      <c r="AE1433" s="135"/>
    </row>
    <row r="1434" spans="1:31" ht="12.5" customHeight="1" x14ac:dyDescent="0.35">
      <c r="A1434" t="s">
        <v>396</v>
      </c>
      <c r="C1434" t="s">
        <v>3473</v>
      </c>
      <c r="D1434" t="s">
        <v>385</v>
      </c>
      <c r="E1434" s="133">
        <v>45841</v>
      </c>
      <c r="F1434" s="2">
        <v>6.1296296296296293E-2</v>
      </c>
      <c r="G1434">
        <v>1</v>
      </c>
      <c r="H1434" s="133">
        <v>45840</v>
      </c>
      <c r="I1434" s="2">
        <v>0.56129629629629629</v>
      </c>
      <c r="J1434">
        <v>13</v>
      </c>
      <c r="R1434" t="s">
        <v>30</v>
      </c>
      <c r="W1434">
        <v>1</v>
      </c>
      <c r="X1434" t="s">
        <v>30</v>
      </c>
      <c r="AC1434" t="s">
        <v>3474</v>
      </c>
      <c r="AE1434" s="135"/>
    </row>
    <row r="1435" spans="1:31" ht="12.5" customHeight="1" x14ac:dyDescent="0.35">
      <c r="A1435" t="s">
        <v>396</v>
      </c>
      <c r="C1435" t="s">
        <v>3475</v>
      </c>
      <c r="D1435" t="s">
        <v>385</v>
      </c>
      <c r="E1435" s="133">
        <v>45841</v>
      </c>
      <c r="F1435" s="2">
        <v>6.1365740740740742E-2</v>
      </c>
      <c r="G1435">
        <v>1</v>
      </c>
      <c r="H1435" s="133">
        <v>45840</v>
      </c>
      <c r="I1435" s="2">
        <v>0.56136574074074075</v>
      </c>
      <c r="J1435">
        <v>13</v>
      </c>
      <c r="R1435" t="s">
        <v>30</v>
      </c>
      <c r="W1435">
        <v>1</v>
      </c>
      <c r="X1435" t="s">
        <v>30</v>
      </c>
      <c r="AC1435" t="s">
        <v>3476</v>
      </c>
      <c r="AE1435" s="135"/>
    </row>
    <row r="1436" spans="1:31" ht="12.5" customHeight="1" x14ac:dyDescent="0.35">
      <c r="A1436" t="s">
        <v>396</v>
      </c>
      <c r="C1436" t="s">
        <v>3477</v>
      </c>
      <c r="D1436" t="s">
        <v>385</v>
      </c>
      <c r="E1436" s="133">
        <v>45841</v>
      </c>
      <c r="F1436" s="2">
        <v>6.1458333333333337E-2</v>
      </c>
      <c r="G1436">
        <v>1</v>
      </c>
      <c r="H1436" s="133">
        <v>45840</v>
      </c>
      <c r="I1436" s="2">
        <v>0.56145833333333328</v>
      </c>
      <c r="J1436">
        <v>13</v>
      </c>
      <c r="R1436" t="s">
        <v>30</v>
      </c>
      <c r="W1436">
        <v>1</v>
      </c>
      <c r="X1436" t="s">
        <v>30</v>
      </c>
      <c r="AC1436" t="s">
        <v>3478</v>
      </c>
      <c r="AE1436" s="135"/>
    </row>
    <row r="1437" spans="1:31" ht="12.5" customHeight="1" x14ac:dyDescent="0.35">
      <c r="A1437" t="s">
        <v>396</v>
      </c>
      <c r="C1437" t="s">
        <v>3479</v>
      </c>
      <c r="D1437" t="s">
        <v>385</v>
      </c>
      <c r="E1437" s="133">
        <v>45841</v>
      </c>
      <c r="F1437" s="2">
        <v>6.1527777777777772E-2</v>
      </c>
      <c r="G1437">
        <v>1</v>
      </c>
      <c r="H1437" s="133">
        <v>45840</v>
      </c>
      <c r="I1437" s="2">
        <v>0.56152777777777774</v>
      </c>
      <c r="J1437">
        <v>13</v>
      </c>
      <c r="R1437" t="s">
        <v>30</v>
      </c>
      <c r="W1437">
        <v>1</v>
      </c>
      <c r="X1437" t="s">
        <v>30</v>
      </c>
      <c r="AC1437" t="s">
        <v>3480</v>
      </c>
      <c r="AE1437" s="135"/>
    </row>
    <row r="1438" spans="1:31" ht="12.5" customHeight="1" x14ac:dyDescent="0.35">
      <c r="A1438" t="s">
        <v>396</v>
      </c>
      <c r="C1438" t="s">
        <v>3481</v>
      </c>
      <c r="D1438" t="s">
        <v>385</v>
      </c>
      <c r="E1438" s="133">
        <v>45841</v>
      </c>
      <c r="F1438" s="2">
        <v>6.159722222222222E-2</v>
      </c>
      <c r="G1438">
        <v>1</v>
      </c>
      <c r="H1438" s="133">
        <v>45840</v>
      </c>
      <c r="I1438" s="2">
        <v>0.56159722222222219</v>
      </c>
      <c r="J1438">
        <v>13</v>
      </c>
      <c r="R1438" t="s">
        <v>30</v>
      </c>
      <c r="W1438">
        <v>1</v>
      </c>
      <c r="X1438" t="s">
        <v>30</v>
      </c>
      <c r="AC1438" t="s">
        <v>3482</v>
      </c>
      <c r="AE1438" s="135"/>
    </row>
    <row r="1439" spans="1:31" ht="12.5" customHeight="1" x14ac:dyDescent="0.35">
      <c r="A1439" t="s">
        <v>396</v>
      </c>
      <c r="C1439" t="s">
        <v>3483</v>
      </c>
      <c r="D1439" t="s">
        <v>385</v>
      </c>
      <c r="E1439" s="133">
        <v>45841</v>
      </c>
      <c r="F1439" s="2">
        <v>6.1689814814814815E-2</v>
      </c>
      <c r="G1439">
        <v>1</v>
      </c>
      <c r="H1439" s="133">
        <v>45840</v>
      </c>
      <c r="I1439" s="2">
        <v>0.56168981481481484</v>
      </c>
      <c r="J1439">
        <v>13</v>
      </c>
      <c r="R1439" t="s">
        <v>30</v>
      </c>
      <c r="W1439">
        <v>1</v>
      </c>
      <c r="X1439" t="s">
        <v>30</v>
      </c>
      <c r="AC1439" t="s">
        <v>3484</v>
      </c>
      <c r="AE1439" s="135"/>
    </row>
    <row r="1440" spans="1:31" ht="12.5" customHeight="1" x14ac:dyDescent="0.35">
      <c r="A1440" t="s">
        <v>396</v>
      </c>
      <c r="C1440" t="s">
        <v>3485</v>
      </c>
      <c r="D1440" t="s">
        <v>385</v>
      </c>
      <c r="E1440" s="133">
        <v>45841</v>
      </c>
      <c r="F1440" s="2">
        <v>6.1759259259259257E-2</v>
      </c>
      <c r="G1440">
        <v>1</v>
      </c>
      <c r="H1440" s="133">
        <v>45840</v>
      </c>
      <c r="I1440" s="2">
        <v>0.56175925925925929</v>
      </c>
      <c r="J1440">
        <v>13</v>
      </c>
      <c r="R1440" t="s">
        <v>30</v>
      </c>
      <c r="W1440">
        <v>1</v>
      </c>
      <c r="X1440" t="s">
        <v>30</v>
      </c>
      <c r="AC1440" t="s">
        <v>3486</v>
      </c>
      <c r="AE1440" s="135"/>
    </row>
    <row r="1441" spans="1:31" ht="12.5" customHeight="1" x14ac:dyDescent="0.35">
      <c r="A1441" t="s">
        <v>396</v>
      </c>
      <c r="C1441" t="s">
        <v>3487</v>
      </c>
      <c r="D1441" t="s">
        <v>385</v>
      </c>
      <c r="E1441" s="133">
        <v>45841</v>
      </c>
      <c r="F1441" s="2">
        <v>6.1828703703703712E-2</v>
      </c>
      <c r="G1441">
        <v>1</v>
      </c>
      <c r="H1441" s="133">
        <v>45840</v>
      </c>
      <c r="I1441" s="2">
        <v>0.56182870370370364</v>
      </c>
      <c r="J1441">
        <v>13</v>
      </c>
      <c r="R1441" t="s">
        <v>30</v>
      </c>
      <c r="W1441">
        <v>1</v>
      </c>
      <c r="X1441" t="s">
        <v>30</v>
      </c>
      <c r="AC1441" t="s">
        <v>3488</v>
      </c>
      <c r="AE1441" s="135"/>
    </row>
    <row r="1442" spans="1:31" ht="12.5" customHeight="1" x14ac:dyDescent="0.35">
      <c r="A1442" t="s">
        <v>396</v>
      </c>
      <c r="C1442" t="s">
        <v>3489</v>
      </c>
      <c r="D1442" t="s">
        <v>385</v>
      </c>
      <c r="E1442" s="133">
        <v>45841</v>
      </c>
      <c r="F1442" s="2">
        <v>6.1898148148148147E-2</v>
      </c>
      <c r="G1442">
        <v>1</v>
      </c>
      <c r="H1442" s="133">
        <v>45840</v>
      </c>
      <c r="I1442" s="2">
        <v>0.56189814814814809</v>
      </c>
      <c r="J1442">
        <v>13</v>
      </c>
      <c r="R1442" t="s">
        <v>30</v>
      </c>
      <c r="W1442">
        <v>1</v>
      </c>
      <c r="X1442" t="s">
        <v>30</v>
      </c>
      <c r="AC1442" t="s">
        <v>3490</v>
      </c>
      <c r="AE1442" s="135"/>
    </row>
    <row r="1443" spans="1:31" ht="12.5" customHeight="1" x14ac:dyDescent="0.35">
      <c r="A1443" t="s">
        <v>396</v>
      </c>
      <c r="C1443" t="s">
        <v>3491</v>
      </c>
      <c r="D1443" t="s">
        <v>385</v>
      </c>
      <c r="E1443" s="133">
        <v>45841</v>
      </c>
      <c r="F1443" s="2">
        <v>6.1990740740740735E-2</v>
      </c>
      <c r="G1443">
        <v>1</v>
      </c>
      <c r="H1443" s="133">
        <v>45840</v>
      </c>
      <c r="I1443" s="2">
        <v>0.56199074074074074</v>
      </c>
      <c r="J1443">
        <v>13</v>
      </c>
      <c r="R1443" t="s">
        <v>30</v>
      </c>
      <c r="W1443">
        <v>1</v>
      </c>
      <c r="X1443" t="s">
        <v>30</v>
      </c>
      <c r="AC1443" t="s">
        <v>3492</v>
      </c>
      <c r="AE1443" s="135"/>
    </row>
    <row r="1444" spans="1:31" ht="12.5" customHeight="1" x14ac:dyDescent="0.35">
      <c r="A1444" t="s">
        <v>396</v>
      </c>
      <c r="C1444" t="s">
        <v>3493</v>
      </c>
      <c r="D1444" t="s">
        <v>385</v>
      </c>
      <c r="E1444" s="133">
        <v>45841</v>
      </c>
      <c r="F1444" s="2">
        <v>6.206018518518519E-2</v>
      </c>
      <c r="G1444">
        <v>1</v>
      </c>
      <c r="H1444" s="133">
        <v>45840</v>
      </c>
      <c r="I1444" s="2">
        <v>0.56206018518518519</v>
      </c>
      <c r="J1444">
        <v>13</v>
      </c>
      <c r="R1444" t="s">
        <v>30</v>
      </c>
      <c r="W1444">
        <v>1</v>
      </c>
      <c r="X1444" t="s">
        <v>30</v>
      </c>
      <c r="AC1444" t="s">
        <v>3494</v>
      </c>
      <c r="AE1444" s="135"/>
    </row>
    <row r="1445" spans="1:31" ht="12.5" customHeight="1" x14ac:dyDescent="0.35">
      <c r="A1445" t="s">
        <v>396</v>
      </c>
      <c r="C1445" t="s">
        <v>3495</v>
      </c>
      <c r="D1445" t="s">
        <v>385</v>
      </c>
      <c r="E1445" s="133">
        <v>45841</v>
      </c>
      <c r="F1445" s="2">
        <v>6.2129629629629625E-2</v>
      </c>
      <c r="G1445">
        <v>1</v>
      </c>
      <c r="H1445" s="133">
        <v>45840</v>
      </c>
      <c r="I1445" s="2">
        <v>0.56212962962962965</v>
      </c>
      <c r="J1445">
        <v>13</v>
      </c>
      <c r="R1445" t="s">
        <v>30</v>
      </c>
      <c r="W1445">
        <v>1</v>
      </c>
      <c r="X1445" t="s">
        <v>30</v>
      </c>
      <c r="AC1445" t="s">
        <v>3496</v>
      </c>
      <c r="AE1445" s="135"/>
    </row>
    <row r="1446" spans="1:31" ht="12.5" customHeight="1" x14ac:dyDescent="0.35">
      <c r="A1446" t="s">
        <v>396</v>
      </c>
      <c r="C1446" t="s">
        <v>3497</v>
      </c>
      <c r="D1446" t="s">
        <v>385</v>
      </c>
      <c r="E1446" s="133">
        <v>45841</v>
      </c>
      <c r="F1446" s="2">
        <v>6.2199074074074073E-2</v>
      </c>
      <c r="G1446">
        <v>1</v>
      </c>
      <c r="H1446" s="133">
        <v>45840</v>
      </c>
      <c r="I1446" s="2">
        <v>0.5621990740740741</v>
      </c>
      <c r="J1446">
        <v>13</v>
      </c>
      <c r="R1446" t="s">
        <v>30</v>
      </c>
      <c r="W1446">
        <v>1</v>
      </c>
      <c r="X1446" t="s">
        <v>30</v>
      </c>
      <c r="AC1446" t="s">
        <v>3498</v>
      </c>
      <c r="AE1446" s="135"/>
    </row>
    <row r="1447" spans="1:31" ht="12.5" customHeight="1" x14ac:dyDescent="0.35">
      <c r="A1447" t="s">
        <v>396</v>
      </c>
      <c r="C1447" t="s">
        <v>3499</v>
      </c>
      <c r="D1447" t="s">
        <v>385</v>
      </c>
      <c r="E1447" s="133">
        <v>45841</v>
      </c>
      <c r="F1447" s="2">
        <v>6.2291666666666669E-2</v>
      </c>
      <c r="G1447">
        <v>1</v>
      </c>
      <c r="H1447" s="133">
        <v>45840</v>
      </c>
      <c r="I1447" s="2">
        <v>0.56229166666666663</v>
      </c>
      <c r="J1447">
        <v>13</v>
      </c>
      <c r="R1447" t="s">
        <v>30</v>
      </c>
      <c r="W1447">
        <v>1</v>
      </c>
      <c r="X1447" t="s">
        <v>30</v>
      </c>
      <c r="AC1447" t="s">
        <v>3500</v>
      </c>
      <c r="AE1447" s="135"/>
    </row>
    <row r="1448" spans="1:31" ht="12.5" customHeight="1" x14ac:dyDescent="0.35">
      <c r="A1448" t="s">
        <v>396</v>
      </c>
      <c r="C1448" t="s">
        <v>3501</v>
      </c>
      <c r="D1448" t="s">
        <v>385</v>
      </c>
      <c r="E1448" s="133">
        <v>45841</v>
      </c>
      <c r="F1448" s="2">
        <v>6.236111111111111E-2</v>
      </c>
      <c r="G1448">
        <v>1</v>
      </c>
      <c r="H1448" s="133">
        <v>45840</v>
      </c>
      <c r="I1448" s="2">
        <v>0.56236111111111109</v>
      </c>
      <c r="J1448">
        <v>13</v>
      </c>
      <c r="R1448" t="s">
        <v>30</v>
      </c>
      <c r="W1448">
        <v>1</v>
      </c>
      <c r="X1448" t="s">
        <v>30</v>
      </c>
      <c r="AC1448" t="s">
        <v>3502</v>
      </c>
      <c r="AE1448" s="135"/>
    </row>
    <row r="1449" spans="1:31" ht="12.5" customHeight="1" x14ac:dyDescent="0.35">
      <c r="A1449" t="s">
        <v>396</v>
      </c>
      <c r="C1449" t="s">
        <v>3503</v>
      </c>
      <c r="D1449" t="s">
        <v>385</v>
      </c>
      <c r="E1449" s="133">
        <v>45841</v>
      </c>
      <c r="F1449" s="2">
        <v>6.2430555555555552E-2</v>
      </c>
      <c r="G1449">
        <v>1</v>
      </c>
      <c r="H1449" s="133">
        <v>45840</v>
      </c>
      <c r="I1449" s="2">
        <v>0.56243055555555554</v>
      </c>
      <c r="J1449">
        <v>13</v>
      </c>
      <c r="R1449" t="s">
        <v>30</v>
      </c>
      <c r="W1449">
        <v>1</v>
      </c>
      <c r="X1449" t="s">
        <v>30</v>
      </c>
      <c r="AC1449" t="s">
        <v>3504</v>
      </c>
      <c r="AE1449" s="135"/>
    </row>
    <row r="1450" spans="1:31" ht="12.5" customHeight="1" x14ac:dyDescent="0.35">
      <c r="A1450" t="s">
        <v>396</v>
      </c>
      <c r="C1450" t="s">
        <v>3505</v>
      </c>
      <c r="D1450" t="s">
        <v>385</v>
      </c>
      <c r="E1450" s="133">
        <v>45841</v>
      </c>
      <c r="F1450" s="2">
        <v>6.25E-2</v>
      </c>
      <c r="G1450">
        <v>1</v>
      </c>
      <c r="H1450" s="133">
        <v>45840</v>
      </c>
      <c r="I1450" s="2">
        <v>0.5625</v>
      </c>
      <c r="J1450">
        <v>13</v>
      </c>
      <c r="R1450" t="s">
        <v>30</v>
      </c>
      <c r="W1450">
        <v>1</v>
      </c>
      <c r="X1450" t="s">
        <v>30</v>
      </c>
      <c r="AC1450" t="s">
        <v>3506</v>
      </c>
      <c r="AE1450" s="135"/>
    </row>
    <row r="1451" spans="1:31" ht="12.5" customHeight="1" x14ac:dyDescent="0.35">
      <c r="A1451" t="s">
        <v>396</v>
      </c>
      <c r="C1451" t="s">
        <v>3507</v>
      </c>
      <c r="D1451" t="s">
        <v>385</v>
      </c>
      <c r="E1451" s="133">
        <v>45841</v>
      </c>
      <c r="F1451" s="2">
        <v>6.2592592592592589E-2</v>
      </c>
      <c r="G1451">
        <v>1</v>
      </c>
      <c r="H1451" s="133">
        <v>45840</v>
      </c>
      <c r="I1451" s="2">
        <v>0.56259259259259264</v>
      </c>
      <c r="J1451">
        <v>13</v>
      </c>
      <c r="R1451" t="s">
        <v>30</v>
      </c>
      <c r="W1451">
        <v>1</v>
      </c>
      <c r="X1451" t="s">
        <v>30</v>
      </c>
      <c r="AC1451" t="s">
        <v>3508</v>
      </c>
      <c r="AE1451" s="135"/>
    </row>
    <row r="1452" spans="1:31" ht="12.5" customHeight="1" x14ac:dyDescent="0.35">
      <c r="A1452" t="s">
        <v>396</v>
      </c>
      <c r="C1452" t="s">
        <v>3509</v>
      </c>
      <c r="D1452" t="s">
        <v>385</v>
      </c>
      <c r="E1452" s="133">
        <v>45841</v>
      </c>
      <c r="F1452" s="2">
        <v>6.2662037037037044E-2</v>
      </c>
      <c r="G1452">
        <v>1</v>
      </c>
      <c r="H1452" s="133">
        <v>45840</v>
      </c>
      <c r="I1452" s="2">
        <v>0.5626620370370371</v>
      </c>
      <c r="J1452">
        <v>13</v>
      </c>
      <c r="R1452" t="s">
        <v>30</v>
      </c>
      <c r="W1452">
        <v>1</v>
      </c>
      <c r="X1452" t="s">
        <v>30</v>
      </c>
      <c r="AC1452" t="s">
        <v>3510</v>
      </c>
      <c r="AE1452" s="135"/>
    </row>
    <row r="1453" spans="1:31" ht="12.5" customHeight="1" x14ac:dyDescent="0.35">
      <c r="A1453" t="s">
        <v>396</v>
      </c>
      <c r="C1453" t="s">
        <v>3511</v>
      </c>
      <c r="D1453" t="s">
        <v>385</v>
      </c>
      <c r="E1453" s="133">
        <v>45841</v>
      </c>
      <c r="F1453" s="2">
        <v>6.2731481481481485E-2</v>
      </c>
      <c r="G1453">
        <v>1</v>
      </c>
      <c r="H1453" s="133">
        <v>45840</v>
      </c>
      <c r="I1453" s="2">
        <v>0.56273148148148155</v>
      </c>
      <c r="J1453">
        <v>13</v>
      </c>
      <c r="R1453" t="s">
        <v>30</v>
      </c>
      <c r="W1453">
        <v>1</v>
      </c>
      <c r="X1453" t="s">
        <v>30</v>
      </c>
      <c r="AC1453" t="s">
        <v>3512</v>
      </c>
      <c r="AE1453" s="135"/>
    </row>
    <row r="1454" spans="1:31" ht="12.5" customHeight="1" x14ac:dyDescent="0.35">
      <c r="A1454" t="s">
        <v>396</v>
      </c>
      <c r="C1454" t="s">
        <v>3513</v>
      </c>
      <c r="D1454" t="s">
        <v>385</v>
      </c>
      <c r="E1454" s="133">
        <v>45841</v>
      </c>
      <c r="F1454" s="2">
        <v>6.2800925925925927E-2</v>
      </c>
      <c r="G1454">
        <v>1</v>
      </c>
      <c r="H1454" s="133">
        <v>45840</v>
      </c>
      <c r="I1454" s="2">
        <v>0.5628009259259259</v>
      </c>
      <c r="J1454">
        <v>13</v>
      </c>
      <c r="R1454" t="s">
        <v>30</v>
      </c>
      <c r="W1454">
        <v>1</v>
      </c>
      <c r="X1454" t="s">
        <v>30</v>
      </c>
      <c r="AC1454" t="s">
        <v>3514</v>
      </c>
      <c r="AE1454" s="135"/>
    </row>
    <row r="1455" spans="1:31" ht="12.5" customHeight="1" x14ac:dyDescent="0.35">
      <c r="A1455" t="s">
        <v>396</v>
      </c>
      <c r="C1455" t="s">
        <v>3515</v>
      </c>
      <c r="D1455" t="s">
        <v>385</v>
      </c>
      <c r="E1455" s="133">
        <v>45841</v>
      </c>
      <c r="F1455" s="2">
        <v>6.2893518518518529E-2</v>
      </c>
      <c r="G1455">
        <v>1</v>
      </c>
      <c r="H1455" s="133">
        <v>45840</v>
      </c>
      <c r="I1455" s="2">
        <v>0.56289351851851854</v>
      </c>
      <c r="J1455">
        <v>13</v>
      </c>
      <c r="R1455" t="s">
        <v>30</v>
      </c>
      <c r="W1455">
        <v>1</v>
      </c>
      <c r="X1455" t="s">
        <v>30</v>
      </c>
      <c r="AC1455" t="s">
        <v>3516</v>
      </c>
      <c r="AE1455" s="135"/>
    </row>
    <row r="1456" spans="1:31" ht="12.5" customHeight="1" x14ac:dyDescent="0.35">
      <c r="A1456" t="s">
        <v>396</v>
      </c>
      <c r="C1456" t="s">
        <v>3517</v>
      </c>
      <c r="D1456" t="s">
        <v>385</v>
      </c>
      <c r="E1456" s="133">
        <v>45841</v>
      </c>
      <c r="F1456" s="2">
        <v>6.2962962962962957E-2</v>
      </c>
      <c r="G1456">
        <v>1</v>
      </c>
      <c r="H1456" s="133">
        <v>45840</v>
      </c>
      <c r="I1456" s="2">
        <v>0.562962962962963</v>
      </c>
      <c r="J1456">
        <v>13</v>
      </c>
      <c r="R1456" t="s">
        <v>30</v>
      </c>
      <c r="W1456">
        <v>1</v>
      </c>
      <c r="X1456" t="s">
        <v>30</v>
      </c>
      <c r="AC1456" t="s">
        <v>3518</v>
      </c>
      <c r="AE1456" s="135"/>
    </row>
    <row r="1457" spans="1:31" ht="12.5" customHeight="1" x14ac:dyDescent="0.35">
      <c r="A1457" t="s">
        <v>396</v>
      </c>
      <c r="C1457" t="s">
        <v>3519</v>
      </c>
      <c r="D1457" t="s">
        <v>385</v>
      </c>
      <c r="E1457" s="133">
        <v>45841</v>
      </c>
      <c r="F1457" s="2">
        <v>6.3032407407407412E-2</v>
      </c>
      <c r="G1457">
        <v>1</v>
      </c>
      <c r="H1457" s="133">
        <v>45840</v>
      </c>
      <c r="I1457" s="2">
        <v>0.56303240740740745</v>
      </c>
      <c r="J1457">
        <v>13</v>
      </c>
      <c r="R1457" t="s">
        <v>30</v>
      </c>
      <c r="W1457">
        <v>1</v>
      </c>
      <c r="X1457" t="s">
        <v>30</v>
      </c>
      <c r="AC1457" t="s">
        <v>3520</v>
      </c>
      <c r="AE1457" s="135"/>
    </row>
    <row r="1458" spans="1:31" ht="12.5" customHeight="1" x14ac:dyDescent="0.35">
      <c r="A1458" t="s">
        <v>396</v>
      </c>
      <c r="C1458" t="s">
        <v>3521</v>
      </c>
      <c r="D1458" t="s">
        <v>385</v>
      </c>
      <c r="E1458" s="133">
        <v>45841</v>
      </c>
      <c r="F1458" s="2">
        <v>6.3125000000000001E-2</v>
      </c>
      <c r="G1458">
        <v>1</v>
      </c>
      <c r="H1458" s="133">
        <v>45840</v>
      </c>
      <c r="I1458" s="2">
        <v>0.56312499999999999</v>
      </c>
      <c r="J1458">
        <v>13</v>
      </c>
      <c r="R1458" t="s">
        <v>30</v>
      </c>
      <c r="W1458">
        <v>1</v>
      </c>
      <c r="X1458" t="s">
        <v>30</v>
      </c>
      <c r="AC1458" t="s">
        <v>3522</v>
      </c>
      <c r="AE1458" s="135"/>
    </row>
    <row r="1459" spans="1:31" ht="12.5" customHeight="1" x14ac:dyDescent="0.35">
      <c r="A1459" t="s">
        <v>396</v>
      </c>
      <c r="C1459" t="s">
        <v>3523</v>
      </c>
      <c r="D1459" t="s">
        <v>385</v>
      </c>
      <c r="E1459" s="133">
        <v>45841</v>
      </c>
      <c r="F1459" s="2">
        <v>6.3194444444444442E-2</v>
      </c>
      <c r="G1459">
        <v>1</v>
      </c>
      <c r="H1459" s="133">
        <v>45840</v>
      </c>
      <c r="I1459" s="2">
        <v>0.56319444444444444</v>
      </c>
      <c r="J1459">
        <v>13</v>
      </c>
      <c r="R1459" t="s">
        <v>30</v>
      </c>
      <c r="W1459">
        <v>1</v>
      </c>
      <c r="X1459" t="s">
        <v>30</v>
      </c>
      <c r="AC1459" t="s">
        <v>3524</v>
      </c>
      <c r="AE1459" s="135"/>
    </row>
    <row r="1460" spans="1:31" ht="12.5" customHeight="1" x14ac:dyDescent="0.35">
      <c r="A1460" t="s">
        <v>396</v>
      </c>
      <c r="C1460" t="s">
        <v>3525</v>
      </c>
      <c r="D1460" t="s">
        <v>385</v>
      </c>
      <c r="E1460" s="133">
        <v>45841</v>
      </c>
      <c r="F1460" s="2">
        <v>6.3263888888888883E-2</v>
      </c>
      <c r="G1460">
        <v>1</v>
      </c>
      <c r="H1460" s="133">
        <v>45840</v>
      </c>
      <c r="I1460" s="2">
        <v>0.5632638888888889</v>
      </c>
      <c r="J1460">
        <v>13</v>
      </c>
      <c r="R1460" t="s">
        <v>30</v>
      </c>
      <c r="W1460">
        <v>1</v>
      </c>
      <c r="X1460" t="s">
        <v>30</v>
      </c>
      <c r="AC1460" t="s">
        <v>3526</v>
      </c>
      <c r="AE1460" s="135"/>
    </row>
    <row r="1461" spans="1:31" ht="12.5" customHeight="1" x14ac:dyDescent="0.35">
      <c r="A1461" t="s">
        <v>396</v>
      </c>
      <c r="C1461" t="s">
        <v>3527</v>
      </c>
      <c r="D1461" t="s">
        <v>385</v>
      </c>
      <c r="E1461" s="133">
        <v>45841</v>
      </c>
      <c r="F1461" s="2">
        <v>6.3333333333333339E-2</v>
      </c>
      <c r="G1461">
        <v>1</v>
      </c>
      <c r="H1461" s="133">
        <v>45840</v>
      </c>
      <c r="I1461" s="2">
        <v>0.56333333333333335</v>
      </c>
      <c r="J1461">
        <v>13</v>
      </c>
      <c r="R1461" t="s">
        <v>30</v>
      </c>
      <c r="W1461">
        <v>1</v>
      </c>
      <c r="X1461" t="s">
        <v>30</v>
      </c>
      <c r="AC1461" t="s">
        <v>3528</v>
      </c>
      <c r="AE1461" s="135"/>
    </row>
    <row r="1462" spans="1:31" ht="12.5" customHeight="1" x14ac:dyDescent="0.35">
      <c r="A1462" t="s">
        <v>396</v>
      </c>
      <c r="C1462" t="s">
        <v>3529</v>
      </c>
      <c r="D1462" t="s">
        <v>385</v>
      </c>
      <c r="E1462" s="133">
        <v>45841</v>
      </c>
      <c r="F1462" s="2">
        <v>6.3425925925925927E-2</v>
      </c>
      <c r="G1462">
        <v>1</v>
      </c>
      <c r="H1462" s="133">
        <v>45840</v>
      </c>
      <c r="I1462" s="2">
        <v>0.56342592592592589</v>
      </c>
      <c r="J1462">
        <v>13</v>
      </c>
      <c r="R1462" t="s">
        <v>30</v>
      </c>
      <c r="W1462">
        <v>1</v>
      </c>
      <c r="X1462" t="s">
        <v>30</v>
      </c>
      <c r="AC1462" t="s">
        <v>3530</v>
      </c>
      <c r="AE1462" s="135"/>
    </row>
    <row r="1463" spans="1:31" ht="12.5" customHeight="1" x14ac:dyDescent="0.35">
      <c r="A1463" t="s">
        <v>396</v>
      </c>
      <c r="C1463" t="s">
        <v>3531</v>
      </c>
      <c r="D1463" t="s">
        <v>385</v>
      </c>
      <c r="E1463" s="133">
        <v>45841</v>
      </c>
      <c r="F1463" s="2">
        <v>6.3495370370370369E-2</v>
      </c>
      <c r="G1463">
        <v>1</v>
      </c>
      <c r="H1463" s="133">
        <v>45840</v>
      </c>
      <c r="I1463" s="2">
        <v>0.56349537037037034</v>
      </c>
      <c r="J1463">
        <v>13</v>
      </c>
      <c r="R1463" t="s">
        <v>30</v>
      </c>
      <c r="W1463">
        <v>1</v>
      </c>
      <c r="X1463" t="s">
        <v>30</v>
      </c>
      <c r="AC1463" t="s">
        <v>3532</v>
      </c>
      <c r="AE1463" s="135"/>
    </row>
    <row r="1464" spans="1:31" ht="12.5" customHeight="1" x14ac:dyDescent="0.35">
      <c r="A1464" t="s">
        <v>396</v>
      </c>
      <c r="C1464" t="s">
        <v>3533</v>
      </c>
      <c r="D1464" t="s">
        <v>385</v>
      </c>
      <c r="E1464" s="133">
        <v>45841</v>
      </c>
      <c r="F1464" s="2">
        <v>6.356481481481481E-2</v>
      </c>
      <c r="G1464">
        <v>1</v>
      </c>
      <c r="H1464" s="133">
        <v>45840</v>
      </c>
      <c r="I1464" s="2">
        <v>0.5635648148148148</v>
      </c>
      <c r="J1464">
        <v>13</v>
      </c>
      <c r="R1464" t="s">
        <v>30</v>
      </c>
      <c r="W1464">
        <v>1</v>
      </c>
      <c r="X1464" t="s">
        <v>30</v>
      </c>
      <c r="AC1464" t="s">
        <v>3534</v>
      </c>
      <c r="AE1464" s="135"/>
    </row>
    <row r="1465" spans="1:31" ht="12.5" customHeight="1" x14ac:dyDescent="0.35">
      <c r="A1465" t="s">
        <v>396</v>
      </c>
      <c r="C1465" t="s">
        <v>3535</v>
      </c>
      <c r="D1465" t="s">
        <v>385</v>
      </c>
      <c r="E1465" s="133">
        <v>45841</v>
      </c>
      <c r="F1465" s="2">
        <v>6.3634259259259265E-2</v>
      </c>
      <c r="G1465">
        <v>1</v>
      </c>
      <c r="H1465" s="133">
        <v>45840</v>
      </c>
      <c r="I1465" s="2">
        <v>0.56363425925925925</v>
      </c>
      <c r="J1465">
        <v>13</v>
      </c>
      <c r="R1465" t="s">
        <v>30</v>
      </c>
      <c r="W1465">
        <v>1</v>
      </c>
      <c r="X1465" t="s">
        <v>30</v>
      </c>
      <c r="AC1465" t="s">
        <v>3536</v>
      </c>
      <c r="AE1465" s="135"/>
    </row>
    <row r="1466" spans="1:31" ht="12.5" customHeight="1" x14ac:dyDescent="0.35">
      <c r="A1466" t="s">
        <v>396</v>
      </c>
      <c r="C1466" t="s">
        <v>3537</v>
      </c>
      <c r="D1466" t="s">
        <v>385</v>
      </c>
      <c r="E1466" s="133">
        <v>45841</v>
      </c>
      <c r="F1466" s="2">
        <v>6.3726851851851854E-2</v>
      </c>
      <c r="G1466">
        <v>1</v>
      </c>
      <c r="H1466" s="133">
        <v>45840</v>
      </c>
      <c r="I1466" s="2">
        <v>0.56372685185185178</v>
      </c>
      <c r="J1466">
        <v>13</v>
      </c>
      <c r="R1466" t="s">
        <v>30</v>
      </c>
      <c r="W1466">
        <v>1</v>
      </c>
      <c r="X1466" t="s">
        <v>30</v>
      </c>
      <c r="AC1466" t="s">
        <v>3538</v>
      </c>
      <c r="AE1466" s="135"/>
    </row>
    <row r="1467" spans="1:31" ht="12.5" customHeight="1" x14ac:dyDescent="0.35">
      <c r="A1467" t="s">
        <v>396</v>
      </c>
      <c r="C1467" t="s">
        <v>3539</v>
      </c>
      <c r="D1467" t="s">
        <v>385</v>
      </c>
      <c r="E1467" s="133">
        <v>45841</v>
      </c>
      <c r="F1467" s="2">
        <v>6.3796296296296295E-2</v>
      </c>
      <c r="G1467">
        <v>1</v>
      </c>
      <c r="H1467" s="133">
        <v>45840</v>
      </c>
      <c r="I1467" s="2">
        <v>0.56379629629629624</v>
      </c>
      <c r="J1467">
        <v>13</v>
      </c>
      <c r="R1467" t="s">
        <v>30</v>
      </c>
      <c r="W1467">
        <v>1</v>
      </c>
      <c r="X1467" t="s">
        <v>30</v>
      </c>
      <c r="AC1467" t="s">
        <v>3540</v>
      </c>
      <c r="AE1467" s="135"/>
    </row>
    <row r="1468" spans="1:31" ht="12.5" customHeight="1" x14ac:dyDescent="0.35">
      <c r="A1468" t="s">
        <v>396</v>
      </c>
      <c r="C1468" t="s">
        <v>3541</v>
      </c>
      <c r="D1468" t="s">
        <v>385</v>
      </c>
      <c r="E1468" s="133">
        <v>45841</v>
      </c>
      <c r="F1468" s="2">
        <v>6.3865740740740737E-2</v>
      </c>
      <c r="G1468">
        <v>1</v>
      </c>
      <c r="H1468" s="133">
        <v>45840</v>
      </c>
      <c r="I1468" s="2">
        <v>0.5638657407407407</v>
      </c>
      <c r="J1468">
        <v>13</v>
      </c>
      <c r="R1468" t="s">
        <v>30</v>
      </c>
      <c r="W1468">
        <v>1</v>
      </c>
      <c r="X1468" t="s">
        <v>30</v>
      </c>
      <c r="AC1468" t="s">
        <v>3542</v>
      </c>
      <c r="AE1468" s="135"/>
    </row>
    <row r="1469" spans="1:31" ht="12.5" customHeight="1" x14ac:dyDescent="0.35">
      <c r="A1469" t="s">
        <v>396</v>
      </c>
      <c r="C1469" t="s">
        <v>3543</v>
      </c>
      <c r="D1469" t="s">
        <v>385</v>
      </c>
      <c r="E1469" s="133">
        <v>45841</v>
      </c>
      <c r="F1469" s="2">
        <v>6.3935185185185192E-2</v>
      </c>
      <c r="G1469">
        <v>1</v>
      </c>
      <c r="H1469" s="133">
        <v>45840</v>
      </c>
      <c r="I1469" s="2">
        <v>0.56393518518518515</v>
      </c>
      <c r="J1469">
        <v>13</v>
      </c>
      <c r="R1469" t="s">
        <v>30</v>
      </c>
      <c r="W1469">
        <v>1</v>
      </c>
      <c r="X1469" t="s">
        <v>30</v>
      </c>
      <c r="AC1469" t="s">
        <v>3544</v>
      </c>
      <c r="AE1469" s="135"/>
    </row>
    <row r="1470" spans="1:31" ht="12.5" customHeight="1" x14ac:dyDescent="0.35">
      <c r="A1470" t="s">
        <v>396</v>
      </c>
      <c r="C1470" t="s">
        <v>3545</v>
      </c>
      <c r="D1470" t="s">
        <v>385</v>
      </c>
      <c r="E1470" s="133">
        <v>45841</v>
      </c>
      <c r="F1470" s="2">
        <v>6.4027777777777781E-2</v>
      </c>
      <c r="G1470">
        <v>1</v>
      </c>
      <c r="H1470" s="133">
        <v>45840</v>
      </c>
      <c r="I1470" s="2">
        <v>0.56402777777777779</v>
      </c>
      <c r="J1470">
        <v>13</v>
      </c>
      <c r="R1470" t="s">
        <v>30</v>
      </c>
      <c r="W1470">
        <v>1</v>
      </c>
      <c r="X1470" t="s">
        <v>30</v>
      </c>
      <c r="AC1470" t="s">
        <v>3546</v>
      </c>
      <c r="AE1470" s="135"/>
    </row>
    <row r="1471" spans="1:31" ht="12.5" customHeight="1" x14ac:dyDescent="0.35">
      <c r="A1471" t="s">
        <v>396</v>
      </c>
      <c r="C1471" t="s">
        <v>3547</v>
      </c>
      <c r="D1471" t="s">
        <v>385</v>
      </c>
      <c r="E1471" s="133">
        <v>45841</v>
      </c>
      <c r="F1471" s="2">
        <v>6.4097222222222222E-2</v>
      </c>
      <c r="G1471">
        <v>1</v>
      </c>
      <c r="H1471" s="133">
        <v>45840</v>
      </c>
      <c r="I1471" s="2">
        <v>0.56409722222222225</v>
      </c>
      <c r="J1471">
        <v>13</v>
      </c>
      <c r="R1471" t="s">
        <v>30</v>
      </c>
      <c r="W1471">
        <v>1</v>
      </c>
      <c r="X1471" t="s">
        <v>30</v>
      </c>
      <c r="AC1471" t="s">
        <v>3548</v>
      </c>
      <c r="AE1471" s="135"/>
    </row>
    <row r="1472" spans="1:31" ht="12.5" customHeight="1" x14ac:dyDescent="0.35">
      <c r="A1472" t="s">
        <v>396</v>
      </c>
      <c r="C1472" t="s">
        <v>3549</v>
      </c>
      <c r="D1472" t="s">
        <v>385</v>
      </c>
      <c r="E1472" s="133">
        <v>45841</v>
      </c>
      <c r="F1472" s="2">
        <v>6.4166666666666664E-2</v>
      </c>
      <c r="G1472">
        <v>1</v>
      </c>
      <c r="H1472" s="133">
        <v>45840</v>
      </c>
      <c r="I1472" s="2">
        <v>0.56416666666666659</v>
      </c>
      <c r="J1472">
        <v>13</v>
      </c>
      <c r="R1472" t="s">
        <v>30</v>
      </c>
      <c r="W1472">
        <v>1</v>
      </c>
      <c r="X1472" t="s">
        <v>30</v>
      </c>
      <c r="AC1472" t="s">
        <v>3550</v>
      </c>
      <c r="AE1472" s="135"/>
    </row>
    <row r="1473" spans="1:31" ht="12.5" customHeight="1" x14ac:dyDescent="0.35">
      <c r="A1473" t="s">
        <v>396</v>
      </c>
      <c r="C1473" t="s">
        <v>3551</v>
      </c>
      <c r="D1473" t="s">
        <v>385</v>
      </c>
      <c r="E1473" s="133">
        <v>45841</v>
      </c>
      <c r="F1473" s="2">
        <v>6.4259259259259252E-2</v>
      </c>
      <c r="G1473">
        <v>1</v>
      </c>
      <c r="H1473" s="133">
        <v>45840</v>
      </c>
      <c r="I1473" s="2">
        <v>0.56425925925925924</v>
      </c>
      <c r="J1473">
        <v>13</v>
      </c>
      <c r="R1473" t="s">
        <v>30</v>
      </c>
      <c r="W1473">
        <v>1</v>
      </c>
      <c r="X1473" t="s">
        <v>30</v>
      </c>
      <c r="AC1473" t="s">
        <v>3552</v>
      </c>
      <c r="AE1473" s="135"/>
    </row>
    <row r="1474" spans="1:31" ht="12.5" customHeight="1" x14ac:dyDescent="0.35">
      <c r="A1474" t="s">
        <v>396</v>
      </c>
      <c r="C1474" t="s">
        <v>3553</v>
      </c>
      <c r="D1474" t="s">
        <v>385</v>
      </c>
      <c r="E1474" s="133">
        <v>45841</v>
      </c>
      <c r="F1474" s="2">
        <v>6.4328703703703707E-2</v>
      </c>
      <c r="G1474">
        <v>1</v>
      </c>
      <c r="H1474" s="133">
        <v>45840</v>
      </c>
      <c r="I1474" s="2">
        <v>0.56432870370370369</v>
      </c>
      <c r="J1474">
        <v>13</v>
      </c>
      <c r="R1474" t="s">
        <v>30</v>
      </c>
      <c r="W1474">
        <v>1</v>
      </c>
      <c r="X1474" t="s">
        <v>30</v>
      </c>
      <c r="AC1474" t="s">
        <v>3554</v>
      </c>
      <c r="AE1474" s="135"/>
    </row>
    <row r="1475" spans="1:31" ht="12.5" customHeight="1" x14ac:dyDescent="0.35">
      <c r="A1475" t="s">
        <v>396</v>
      </c>
      <c r="C1475" t="s">
        <v>3555</v>
      </c>
      <c r="D1475" t="s">
        <v>385</v>
      </c>
      <c r="E1475" s="133">
        <v>45841</v>
      </c>
      <c r="F1475" s="2">
        <v>6.4398148148148149E-2</v>
      </c>
      <c r="G1475">
        <v>1</v>
      </c>
      <c r="H1475" s="133">
        <v>45840</v>
      </c>
      <c r="I1475" s="2">
        <v>0.56439814814814815</v>
      </c>
      <c r="J1475">
        <v>13</v>
      </c>
      <c r="R1475" t="s">
        <v>30</v>
      </c>
      <c r="W1475">
        <v>1</v>
      </c>
      <c r="X1475" t="s">
        <v>30</v>
      </c>
      <c r="AC1475" t="s">
        <v>3556</v>
      </c>
      <c r="AE1475" s="135"/>
    </row>
    <row r="1476" spans="1:31" ht="12.5" customHeight="1" x14ac:dyDescent="0.35">
      <c r="A1476" t="s">
        <v>396</v>
      </c>
      <c r="C1476" t="s">
        <v>3557</v>
      </c>
      <c r="D1476" t="s">
        <v>385</v>
      </c>
      <c r="E1476" s="133">
        <v>45841</v>
      </c>
      <c r="F1476" s="2">
        <v>6.446759259259259E-2</v>
      </c>
      <c r="G1476">
        <v>1</v>
      </c>
      <c r="H1476" s="133">
        <v>45840</v>
      </c>
      <c r="I1476" s="2">
        <v>0.5644675925925926</v>
      </c>
      <c r="J1476">
        <v>13</v>
      </c>
      <c r="R1476" t="s">
        <v>30</v>
      </c>
      <c r="W1476">
        <v>1</v>
      </c>
      <c r="X1476" t="s">
        <v>30</v>
      </c>
      <c r="AC1476" t="s">
        <v>3558</v>
      </c>
      <c r="AE1476" s="135"/>
    </row>
    <row r="1477" spans="1:31" ht="12.5" customHeight="1" x14ac:dyDescent="0.35">
      <c r="A1477" t="s">
        <v>396</v>
      </c>
      <c r="C1477" t="s">
        <v>3559</v>
      </c>
      <c r="D1477" t="s">
        <v>385</v>
      </c>
      <c r="E1477" s="133">
        <v>45841</v>
      </c>
      <c r="F1477" s="2">
        <v>6.4560185185185193E-2</v>
      </c>
      <c r="G1477">
        <v>1</v>
      </c>
      <c r="H1477" s="133">
        <v>45840</v>
      </c>
      <c r="I1477" s="2">
        <v>0.56456018518518525</v>
      </c>
      <c r="J1477">
        <v>13</v>
      </c>
      <c r="R1477" t="s">
        <v>30</v>
      </c>
      <c r="W1477">
        <v>1</v>
      </c>
      <c r="X1477" t="s">
        <v>30</v>
      </c>
      <c r="AC1477" t="s">
        <v>3560</v>
      </c>
      <c r="AE1477" s="135"/>
    </row>
    <row r="1478" spans="1:31" ht="12.5" customHeight="1" x14ac:dyDescent="0.35">
      <c r="A1478" t="s">
        <v>396</v>
      </c>
      <c r="C1478" t="s">
        <v>3561</v>
      </c>
      <c r="D1478" t="s">
        <v>385</v>
      </c>
      <c r="E1478" s="133">
        <v>45841</v>
      </c>
      <c r="F1478" s="2">
        <v>6.4629629629629634E-2</v>
      </c>
      <c r="G1478">
        <v>1</v>
      </c>
      <c r="H1478" s="133">
        <v>45840</v>
      </c>
      <c r="I1478" s="2">
        <v>0.5646296296296297</v>
      </c>
      <c r="J1478">
        <v>13</v>
      </c>
      <c r="R1478" t="s">
        <v>30</v>
      </c>
      <c r="W1478">
        <v>1</v>
      </c>
      <c r="X1478" t="s">
        <v>30</v>
      </c>
      <c r="AC1478" t="s">
        <v>3562</v>
      </c>
      <c r="AE1478" s="135"/>
    </row>
    <row r="1479" spans="1:31" ht="12.5" customHeight="1" x14ac:dyDescent="0.35">
      <c r="A1479" t="s">
        <v>396</v>
      </c>
      <c r="C1479" t="s">
        <v>3563</v>
      </c>
      <c r="D1479" t="s">
        <v>385</v>
      </c>
      <c r="E1479" s="133">
        <v>45841</v>
      </c>
      <c r="F1479" s="2">
        <v>6.4699074074074062E-2</v>
      </c>
      <c r="G1479">
        <v>1</v>
      </c>
      <c r="H1479" s="133">
        <v>45840</v>
      </c>
      <c r="I1479" s="2">
        <v>0.56469907407407405</v>
      </c>
      <c r="J1479">
        <v>13</v>
      </c>
      <c r="R1479" t="s">
        <v>30</v>
      </c>
      <c r="W1479">
        <v>1</v>
      </c>
      <c r="X1479" t="s">
        <v>30</v>
      </c>
      <c r="AC1479" t="s">
        <v>3564</v>
      </c>
      <c r="AE1479" s="135"/>
    </row>
    <row r="1480" spans="1:31" ht="12.5" customHeight="1" x14ac:dyDescent="0.35">
      <c r="A1480" t="s">
        <v>396</v>
      </c>
      <c r="C1480" t="s">
        <v>3565</v>
      </c>
      <c r="D1480" t="s">
        <v>385</v>
      </c>
      <c r="E1480" s="133">
        <v>45841</v>
      </c>
      <c r="F1480" s="2">
        <v>6.4791666666666664E-2</v>
      </c>
      <c r="G1480">
        <v>1</v>
      </c>
      <c r="H1480" s="133">
        <v>45840</v>
      </c>
      <c r="I1480" s="2">
        <v>0.56479166666666669</v>
      </c>
      <c r="J1480">
        <v>13</v>
      </c>
      <c r="R1480" t="s">
        <v>30</v>
      </c>
      <c r="W1480">
        <v>1</v>
      </c>
      <c r="X1480" t="s">
        <v>30</v>
      </c>
      <c r="AC1480" t="s">
        <v>3566</v>
      </c>
      <c r="AE1480" s="135"/>
    </row>
    <row r="1481" spans="1:31" ht="12.5" customHeight="1" x14ac:dyDescent="0.35">
      <c r="A1481" t="s">
        <v>396</v>
      </c>
      <c r="C1481" t="s">
        <v>3567</v>
      </c>
      <c r="D1481" t="s">
        <v>385</v>
      </c>
      <c r="E1481" s="133">
        <v>45841</v>
      </c>
      <c r="F1481" s="2">
        <v>6.4861111111111105E-2</v>
      </c>
      <c r="G1481">
        <v>1</v>
      </c>
      <c r="H1481" s="133">
        <v>45840</v>
      </c>
      <c r="I1481" s="2">
        <v>0.56486111111111115</v>
      </c>
      <c r="J1481">
        <v>13</v>
      </c>
      <c r="R1481" t="s">
        <v>30</v>
      </c>
      <c r="W1481">
        <v>1</v>
      </c>
      <c r="X1481" t="s">
        <v>30</v>
      </c>
      <c r="AC1481" t="s">
        <v>3568</v>
      </c>
      <c r="AE1481" s="135"/>
    </row>
    <row r="1482" spans="1:31" ht="12.5" customHeight="1" x14ac:dyDescent="0.35">
      <c r="A1482" t="s">
        <v>396</v>
      </c>
      <c r="C1482" t="s">
        <v>3569</v>
      </c>
      <c r="D1482" t="s">
        <v>385</v>
      </c>
      <c r="E1482" s="133">
        <v>45841</v>
      </c>
      <c r="F1482" s="2">
        <v>6.4930555555555561E-2</v>
      </c>
      <c r="G1482">
        <v>1</v>
      </c>
      <c r="H1482" s="133">
        <v>45840</v>
      </c>
      <c r="I1482" s="2">
        <v>0.5649305555555556</v>
      </c>
      <c r="J1482">
        <v>13</v>
      </c>
      <c r="R1482" t="s">
        <v>30</v>
      </c>
      <c r="W1482">
        <v>1</v>
      </c>
      <c r="X1482" t="s">
        <v>30</v>
      </c>
      <c r="AC1482" t="s">
        <v>3570</v>
      </c>
      <c r="AE1482" s="135"/>
    </row>
    <row r="1483" spans="1:31" ht="12.5" customHeight="1" x14ac:dyDescent="0.35">
      <c r="A1483" t="s">
        <v>396</v>
      </c>
      <c r="C1483" t="s">
        <v>3571</v>
      </c>
      <c r="D1483" t="s">
        <v>385</v>
      </c>
      <c r="E1483" s="133">
        <v>45841</v>
      </c>
      <c r="F1483" s="2">
        <v>6.5000000000000002E-2</v>
      </c>
      <c r="G1483">
        <v>1</v>
      </c>
      <c r="H1483" s="133">
        <v>45840</v>
      </c>
      <c r="I1483" s="2">
        <v>0.56500000000000006</v>
      </c>
      <c r="J1483">
        <v>13</v>
      </c>
      <c r="R1483" t="s">
        <v>30</v>
      </c>
      <c r="W1483">
        <v>1</v>
      </c>
      <c r="X1483" t="s">
        <v>30</v>
      </c>
      <c r="AC1483" t="s">
        <v>3572</v>
      </c>
      <c r="AE1483" s="135"/>
    </row>
    <row r="1484" spans="1:31" ht="12.5" customHeight="1" x14ac:dyDescent="0.35">
      <c r="A1484" t="s">
        <v>396</v>
      </c>
      <c r="C1484" t="s">
        <v>3573</v>
      </c>
      <c r="D1484" t="s">
        <v>385</v>
      </c>
      <c r="E1484" s="133">
        <v>45841</v>
      </c>
      <c r="F1484" s="2">
        <v>6.5092592592592591E-2</v>
      </c>
      <c r="G1484">
        <v>1</v>
      </c>
      <c r="H1484" s="133">
        <v>45840</v>
      </c>
      <c r="I1484" s="2">
        <v>0.56509259259259259</v>
      </c>
      <c r="J1484">
        <v>13</v>
      </c>
      <c r="R1484" t="s">
        <v>30</v>
      </c>
      <c r="W1484">
        <v>1</v>
      </c>
      <c r="X1484" t="s">
        <v>30</v>
      </c>
      <c r="AC1484" t="s">
        <v>3574</v>
      </c>
      <c r="AE1484" s="135"/>
    </row>
    <row r="1485" spans="1:31" ht="12.5" customHeight="1" x14ac:dyDescent="0.35">
      <c r="A1485" t="s">
        <v>396</v>
      </c>
      <c r="C1485" t="s">
        <v>3575</v>
      </c>
      <c r="D1485" t="s">
        <v>385</v>
      </c>
      <c r="E1485" s="133">
        <v>45841</v>
      </c>
      <c r="F1485" s="2">
        <v>6.5162037037037032E-2</v>
      </c>
      <c r="G1485">
        <v>1</v>
      </c>
      <c r="H1485" s="133">
        <v>45840</v>
      </c>
      <c r="I1485" s="2">
        <v>0.56516203703703705</v>
      </c>
      <c r="J1485">
        <v>13</v>
      </c>
      <c r="R1485" t="s">
        <v>30</v>
      </c>
      <c r="W1485">
        <v>1</v>
      </c>
      <c r="X1485" t="s">
        <v>30</v>
      </c>
      <c r="AC1485" t="s">
        <v>3576</v>
      </c>
      <c r="AE1485" s="135"/>
    </row>
    <row r="1486" spans="1:31" ht="12.5" customHeight="1" x14ac:dyDescent="0.35">
      <c r="A1486" t="s">
        <v>396</v>
      </c>
      <c r="C1486" t="s">
        <v>3577</v>
      </c>
      <c r="D1486" t="s">
        <v>385</v>
      </c>
      <c r="E1486" s="133">
        <v>45841</v>
      </c>
      <c r="F1486" s="2">
        <v>6.5231481481481488E-2</v>
      </c>
      <c r="G1486">
        <v>1</v>
      </c>
      <c r="H1486" s="133">
        <v>45840</v>
      </c>
      <c r="I1486" s="2">
        <v>0.5652314814814815</v>
      </c>
      <c r="J1486">
        <v>13</v>
      </c>
      <c r="R1486" t="s">
        <v>30</v>
      </c>
      <c r="W1486">
        <v>1</v>
      </c>
      <c r="X1486" t="s">
        <v>30</v>
      </c>
      <c r="AC1486" t="s">
        <v>3578</v>
      </c>
      <c r="AE1486" s="135"/>
    </row>
    <row r="1487" spans="1:31" ht="12.5" customHeight="1" x14ac:dyDescent="0.35">
      <c r="A1487" t="s">
        <v>396</v>
      </c>
      <c r="C1487" t="s">
        <v>3579</v>
      </c>
      <c r="D1487" t="s">
        <v>385</v>
      </c>
      <c r="E1487" s="133">
        <v>45841</v>
      </c>
      <c r="F1487" s="2">
        <v>6.5324074074074076E-2</v>
      </c>
      <c r="G1487">
        <v>1</v>
      </c>
      <c r="H1487" s="133">
        <v>45840</v>
      </c>
      <c r="I1487" s="2">
        <v>0.56532407407407403</v>
      </c>
      <c r="J1487">
        <v>13</v>
      </c>
      <c r="R1487" t="s">
        <v>30</v>
      </c>
      <c r="W1487">
        <v>1</v>
      </c>
      <c r="X1487" t="s">
        <v>30</v>
      </c>
      <c r="AC1487" t="s">
        <v>3580</v>
      </c>
      <c r="AE1487" s="135"/>
    </row>
    <row r="1488" spans="1:31" ht="12.5" customHeight="1" x14ac:dyDescent="0.35">
      <c r="A1488" t="s">
        <v>396</v>
      </c>
      <c r="C1488" t="s">
        <v>3581</v>
      </c>
      <c r="D1488" t="s">
        <v>385</v>
      </c>
      <c r="E1488" s="133">
        <v>45841</v>
      </c>
      <c r="F1488" s="2">
        <v>6.5393518518518517E-2</v>
      </c>
      <c r="G1488">
        <v>1</v>
      </c>
      <c r="H1488" s="133">
        <v>45840</v>
      </c>
      <c r="I1488" s="2">
        <v>0.56539351851851849</v>
      </c>
      <c r="J1488">
        <v>13</v>
      </c>
      <c r="R1488" t="s">
        <v>30</v>
      </c>
      <c r="W1488">
        <v>1</v>
      </c>
      <c r="X1488" t="s">
        <v>30</v>
      </c>
      <c r="AC1488" t="s">
        <v>3582</v>
      </c>
      <c r="AE1488" s="135"/>
    </row>
    <row r="1489" spans="1:31" ht="12.5" customHeight="1" x14ac:dyDescent="0.35">
      <c r="A1489" t="s">
        <v>396</v>
      </c>
      <c r="C1489" t="s">
        <v>3583</v>
      </c>
      <c r="D1489" t="s">
        <v>385</v>
      </c>
      <c r="E1489" s="133">
        <v>45841</v>
      </c>
      <c r="F1489" s="2">
        <v>6.5462962962962959E-2</v>
      </c>
      <c r="G1489">
        <v>1</v>
      </c>
      <c r="H1489" s="133">
        <v>45840</v>
      </c>
      <c r="I1489" s="2">
        <v>0.56546296296296295</v>
      </c>
      <c r="J1489">
        <v>13</v>
      </c>
      <c r="R1489" t="s">
        <v>30</v>
      </c>
      <c r="W1489">
        <v>1</v>
      </c>
      <c r="X1489" t="s">
        <v>30</v>
      </c>
      <c r="AC1489" t="s">
        <v>3584</v>
      </c>
      <c r="AE1489" s="135"/>
    </row>
    <row r="1490" spans="1:31" ht="12.5" customHeight="1" x14ac:dyDescent="0.35">
      <c r="A1490" t="s">
        <v>396</v>
      </c>
      <c r="C1490" t="s">
        <v>3585</v>
      </c>
      <c r="D1490" t="s">
        <v>385</v>
      </c>
      <c r="E1490" s="133">
        <v>45841</v>
      </c>
      <c r="F1490" s="2">
        <v>6.5555555555555547E-2</v>
      </c>
      <c r="G1490">
        <v>1</v>
      </c>
      <c r="H1490" s="133">
        <v>45840</v>
      </c>
      <c r="I1490" s="2">
        <v>0.56555555555555559</v>
      </c>
      <c r="J1490">
        <v>13</v>
      </c>
      <c r="R1490" t="s">
        <v>30</v>
      </c>
      <c r="W1490">
        <v>1</v>
      </c>
      <c r="X1490" t="s">
        <v>30</v>
      </c>
      <c r="AC1490" t="s">
        <v>3586</v>
      </c>
      <c r="AE1490" s="135"/>
    </row>
    <row r="1491" spans="1:31" ht="12.5" customHeight="1" x14ac:dyDescent="0.35">
      <c r="A1491" t="s">
        <v>396</v>
      </c>
      <c r="C1491" t="s">
        <v>3587</v>
      </c>
      <c r="D1491" t="s">
        <v>385</v>
      </c>
      <c r="E1491" s="133">
        <v>45841</v>
      </c>
      <c r="F1491" s="2">
        <v>6.5625000000000003E-2</v>
      </c>
      <c r="G1491">
        <v>1</v>
      </c>
      <c r="H1491" s="133">
        <v>45840</v>
      </c>
      <c r="I1491" s="2">
        <v>0.56562499999999993</v>
      </c>
      <c r="J1491">
        <v>13</v>
      </c>
      <c r="R1491" t="s">
        <v>30</v>
      </c>
      <c r="W1491">
        <v>1</v>
      </c>
      <c r="X1491" t="s">
        <v>30</v>
      </c>
      <c r="AC1491" t="s">
        <v>3588</v>
      </c>
      <c r="AE1491" s="135"/>
    </row>
    <row r="1492" spans="1:31" ht="12.5" customHeight="1" x14ac:dyDescent="0.35">
      <c r="A1492" t="s">
        <v>396</v>
      </c>
      <c r="C1492" t="s">
        <v>3589</v>
      </c>
      <c r="D1492" t="s">
        <v>385</v>
      </c>
      <c r="E1492" s="133">
        <v>45841</v>
      </c>
      <c r="F1492" s="2">
        <v>6.5694444444444444E-2</v>
      </c>
      <c r="G1492">
        <v>1</v>
      </c>
      <c r="H1492" s="133">
        <v>45840</v>
      </c>
      <c r="I1492" s="2">
        <v>0.56569444444444439</v>
      </c>
      <c r="J1492">
        <v>13</v>
      </c>
      <c r="R1492" t="s">
        <v>30</v>
      </c>
      <c r="W1492">
        <v>1</v>
      </c>
      <c r="X1492" t="s">
        <v>30</v>
      </c>
      <c r="AC1492" t="s">
        <v>3590</v>
      </c>
      <c r="AE1492" s="135"/>
    </row>
    <row r="1493" spans="1:31" ht="12.5" customHeight="1" x14ac:dyDescent="0.35">
      <c r="A1493" t="s">
        <v>396</v>
      </c>
      <c r="C1493" t="s">
        <v>3591</v>
      </c>
      <c r="D1493" t="s">
        <v>385</v>
      </c>
      <c r="E1493" s="133">
        <v>45841</v>
      </c>
      <c r="F1493" s="2">
        <v>6.5787037037037033E-2</v>
      </c>
      <c r="G1493">
        <v>1</v>
      </c>
      <c r="H1493" s="133">
        <v>45840</v>
      </c>
      <c r="I1493" s="2">
        <v>0.56578703703703703</v>
      </c>
      <c r="J1493">
        <v>13</v>
      </c>
      <c r="R1493" t="s">
        <v>30</v>
      </c>
      <c r="W1493">
        <v>1</v>
      </c>
      <c r="X1493" t="s">
        <v>30</v>
      </c>
      <c r="AC1493" t="s">
        <v>3592</v>
      </c>
      <c r="AE1493" s="135"/>
    </row>
    <row r="1494" spans="1:31" ht="12.5" customHeight="1" x14ac:dyDescent="0.35">
      <c r="A1494" t="s">
        <v>396</v>
      </c>
      <c r="C1494" t="s">
        <v>3593</v>
      </c>
      <c r="D1494" t="s">
        <v>385</v>
      </c>
      <c r="E1494" s="133">
        <v>45841</v>
      </c>
      <c r="F1494" s="2">
        <v>6.5856481481481488E-2</v>
      </c>
      <c r="G1494">
        <v>1</v>
      </c>
      <c r="H1494" s="133">
        <v>45840</v>
      </c>
      <c r="I1494" s="2">
        <v>0.56585648148148149</v>
      </c>
      <c r="J1494">
        <v>13</v>
      </c>
      <c r="R1494" t="s">
        <v>30</v>
      </c>
      <c r="W1494">
        <v>1</v>
      </c>
      <c r="X1494" t="s">
        <v>30</v>
      </c>
      <c r="AC1494" t="s">
        <v>3594</v>
      </c>
      <c r="AE1494" s="135"/>
    </row>
    <row r="1495" spans="1:31" ht="12.5" customHeight="1" x14ac:dyDescent="0.35">
      <c r="A1495" t="s">
        <v>396</v>
      </c>
      <c r="C1495" t="s">
        <v>3595</v>
      </c>
      <c r="D1495" t="s">
        <v>385</v>
      </c>
      <c r="E1495" s="133">
        <v>45841</v>
      </c>
      <c r="F1495" s="2">
        <v>6.5925925925925929E-2</v>
      </c>
      <c r="G1495">
        <v>1</v>
      </c>
      <c r="H1495" s="133">
        <v>45840</v>
      </c>
      <c r="I1495" s="2">
        <v>0.56592592592592594</v>
      </c>
      <c r="J1495">
        <v>13</v>
      </c>
      <c r="R1495" t="s">
        <v>30</v>
      </c>
      <c r="W1495">
        <v>1</v>
      </c>
      <c r="X1495" t="s">
        <v>30</v>
      </c>
      <c r="AC1495" t="s">
        <v>3596</v>
      </c>
      <c r="AE1495" s="135"/>
    </row>
    <row r="1496" spans="1:31" ht="12.5" customHeight="1" x14ac:dyDescent="0.35">
      <c r="A1496" t="s">
        <v>396</v>
      </c>
      <c r="C1496" t="s">
        <v>3597</v>
      </c>
      <c r="D1496" t="s">
        <v>385</v>
      </c>
      <c r="E1496" s="133">
        <v>45841</v>
      </c>
      <c r="F1496" s="2">
        <v>6.5995370370370371E-2</v>
      </c>
      <c r="G1496">
        <v>1</v>
      </c>
      <c r="H1496" s="133">
        <v>45840</v>
      </c>
      <c r="I1496" s="2">
        <v>0.5659953703703704</v>
      </c>
      <c r="J1496">
        <v>13</v>
      </c>
      <c r="R1496" t="s">
        <v>30</v>
      </c>
      <c r="W1496">
        <v>1</v>
      </c>
      <c r="X1496" t="s">
        <v>30</v>
      </c>
      <c r="AC1496" t="s">
        <v>3598</v>
      </c>
      <c r="AE1496" s="135"/>
    </row>
    <row r="1497" spans="1:31" ht="12.5" customHeight="1" x14ac:dyDescent="0.35">
      <c r="A1497" t="s">
        <v>396</v>
      </c>
      <c r="C1497" t="s">
        <v>3599</v>
      </c>
      <c r="D1497" t="s">
        <v>385</v>
      </c>
      <c r="E1497" s="133">
        <v>45841</v>
      </c>
      <c r="F1497" s="2">
        <v>6.6087962962962959E-2</v>
      </c>
      <c r="G1497">
        <v>1</v>
      </c>
      <c r="H1497" s="133">
        <v>45840</v>
      </c>
      <c r="I1497" s="2">
        <v>0.56608796296296293</v>
      </c>
      <c r="J1497">
        <v>13</v>
      </c>
      <c r="R1497" t="s">
        <v>30</v>
      </c>
      <c r="W1497">
        <v>1</v>
      </c>
      <c r="X1497" t="s">
        <v>30</v>
      </c>
      <c r="AC1497" t="s">
        <v>3600</v>
      </c>
      <c r="AE1497" s="135"/>
    </row>
    <row r="1498" spans="1:31" ht="12.5" customHeight="1" x14ac:dyDescent="0.35">
      <c r="A1498" t="s">
        <v>396</v>
      </c>
      <c r="C1498" t="s">
        <v>3601</v>
      </c>
      <c r="D1498" t="s">
        <v>385</v>
      </c>
      <c r="E1498" s="133">
        <v>45841</v>
      </c>
      <c r="F1498" s="2">
        <v>6.6157407407407401E-2</v>
      </c>
      <c r="G1498">
        <v>1</v>
      </c>
      <c r="H1498" s="133">
        <v>45840</v>
      </c>
      <c r="I1498" s="2">
        <v>0.56615740740740739</v>
      </c>
      <c r="J1498">
        <v>13</v>
      </c>
      <c r="R1498" t="s">
        <v>30</v>
      </c>
      <c r="W1498">
        <v>1</v>
      </c>
      <c r="X1498" t="s">
        <v>30</v>
      </c>
      <c r="AC1498" t="s">
        <v>3602</v>
      </c>
      <c r="AE1498" s="135"/>
    </row>
    <row r="1499" spans="1:31" ht="12.5" customHeight="1" x14ac:dyDescent="0.35">
      <c r="A1499" t="s">
        <v>396</v>
      </c>
      <c r="C1499" t="s">
        <v>3603</v>
      </c>
      <c r="D1499" t="s">
        <v>385</v>
      </c>
      <c r="E1499" s="133">
        <v>45841</v>
      </c>
      <c r="F1499" s="2">
        <v>6.6226851851851856E-2</v>
      </c>
      <c r="G1499">
        <v>1</v>
      </c>
      <c r="H1499" s="133">
        <v>45840</v>
      </c>
      <c r="I1499" s="2">
        <v>0.56622685185185184</v>
      </c>
      <c r="J1499">
        <v>13</v>
      </c>
      <c r="R1499" t="s">
        <v>30</v>
      </c>
      <c r="W1499">
        <v>1</v>
      </c>
      <c r="X1499" t="s">
        <v>30</v>
      </c>
      <c r="AC1499" t="s">
        <v>3604</v>
      </c>
      <c r="AE1499" s="135"/>
    </row>
    <row r="1500" spans="1:31" ht="12.5" customHeight="1" x14ac:dyDescent="0.35">
      <c r="A1500" t="s">
        <v>396</v>
      </c>
      <c r="C1500" t="s">
        <v>3605</v>
      </c>
      <c r="D1500" t="s">
        <v>385</v>
      </c>
      <c r="E1500" s="133">
        <v>45841</v>
      </c>
      <c r="F1500" s="2">
        <v>6.6319444444444445E-2</v>
      </c>
      <c r="G1500">
        <v>1</v>
      </c>
      <c r="H1500" s="133">
        <v>45840</v>
      </c>
      <c r="I1500" s="2">
        <v>0.56631944444444449</v>
      </c>
      <c r="J1500">
        <v>13</v>
      </c>
      <c r="R1500" t="s">
        <v>30</v>
      </c>
      <c r="W1500">
        <v>1</v>
      </c>
      <c r="X1500" t="s">
        <v>30</v>
      </c>
      <c r="AC1500" t="s">
        <v>3606</v>
      </c>
      <c r="AE1500" s="135"/>
    </row>
    <row r="1501" spans="1:31" ht="12.5" customHeight="1" x14ac:dyDescent="0.35">
      <c r="A1501" t="s">
        <v>396</v>
      </c>
      <c r="C1501" t="s">
        <v>3607</v>
      </c>
      <c r="D1501" t="s">
        <v>385</v>
      </c>
      <c r="E1501" s="133">
        <v>45841</v>
      </c>
      <c r="F1501" s="2">
        <v>6.6388888888888886E-2</v>
      </c>
      <c r="G1501">
        <v>1</v>
      </c>
      <c r="H1501" s="133">
        <v>45840</v>
      </c>
      <c r="I1501" s="2">
        <v>0.56638888888888894</v>
      </c>
      <c r="J1501">
        <v>13</v>
      </c>
      <c r="R1501" t="s">
        <v>30</v>
      </c>
      <c r="W1501">
        <v>1</v>
      </c>
      <c r="X1501" t="s">
        <v>30</v>
      </c>
      <c r="AC1501" t="s">
        <v>3608</v>
      </c>
      <c r="AE1501" s="135"/>
    </row>
    <row r="1502" spans="1:31" ht="12.5" customHeight="1" x14ac:dyDescent="0.35">
      <c r="A1502" t="s">
        <v>396</v>
      </c>
      <c r="C1502" t="s">
        <v>3609</v>
      </c>
      <c r="D1502" t="s">
        <v>385</v>
      </c>
      <c r="E1502" s="133">
        <v>45841</v>
      </c>
      <c r="F1502" s="2">
        <v>6.6458333333333341E-2</v>
      </c>
      <c r="G1502">
        <v>1</v>
      </c>
      <c r="H1502" s="133">
        <v>45840</v>
      </c>
      <c r="I1502" s="2">
        <v>0.5664583333333334</v>
      </c>
      <c r="J1502">
        <v>13</v>
      </c>
      <c r="R1502" t="s">
        <v>30</v>
      </c>
      <c r="W1502">
        <v>1</v>
      </c>
      <c r="X1502" t="s">
        <v>30</v>
      </c>
      <c r="AC1502" t="s">
        <v>3610</v>
      </c>
      <c r="AE1502" s="135"/>
    </row>
    <row r="1503" spans="1:31" ht="12.5" customHeight="1" x14ac:dyDescent="0.35">
      <c r="A1503" t="s">
        <v>396</v>
      </c>
      <c r="C1503" t="s">
        <v>3611</v>
      </c>
      <c r="D1503" t="s">
        <v>385</v>
      </c>
      <c r="E1503" s="133">
        <v>45841</v>
      </c>
      <c r="F1503" s="2">
        <v>6.655092592592593E-2</v>
      </c>
      <c r="G1503">
        <v>1</v>
      </c>
      <c r="H1503" s="133">
        <v>45840</v>
      </c>
      <c r="I1503" s="2">
        <v>0.56655092592592593</v>
      </c>
      <c r="J1503">
        <v>13</v>
      </c>
      <c r="R1503" t="s">
        <v>30</v>
      </c>
      <c r="W1503">
        <v>1</v>
      </c>
      <c r="X1503" t="s">
        <v>30</v>
      </c>
      <c r="AC1503" t="s">
        <v>3612</v>
      </c>
      <c r="AE1503" s="135"/>
    </row>
    <row r="1504" spans="1:31" ht="12.5" customHeight="1" x14ac:dyDescent="0.35">
      <c r="A1504" t="s">
        <v>396</v>
      </c>
      <c r="C1504" t="s">
        <v>3613</v>
      </c>
      <c r="D1504" t="s">
        <v>385</v>
      </c>
      <c r="E1504" s="133">
        <v>45841</v>
      </c>
      <c r="F1504" s="2">
        <v>6.6620370370370371E-2</v>
      </c>
      <c r="G1504">
        <v>1</v>
      </c>
      <c r="H1504" s="133">
        <v>45840</v>
      </c>
      <c r="I1504" s="2">
        <v>0.56662037037037039</v>
      </c>
      <c r="J1504">
        <v>13</v>
      </c>
      <c r="R1504" t="s">
        <v>30</v>
      </c>
      <c r="W1504">
        <v>1</v>
      </c>
      <c r="X1504" t="s">
        <v>30</v>
      </c>
      <c r="AC1504" t="s">
        <v>3614</v>
      </c>
      <c r="AE1504" s="135"/>
    </row>
    <row r="1505" spans="1:31" ht="12.5" customHeight="1" x14ac:dyDescent="0.35">
      <c r="A1505" t="s">
        <v>396</v>
      </c>
      <c r="C1505" t="s">
        <v>3615</v>
      </c>
      <c r="D1505" t="s">
        <v>385</v>
      </c>
      <c r="E1505" s="133">
        <v>45841</v>
      </c>
      <c r="F1505" s="2">
        <v>6.6689814814814813E-2</v>
      </c>
      <c r="G1505">
        <v>1</v>
      </c>
      <c r="H1505" s="133">
        <v>45840</v>
      </c>
      <c r="I1505" s="2">
        <v>0.56668981481481484</v>
      </c>
      <c r="J1505">
        <v>13</v>
      </c>
      <c r="R1505" t="s">
        <v>30</v>
      </c>
      <c r="W1505">
        <v>1</v>
      </c>
      <c r="X1505" t="s">
        <v>30</v>
      </c>
      <c r="AC1505" t="s">
        <v>3616</v>
      </c>
      <c r="AE1505" s="135"/>
    </row>
    <row r="1506" spans="1:31" ht="12.5" customHeight="1" x14ac:dyDescent="0.35">
      <c r="A1506" t="s">
        <v>396</v>
      </c>
      <c r="C1506" t="s">
        <v>3617</v>
      </c>
      <c r="D1506" t="s">
        <v>385</v>
      </c>
      <c r="E1506" s="133">
        <v>45841</v>
      </c>
      <c r="F1506" s="2">
        <v>6.6782407407407415E-2</v>
      </c>
      <c r="G1506">
        <v>1</v>
      </c>
      <c r="H1506" s="133">
        <v>45840</v>
      </c>
      <c r="I1506" s="2">
        <v>0.56678240740740737</v>
      </c>
      <c r="J1506">
        <v>13</v>
      </c>
      <c r="R1506" t="s">
        <v>30</v>
      </c>
      <c r="W1506">
        <v>1</v>
      </c>
      <c r="X1506" t="s">
        <v>30</v>
      </c>
      <c r="AC1506" t="s">
        <v>3618</v>
      </c>
      <c r="AE1506" s="135"/>
    </row>
    <row r="1507" spans="1:31" ht="12.5" customHeight="1" x14ac:dyDescent="0.35">
      <c r="A1507" t="s">
        <v>396</v>
      </c>
      <c r="C1507" t="s">
        <v>3619</v>
      </c>
      <c r="D1507" t="s">
        <v>385</v>
      </c>
      <c r="E1507" s="133">
        <v>45841</v>
      </c>
      <c r="F1507" s="2">
        <v>6.6851851851851843E-2</v>
      </c>
      <c r="G1507">
        <v>1</v>
      </c>
      <c r="H1507" s="133">
        <v>45840</v>
      </c>
      <c r="I1507" s="2">
        <v>0.56685185185185183</v>
      </c>
      <c r="J1507">
        <v>13</v>
      </c>
      <c r="R1507" t="s">
        <v>30</v>
      </c>
      <c r="W1507">
        <v>1</v>
      </c>
      <c r="X1507" t="s">
        <v>30</v>
      </c>
      <c r="AC1507" t="s">
        <v>3620</v>
      </c>
      <c r="AE1507" s="135"/>
    </row>
    <row r="1508" spans="1:31" ht="12.5" customHeight="1" x14ac:dyDescent="0.35">
      <c r="A1508" t="s">
        <v>396</v>
      </c>
      <c r="C1508" t="s">
        <v>3621</v>
      </c>
      <c r="D1508" t="s">
        <v>385</v>
      </c>
      <c r="E1508" s="133">
        <v>45841</v>
      </c>
      <c r="F1508" s="2">
        <v>6.6921296296296298E-2</v>
      </c>
      <c r="G1508">
        <v>1</v>
      </c>
      <c r="H1508" s="133">
        <v>45840</v>
      </c>
      <c r="I1508" s="2">
        <v>0.56692129629629628</v>
      </c>
      <c r="J1508">
        <v>13</v>
      </c>
      <c r="R1508" t="s">
        <v>30</v>
      </c>
      <c r="W1508">
        <v>1</v>
      </c>
      <c r="X1508" t="s">
        <v>30</v>
      </c>
      <c r="AC1508" t="s">
        <v>3622</v>
      </c>
      <c r="AE1508" s="135"/>
    </row>
    <row r="1509" spans="1:31" ht="12.5" customHeight="1" x14ac:dyDescent="0.35">
      <c r="A1509" t="s">
        <v>396</v>
      </c>
      <c r="C1509" t="s">
        <v>3623</v>
      </c>
      <c r="D1509" t="s">
        <v>385</v>
      </c>
      <c r="E1509" s="133">
        <v>45841</v>
      </c>
      <c r="F1509" s="2">
        <v>6.7013888888888887E-2</v>
      </c>
      <c r="G1509">
        <v>1</v>
      </c>
      <c r="H1509" s="133">
        <v>45840</v>
      </c>
      <c r="I1509" s="2">
        <v>0.56701388888888882</v>
      </c>
      <c r="J1509">
        <v>13</v>
      </c>
      <c r="R1509" t="s">
        <v>30</v>
      </c>
      <c r="W1509">
        <v>1</v>
      </c>
      <c r="X1509" t="s">
        <v>30</v>
      </c>
      <c r="AC1509" t="s">
        <v>3624</v>
      </c>
      <c r="AE1509" s="135"/>
    </row>
    <row r="1510" spans="1:31" ht="12.5" customHeight="1" x14ac:dyDescent="0.35">
      <c r="A1510" t="s">
        <v>396</v>
      </c>
      <c r="C1510" t="s">
        <v>3625</v>
      </c>
      <c r="D1510" t="s">
        <v>385</v>
      </c>
      <c r="E1510" s="133">
        <v>45841</v>
      </c>
      <c r="F1510" s="2">
        <v>6.7083333333333328E-2</v>
      </c>
      <c r="G1510">
        <v>1</v>
      </c>
      <c r="H1510" s="133">
        <v>45840</v>
      </c>
      <c r="I1510" s="2">
        <v>0.56708333333333327</v>
      </c>
      <c r="J1510">
        <v>13</v>
      </c>
      <c r="R1510" t="s">
        <v>30</v>
      </c>
      <c r="W1510">
        <v>1</v>
      </c>
      <c r="X1510" t="s">
        <v>30</v>
      </c>
      <c r="AC1510" t="s">
        <v>3626</v>
      </c>
      <c r="AE1510" s="135"/>
    </row>
    <row r="1511" spans="1:31" ht="12.5" customHeight="1" x14ac:dyDescent="0.35">
      <c r="A1511" t="s">
        <v>396</v>
      </c>
      <c r="C1511" t="s">
        <v>3627</v>
      </c>
      <c r="D1511" t="s">
        <v>385</v>
      </c>
      <c r="E1511" s="133">
        <v>45841</v>
      </c>
      <c r="F1511" s="2">
        <v>6.7152777777777783E-2</v>
      </c>
      <c r="G1511">
        <v>1</v>
      </c>
      <c r="H1511" s="133">
        <v>45840</v>
      </c>
      <c r="I1511" s="2">
        <v>0.56715277777777773</v>
      </c>
      <c r="J1511">
        <v>13</v>
      </c>
      <c r="R1511" t="s">
        <v>30</v>
      </c>
      <c r="W1511">
        <v>1</v>
      </c>
      <c r="X1511" t="s">
        <v>30</v>
      </c>
      <c r="AC1511" t="s">
        <v>3628</v>
      </c>
      <c r="AE1511" s="135"/>
    </row>
    <row r="1512" spans="1:31" ht="12.5" customHeight="1" x14ac:dyDescent="0.35">
      <c r="A1512" t="s">
        <v>396</v>
      </c>
      <c r="C1512" t="s">
        <v>3629</v>
      </c>
      <c r="D1512" t="s">
        <v>385</v>
      </c>
      <c r="E1512" s="133">
        <v>45841</v>
      </c>
      <c r="F1512" s="2">
        <v>6.7245370370370372E-2</v>
      </c>
      <c r="G1512">
        <v>1</v>
      </c>
      <c r="H1512" s="133">
        <v>45840</v>
      </c>
      <c r="I1512" s="2">
        <v>0.56724537037037037</v>
      </c>
      <c r="J1512">
        <v>13</v>
      </c>
      <c r="R1512" t="s">
        <v>30</v>
      </c>
      <c r="W1512">
        <v>1</v>
      </c>
      <c r="X1512" t="s">
        <v>30</v>
      </c>
      <c r="AC1512" t="s">
        <v>3630</v>
      </c>
      <c r="AE1512" s="135"/>
    </row>
    <row r="1513" spans="1:31" ht="12.5" customHeight="1" x14ac:dyDescent="0.35">
      <c r="A1513" t="s">
        <v>396</v>
      </c>
      <c r="C1513" t="s">
        <v>3631</v>
      </c>
      <c r="D1513" t="s">
        <v>385</v>
      </c>
      <c r="E1513" s="133">
        <v>45841</v>
      </c>
      <c r="F1513" s="2">
        <v>6.7314814814814813E-2</v>
      </c>
      <c r="G1513">
        <v>1</v>
      </c>
      <c r="H1513" s="133">
        <v>45840</v>
      </c>
      <c r="I1513" s="2">
        <v>0.56731481481481483</v>
      </c>
      <c r="J1513">
        <v>13</v>
      </c>
      <c r="R1513" t="s">
        <v>30</v>
      </c>
      <c r="W1513">
        <v>1</v>
      </c>
      <c r="X1513" t="s">
        <v>30</v>
      </c>
      <c r="AC1513" t="s">
        <v>3632</v>
      </c>
      <c r="AE1513" s="135"/>
    </row>
    <row r="1514" spans="1:31" ht="12.5" customHeight="1" x14ac:dyDescent="0.35">
      <c r="A1514" t="s">
        <v>396</v>
      </c>
      <c r="C1514" t="s">
        <v>3633</v>
      </c>
      <c r="D1514" t="s">
        <v>385</v>
      </c>
      <c r="E1514" s="133">
        <v>45841</v>
      </c>
      <c r="F1514" s="2">
        <v>6.7384259259259269E-2</v>
      </c>
      <c r="G1514">
        <v>1</v>
      </c>
      <c r="H1514" s="133">
        <v>45840</v>
      </c>
      <c r="I1514" s="2">
        <v>0.56738425925925928</v>
      </c>
      <c r="J1514">
        <v>13</v>
      </c>
      <c r="R1514" t="s">
        <v>30</v>
      </c>
      <c r="W1514">
        <v>1</v>
      </c>
      <c r="X1514" t="s">
        <v>30</v>
      </c>
      <c r="AC1514" t="s">
        <v>3634</v>
      </c>
      <c r="AE1514" s="135"/>
    </row>
    <row r="1515" spans="1:31" ht="12.5" customHeight="1" x14ac:dyDescent="0.35">
      <c r="A1515" t="s">
        <v>396</v>
      </c>
      <c r="C1515" t="s">
        <v>3635</v>
      </c>
      <c r="D1515" t="s">
        <v>385</v>
      </c>
      <c r="E1515" s="133">
        <v>45841</v>
      </c>
      <c r="F1515" s="2">
        <v>6.7476851851851857E-2</v>
      </c>
      <c r="G1515">
        <v>1</v>
      </c>
      <c r="H1515" s="133">
        <v>45840</v>
      </c>
      <c r="I1515" s="2">
        <v>0.56747685185185182</v>
      </c>
      <c r="J1515">
        <v>13</v>
      </c>
      <c r="R1515" t="s">
        <v>30</v>
      </c>
      <c r="W1515">
        <v>1</v>
      </c>
      <c r="X1515" t="s">
        <v>30</v>
      </c>
      <c r="AC1515" t="s">
        <v>3636</v>
      </c>
      <c r="AE1515" s="135"/>
    </row>
    <row r="1516" spans="1:31" ht="12.5" customHeight="1" x14ac:dyDescent="0.35">
      <c r="A1516" t="s">
        <v>396</v>
      </c>
      <c r="C1516" t="s">
        <v>3637</v>
      </c>
      <c r="D1516" t="s">
        <v>385</v>
      </c>
      <c r="E1516" s="133">
        <v>45841</v>
      </c>
      <c r="F1516" s="2">
        <v>6.7546296296296285E-2</v>
      </c>
      <c r="G1516">
        <v>1</v>
      </c>
      <c r="H1516" s="133">
        <v>45840</v>
      </c>
      <c r="I1516" s="2">
        <v>0.56754629629629627</v>
      </c>
      <c r="J1516">
        <v>13</v>
      </c>
      <c r="R1516" t="s">
        <v>30</v>
      </c>
      <c r="W1516">
        <v>1</v>
      </c>
      <c r="X1516" t="s">
        <v>30</v>
      </c>
      <c r="AC1516" t="s">
        <v>3638</v>
      </c>
      <c r="AE1516" s="135"/>
    </row>
    <row r="1517" spans="1:31" ht="12.5" customHeight="1" x14ac:dyDescent="0.35">
      <c r="A1517" t="s">
        <v>396</v>
      </c>
      <c r="C1517" t="s">
        <v>3639</v>
      </c>
      <c r="D1517" t="s">
        <v>385</v>
      </c>
      <c r="E1517" s="133">
        <v>45841</v>
      </c>
      <c r="F1517" s="2">
        <v>6.761574074074074E-2</v>
      </c>
      <c r="G1517">
        <v>1</v>
      </c>
      <c r="H1517" s="133">
        <v>45840</v>
      </c>
      <c r="I1517" s="2">
        <v>0.56761574074074073</v>
      </c>
      <c r="J1517">
        <v>13</v>
      </c>
      <c r="R1517" t="s">
        <v>30</v>
      </c>
      <c r="W1517">
        <v>1</v>
      </c>
      <c r="X1517" t="s">
        <v>30</v>
      </c>
      <c r="AC1517" t="s">
        <v>3640</v>
      </c>
      <c r="AE1517" s="135"/>
    </row>
    <row r="1518" spans="1:31" ht="12.5" customHeight="1" x14ac:dyDescent="0.35">
      <c r="A1518" t="s">
        <v>396</v>
      </c>
      <c r="C1518" t="s">
        <v>3641</v>
      </c>
      <c r="D1518" t="s">
        <v>385</v>
      </c>
      <c r="E1518" s="133">
        <v>45841</v>
      </c>
      <c r="F1518" s="2">
        <v>6.7708333333333329E-2</v>
      </c>
      <c r="G1518">
        <v>1</v>
      </c>
      <c r="H1518" s="133">
        <v>45840</v>
      </c>
      <c r="I1518" s="2">
        <v>0.56770833333333337</v>
      </c>
      <c r="J1518">
        <v>13</v>
      </c>
      <c r="R1518" t="s">
        <v>30</v>
      </c>
      <c r="W1518">
        <v>1</v>
      </c>
      <c r="X1518" t="s">
        <v>30</v>
      </c>
      <c r="AC1518" t="s">
        <v>3642</v>
      </c>
      <c r="AE1518" s="135"/>
    </row>
    <row r="1519" spans="1:31" ht="12.5" customHeight="1" x14ac:dyDescent="0.35">
      <c r="A1519" t="s">
        <v>396</v>
      </c>
      <c r="C1519" t="s">
        <v>3643</v>
      </c>
      <c r="D1519" t="s">
        <v>385</v>
      </c>
      <c r="E1519" s="133">
        <v>45841</v>
      </c>
      <c r="F1519" s="2">
        <v>6.7777777777777784E-2</v>
      </c>
      <c r="G1519">
        <v>1</v>
      </c>
      <c r="H1519" s="133">
        <v>45840</v>
      </c>
      <c r="I1519" s="2">
        <v>0.56777777777777783</v>
      </c>
      <c r="J1519">
        <v>13</v>
      </c>
      <c r="R1519" t="s">
        <v>30</v>
      </c>
      <c r="W1519">
        <v>1</v>
      </c>
      <c r="X1519" t="s">
        <v>30</v>
      </c>
      <c r="AC1519" t="s">
        <v>3644</v>
      </c>
      <c r="AE1519" s="135"/>
    </row>
    <row r="1520" spans="1:31" ht="12.5" customHeight="1" x14ac:dyDescent="0.35">
      <c r="A1520" t="s">
        <v>396</v>
      </c>
      <c r="C1520" t="s">
        <v>3645</v>
      </c>
      <c r="D1520" t="s">
        <v>385</v>
      </c>
      <c r="E1520" s="133">
        <v>45841</v>
      </c>
      <c r="F1520" s="2">
        <v>6.7847222222222225E-2</v>
      </c>
      <c r="G1520">
        <v>1</v>
      </c>
      <c r="H1520" s="133">
        <v>45840</v>
      </c>
      <c r="I1520" s="2">
        <v>0.56784722222222228</v>
      </c>
      <c r="J1520">
        <v>13</v>
      </c>
      <c r="R1520" t="s">
        <v>30</v>
      </c>
      <c r="W1520">
        <v>1</v>
      </c>
      <c r="X1520" t="s">
        <v>30</v>
      </c>
      <c r="AC1520" t="s">
        <v>3646</v>
      </c>
      <c r="AE1520" s="135"/>
    </row>
    <row r="1521" spans="1:31" ht="12.5" customHeight="1" x14ac:dyDescent="0.35">
      <c r="A1521" t="s">
        <v>396</v>
      </c>
      <c r="C1521" t="s">
        <v>3647</v>
      </c>
      <c r="D1521" t="s">
        <v>385</v>
      </c>
      <c r="E1521" s="133">
        <v>45841</v>
      </c>
      <c r="F1521" s="2">
        <v>6.7939814814814814E-2</v>
      </c>
      <c r="G1521">
        <v>1</v>
      </c>
      <c r="H1521" s="133">
        <v>45840</v>
      </c>
      <c r="I1521" s="2">
        <v>0.56793981481481481</v>
      </c>
      <c r="J1521">
        <v>13</v>
      </c>
      <c r="R1521" t="s">
        <v>30</v>
      </c>
      <c r="W1521">
        <v>1</v>
      </c>
      <c r="X1521" t="s">
        <v>30</v>
      </c>
      <c r="AC1521" t="s">
        <v>3648</v>
      </c>
      <c r="AE1521" s="135"/>
    </row>
    <row r="1522" spans="1:31" ht="12.5" customHeight="1" x14ac:dyDescent="0.35">
      <c r="A1522" t="s">
        <v>396</v>
      </c>
      <c r="C1522" t="s">
        <v>3649</v>
      </c>
      <c r="D1522" t="s">
        <v>385</v>
      </c>
      <c r="E1522" s="133">
        <v>45841</v>
      </c>
      <c r="F1522" s="2">
        <v>6.8009259259259255E-2</v>
      </c>
      <c r="G1522">
        <v>1</v>
      </c>
      <c r="H1522" s="133">
        <v>45840</v>
      </c>
      <c r="I1522" s="2">
        <v>0.56800925925925927</v>
      </c>
      <c r="J1522">
        <v>13</v>
      </c>
      <c r="R1522" t="s">
        <v>30</v>
      </c>
      <c r="W1522">
        <v>1</v>
      </c>
      <c r="X1522" t="s">
        <v>30</v>
      </c>
      <c r="AC1522" t="s">
        <v>3650</v>
      </c>
      <c r="AE1522" s="135"/>
    </row>
    <row r="1523" spans="1:31" ht="12.5" customHeight="1" x14ac:dyDescent="0.35">
      <c r="A1523" t="s">
        <v>396</v>
      </c>
      <c r="C1523" t="s">
        <v>3651</v>
      </c>
      <c r="D1523" t="s">
        <v>385</v>
      </c>
      <c r="E1523" s="133">
        <v>45841</v>
      </c>
      <c r="F1523" s="2">
        <v>6.8078703703703711E-2</v>
      </c>
      <c r="G1523">
        <v>1</v>
      </c>
      <c r="H1523" s="133">
        <v>45840</v>
      </c>
      <c r="I1523" s="2">
        <v>0.56807870370370372</v>
      </c>
      <c r="J1523">
        <v>13</v>
      </c>
      <c r="R1523" t="s">
        <v>30</v>
      </c>
      <c r="W1523">
        <v>1</v>
      </c>
      <c r="X1523" t="s">
        <v>30</v>
      </c>
      <c r="AC1523" t="s">
        <v>3652</v>
      </c>
      <c r="AE1523" s="135"/>
    </row>
    <row r="1524" spans="1:31" ht="12.5" customHeight="1" x14ac:dyDescent="0.35">
      <c r="A1524" t="s">
        <v>396</v>
      </c>
      <c r="C1524" t="s">
        <v>3653</v>
      </c>
      <c r="D1524" t="s">
        <v>385</v>
      </c>
      <c r="E1524" s="133">
        <v>45841</v>
      </c>
      <c r="F1524" s="2">
        <v>6.8148148148148138E-2</v>
      </c>
      <c r="G1524">
        <v>1</v>
      </c>
      <c r="H1524" s="133">
        <v>45840</v>
      </c>
      <c r="I1524" s="2">
        <v>0.56814814814814818</v>
      </c>
      <c r="J1524">
        <v>13</v>
      </c>
      <c r="R1524" t="s">
        <v>30</v>
      </c>
      <c r="W1524">
        <v>1</v>
      </c>
      <c r="X1524" t="s">
        <v>30</v>
      </c>
      <c r="AC1524" t="s">
        <v>3654</v>
      </c>
      <c r="AE1524" s="135"/>
    </row>
    <row r="1525" spans="1:31" ht="12.5" customHeight="1" x14ac:dyDescent="0.35">
      <c r="A1525" t="s">
        <v>396</v>
      </c>
      <c r="C1525" t="s">
        <v>3655</v>
      </c>
      <c r="D1525" t="s">
        <v>385</v>
      </c>
      <c r="E1525" s="133">
        <v>45841</v>
      </c>
      <c r="F1525" s="2">
        <v>6.8240740740740741E-2</v>
      </c>
      <c r="G1525">
        <v>1</v>
      </c>
      <c r="H1525" s="133">
        <v>45840</v>
      </c>
      <c r="I1525" s="2">
        <v>0.56824074074074071</v>
      </c>
      <c r="J1525">
        <v>13</v>
      </c>
      <c r="R1525" t="s">
        <v>30</v>
      </c>
      <c r="W1525">
        <v>1</v>
      </c>
      <c r="X1525" t="s">
        <v>30</v>
      </c>
      <c r="AC1525" t="s">
        <v>3656</v>
      </c>
      <c r="AE1525" s="135"/>
    </row>
    <row r="1526" spans="1:31" ht="12.5" customHeight="1" x14ac:dyDescent="0.35">
      <c r="A1526" t="s">
        <v>396</v>
      </c>
      <c r="C1526" t="s">
        <v>3657</v>
      </c>
      <c r="D1526" t="s">
        <v>385</v>
      </c>
      <c r="E1526" s="133">
        <v>45841</v>
      </c>
      <c r="F1526" s="2">
        <v>6.8310185185185182E-2</v>
      </c>
      <c r="G1526">
        <v>1</v>
      </c>
      <c r="H1526" s="133">
        <v>45840</v>
      </c>
      <c r="I1526" s="2">
        <v>0.56831018518518517</v>
      </c>
      <c r="J1526">
        <v>13</v>
      </c>
      <c r="R1526" t="s">
        <v>30</v>
      </c>
      <c r="W1526">
        <v>1</v>
      </c>
      <c r="X1526" t="s">
        <v>30</v>
      </c>
      <c r="AC1526" t="s">
        <v>3658</v>
      </c>
      <c r="AE1526" s="135"/>
    </row>
    <row r="1527" spans="1:31" ht="12.5" customHeight="1" x14ac:dyDescent="0.35">
      <c r="A1527" t="s">
        <v>396</v>
      </c>
      <c r="C1527" t="s">
        <v>3659</v>
      </c>
      <c r="D1527" t="s">
        <v>385</v>
      </c>
      <c r="E1527" s="133">
        <v>45841</v>
      </c>
      <c r="F1527" s="2">
        <v>6.8379629629629637E-2</v>
      </c>
      <c r="G1527">
        <v>1</v>
      </c>
      <c r="H1527" s="133">
        <v>45840</v>
      </c>
      <c r="I1527" s="2">
        <v>0.56837962962962962</v>
      </c>
      <c r="J1527">
        <v>13</v>
      </c>
      <c r="R1527" t="s">
        <v>30</v>
      </c>
      <c r="W1527">
        <v>1</v>
      </c>
      <c r="X1527" t="s">
        <v>30</v>
      </c>
      <c r="AC1527" t="s">
        <v>3660</v>
      </c>
      <c r="AE1527" s="135"/>
    </row>
    <row r="1528" spans="1:31" ht="12.5" customHeight="1" x14ac:dyDescent="0.35">
      <c r="A1528" t="s">
        <v>396</v>
      </c>
      <c r="C1528" t="s">
        <v>3661</v>
      </c>
      <c r="D1528" t="s">
        <v>385</v>
      </c>
      <c r="E1528" s="133">
        <v>45841</v>
      </c>
      <c r="F1528" s="2">
        <v>6.8472222222222226E-2</v>
      </c>
      <c r="G1528">
        <v>1</v>
      </c>
      <c r="H1528" s="133">
        <v>45840</v>
      </c>
      <c r="I1528" s="2">
        <v>0.56847222222222216</v>
      </c>
      <c r="J1528">
        <v>13</v>
      </c>
      <c r="R1528" t="s">
        <v>30</v>
      </c>
      <c r="W1528">
        <v>1</v>
      </c>
      <c r="X1528" t="s">
        <v>30</v>
      </c>
      <c r="AC1528" t="s">
        <v>3662</v>
      </c>
      <c r="AE1528" s="135"/>
    </row>
    <row r="1529" spans="1:31" ht="12.5" customHeight="1" x14ac:dyDescent="0.35">
      <c r="A1529" t="s">
        <v>396</v>
      </c>
      <c r="C1529" t="s">
        <v>3663</v>
      </c>
      <c r="D1529" t="s">
        <v>385</v>
      </c>
      <c r="E1529" s="133">
        <v>45841</v>
      </c>
      <c r="F1529" s="2">
        <v>6.8541666666666667E-2</v>
      </c>
      <c r="G1529">
        <v>1</v>
      </c>
      <c r="H1529" s="133">
        <v>45840</v>
      </c>
      <c r="I1529" s="2">
        <v>0.56854166666666661</v>
      </c>
      <c r="J1529">
        <v>13</v>
      </c>
      <c r="R1529" t="s">
        <v>30</v>
      </c>
      <c r="W1529">
        <v>1</v>
      </c>
      <c r="X1529" t="s">
        <v>30</v>
      </c>
      <c r="AC1529" t="s">
        <v>3664</v>
      </c>
      <c r="AE1529" s="135"/>
    </row>
    <row r="1530" spans="1:31" ht="12.5" customHeight="1" x14ac:dyDescent="0.35">
      <c r="A1530" t="s">
        <v>396</v>
      </c>
      <c r="C1530" t="s">
        <v>3665</v>
      </c>
      <c r="D1530" t="s">
        <v>385</v>
      </c>
      <c r="E1530" s="133">
        <v>45841</v>
      </c>
      <c r="F1530" s="2">
        <v>6.8634259259259256E-2</v>
      </c>
      <c r="G1530">
        <v>1</v>
      </c>
      <c r="H1530" s="133">
        <v>45840</v>
      </c>
      <c r="I1530" s="2">
        <v>0.56863425925925926</v>
      </c>
      <c r="J1530">
        <v>13</v>
      </c>
      <c r="R1530" t="s">
        <v>30</v>
      </c>
      <c r="W1530">
        <v>1</v>
      </c>
      <c r="X1530" t="s">
        <v>30</v>
      </c>
      <c r="AC1530" t="s">
        <v>3666</v>
      </c>
      <c r="AE1530" s="135"/>
    </row>
    <row r="1531" spans="1:31" ht="12.5" customHeight="1" x14ac:dyDescent="0.35">
      <c r="A1531" t="s">
        <v>396</v>
      </c>
      <c r="C1531" t="s">
        <v>3667</v>
      </c>
      <c r="D1531" t="s">
        <v>385</v>
      </c>
      <c r="E1531" s="133">
        <v>45841</v>
      </c>
      <c r="F1531" s="2">
        <v>6.8703703703703697E-2</v>
      </c>
      <c r="G1531">
        <v>1</v>
      </c>
      <c r="H1531" s="133">
        <v>45840</v>
      </c>
      <c r="I1531" s="2">
        <v>0.56870370370370371</v>
      </c>
      <c r="J1531">
        <v>13</v>
      </c>
      <c r="R1531" t="s">
        <v>30</v>
      </c>
      <c r="W1531">
        <v>1</v>
      </c>
      <c r="X1531" t="s">
        <v>30</v>
      </c>
      <c r="AC1531" t="s">
        <v>3668</v>
      </c>
      <c r="AE1531" s="135"/>
    </row>
    <row r="1532" spans="1:31" ht="12.5" customHeight="1" x14ac:dyDescent="0.35">
      <c r="A1532" t="s">
        <v>396</v>
      </c>
      <c r="C1532" t="s">
        <v>3669</v>
      </c>
      <c r="D1532" t="s">
        <v>385</v>
      </c>
      <c r="E1532" s="133">
        <v>45841</v>
      </c>
      <c r="F1532" s="2">
        <v>6.8773148148148153E-2</v>
      </c>
      <c r="G1532">
        <v>1</v>
      </c>
      <c r="H1532" s="133">
        <v>45840</v>
      </c>
      <c r="I1532" s="2">
        <v>0.56877314814814817</v>
      </c>
      <c r="J1532">
        <v>13</v>
      </c>
      <c r="R1532" t="s">
        <v>30</v>
      </c>
      <c r="W1532">
        <v>1</v>
      </c>
      <c r="X1532" t="s">
        <v>30</v>
      </c>
      <c r="AC1532" t="s">
        <v>3670</v>
      </c>
      <c r="AE1532" s="135"/>
    </row>
    <row r="1533" spans="1:31" ht="12.5" customHeight="1" x14ac:dyDescent="0.35">
      <c r="A1533" t="s">
        <v>396</v>
      </c>
      <c r="C1533" t="s">
        <v>3671</v>
      </c>
      <c r="D1533" t="s">
        <v>385</v>
      </c>
      <c r="E1533" s="133">
        <v>45841</v>
      </c>
      <c r="F1533" s="2">
        <v>6.8842592592592594E-2</v>
      </c>
      <c r="G1533">
        <v>1</v>
      </c>
      <c r="H1533" s="133">
        <v>45840</v>
      </c>
      <c r="I1533" s="2">
        <v>0.56884259259259262</v>
      </c>
      <c r="J1533">
        <v>13</v>
      </c>
      <c r="R1533" t="s">
        <v>30</v>
      </c>
      <c r="W1533">
        <v>1</v>
      </c>
      <c r="X1533" t="s">
        <v>30</v>
      </c>
      <c r="AC1533" t="s">
        <v>3672</v>
      </c>
      <c r="AE1533" s="135"/>
    </row>
    <row r="1534" spans="1:31" ht="12.5" customHeight="1" x14ac:dyDescent="0.35">
      <c r="A1534" t="s">
        <v>396</v>
      </c>
      <c r="C1534" t="s">
        <v>3673</v>
      </c>
      <c r="D1534" t="s">
        <v>385</v>
      </c>
      <c r="E1534" s="133">
        <v>45841</v>
      </c>
      <c r="F1534" s="2">
        <v>6.8935185185185183E-2</v>
      </c>
      <c r="G1534">
        <v>1</v>
      </c>
      <c r="H1534" s="133">
        <v>45840</v>
      </c>
      <c r="I1534" s="2">
        <v>0.56893518518518515</v>
      </c>
      <c r="J1534">
        <v>13</v>
      </c>
      <c r="R1534" t="s">
        <v>30</v>
      </c>
      <c r="W1534">
        <v>1</v>
      </c>
      <c r="X1534" t="s">
        <v>30</v>
      </c>
      <c r="AC1534" t="s">
        <v>3674</v>
      </c>
      <c r="AE1534" s="135"/>
    </row>
    <row r="1535" spans="1:31" ht="12.5" customHeight="1" x14ac:dyDescent="0.35">
      <c r="A1535" t="s">
        <v>396</v>
      </c>
      <c r="C1535" t="s">
        <v>3675</v>
      </c>
      <c r="D1535" t="s">
        <v>385</v>
      </c>
      <c r="E1535" s="133">
        <v>45841</v>
      </c>
      <c r="F1535" s="2">
        <v>6.9004629629629624E-2</v>
      </c>
      <c r="G1535">
        <v>1</v>
      </c>
      <c r="H1535" s="133">
        <v>45840</v>
      </c>
      <c r="I1535" s="2">
        <v>0.56900462962962961</v>
      </c>
      <c r="J1535">
        <v>13</v>
      </c>
      <c r="R1535" t="s">
        <v>30</v>
      </c>
      <c r="W1535">
        <v>1</v>
      </c>
      <c r="X1535" t="s">
        <v>30</v>
      </c>
      <c r="AC1535" t="s">
        <v>3676</v>
      </c>
      <c r="AE1535" s="135"/>
    </row>
    <row r="1536" spans="1:31" ht="12.5" customHeight="1" x14ac:dyDescent="0.35">
      <c r="A1536" t="s">
        <v>396</v>
      </c>
      <c r="C1536" t="s">
        <v>3677</v>
      </c>
      <c r="D1536" t="s">
        <v>385</v>
      </c>
      <c r="E1536" s="133">
        <v>45841</v>
      </c>
      <c r="F1536" s="2">
        <v>6.9074074074074079E-2</v>
      </c>
      <c r="G1536">
        <v>1</v>
      </c>
      <c r="H1536" s="133">
        <v>45840</v>
      </c>
      <c r="I1536" s="2">
        <v>0.56907407407407407</v>
      </c>
      <c r="J1536">
        <v>13</v>
      </c>
      <c r="R1536" t="s">
        <v>30</v>
      </c>
      <c r="W1536">
        <v>1</v>
      </c>
      <c r="X1536" t="s">
        <v>30</v>
      </c>
      <c r="AC1536" t="s">
        <v>3678</v>
      </c>
      <c r="AE1536" s="135"/>
    </row>
    <row r="1537" spans="1:31" ht="12.5" customHeight="1" x14ac:dyDescent="0.35">
      <c r="A1537" t="s">
        <v>396</v>
      </c>
      <c r="C1537" t="s">
        <v>3679</v>
      </c>
      <c r="D1537" t="s">
        <v>385</v>
      </c>
      <c r="E1537" s="133">
        <v>45841</v>
      </c>
      <c r="F1537" s="2">
        <v>6.9166666666666668E-2</v>
      </c>
      <c r="G1537">
        <v>1</v>
      </c>
      <c r="H1537" s="133">
        <v>45840</v>
      </c>
      <c r="I1537" s="2">
        <v>0.56916666666666671</v>
      </c>
      <c r="J1537">
        <v>13</v>
      </c>
      <c r="R1537" t="s">
        <v>30</v>
      </c>
      <c r="W1537">
        <v>1</v>
      </c>
      <c r="X1537" t="s">
        <v>30</v>
      </c>
      <c r="AC1537" t="s">
        <v>3680</v>
      </c>
      <c r="AE1537" s="135"/>
    </row>
    <row r="1538" spans="1:31" ht="12.5" customHeight="1" x14ac:dyDescent="0.35">
      <c r="A1538" t="s">
        <v>396</v>
      </c>
      <c r="C1538" t="s">
        <v>3681</v>
      </c>
      <c r="D1538" t="s">
        <v>385</v>
      </c>
      <c r="E1538" s="133">
        <v>45841</v>
      </c>
      <c r="F1538" s="2">
        <v>6.9236111111111109E-2</v>
      </c>
      <c r="G1538">
        <v>1</v>
      </c>
      <c r="H1538" s="133">
        <v>45840</v>
      </c>
      <c r="I1538" s="2">
        <v>0.56923611111111116</v>
      </c>
      <c r="J1538">
        <v>13</v>
      </c>
      <c r="R1538" t="s">
        <v>30</v>
      </c>
      <c r="W1538">
        <v>1</v>
      </c>
      <c r="X1538" t="s">
        <v>30</v>
      </c>
      <c r="AC1538" t="s">
        <v>3682</v>
      </c>
      <c r="AE1538" s="135"/>
    </row>
    <row r="1539" spans="1:31" ht="12.5" customHeight="1" x14ac:dyDescent="0.35">
      <c r="A1539" t="s">
        <v>396</v>
      </c>
      <c r="C1539" t="s">
        <v>3683</v>
      </c>
      <c r="D1539" t="s">
        <v>385</v>
      </c>
      <c r="E1539" s="133">
        <v>45841</v>
      </c>
      <c r="F1539" s="2">
        <v>6.9305555555555551E-2</v>
      </c>
      <c r="G1539">
        <v>1</v>
      </c>
      <c r="H1539" s="133">
        <v>45840</v>
      </c>
      <c r="I1539" s="2">
        <v>0.56930555555555562</v>
      </c>
      <c r="J1539">
        <v>13</v>
      </c>
      <c r="R1539" t="s">
        <v>30</v>
      </c>
      <c r="W1539">
        <v>1</v>
      </c>
      <c r="X1539" t="s">
        <v>30</v>
      </c>
      <c r="AC1539" t="s">
        <v>3684</v>
      </c>
      <c r="AE1539" s="135"/>
    </row>
    <row r="1540" spans="1:31" ht="12.5" customHeight="1" x14ac:dyDescent="0.35">
      <c r="A1540" t="s">
        <v>396</v>
      </c>
      <c r="C1540" t="s">
        <v>3685</v>
      </c>
      <c r="D1540" t="s">
        <v>385</v>
      </c>
      <c r="E1540" s="133">
        <v>45841</v>
      </c>
      <c r="F1540" s="2">
        <v>6.9398148148148139E-2</v>
      </c>
      <c r="G1540">
        <v>1</v>
      </c>
      <c r="H1540" s="133">
        <v>45840</v>
      </c>
      <c r="I1540" s="2">
        <v>0.56939814814814815</v>
      </c>
      <c r="J1540">
        <v>13</v>
      </c>
      <c r="R1540" t="s">
        <v>30</v>
      </c>
      <c r="W1540">
        <v>1</v>
      </c>
      <c r="X1540" t="s">
        <v>30</v>
      </c>
      <c r="AC1540" t="s">
        <v>3686</v>
      </c>
      <c r="AE1540" s="135"/>
    </row>
    <row r="1541" spans="1:31" ht="12.5" customHeight="1" x14ac:dyDescent="0.35">
      <c r="A1541" t="s">
        <v>396</v>
      </c>
      <c r="C1541" t="s">
        <v>3687</v>
      </c>
      <c r="D1541" t="s">
        <v>385</v>
      </c>
      <c r="E1541" s="133">
        <v>45841</v>
      </c>
      <c r="F1541" s="2">
        <v>6.9467592592592595E-2</v>
      </c>
      <c r="G1541">
        <v>1</v>
      </c>
      <c r="H1541" s="133">
        <v>45840</v>
      </c>
      <c r="I1541" s="2">
        <v>0.56946759259259261</v>
      </c>
      <c r="J1541">
        <v>13</v>
      </c>
      <c r="R1541" t="s">
        <v>30</v>
      </c>
      <c r="W1541">
        <v>1</v>
      </c>
      <c r="X1541" t="s">
        <v>30</v>
      </c>
      <c r="AC1541" t="s">
        <v>3688</v>
      </c>
      <c r="AE1541" s="135"/>
    </row>
    <row r="1542" spans="1:31" ht="12.5" customHeight="1" x14ac:dyDescent="0.35">
      <c r="A1542" t="s">
        <v>396</v>
      </c>
      <c r="C1542" t="s">
        <v>3689</v>
      </c>
      <c r="D1542" t="s">
        <v>385</v>
      </c>
      <c r="E1542" s="133">
        <v>45841</v>
      </c>
      <c r="F1542" s="2">
        <v>6.9537037037037036E-2</v>
      </c>
      <c r="G1542">
        <v>1</v>
      </c>
      <c r="H1542" s="133">
        <v>45840</v>
      </c>
      <c r="I1542" s="2">
        <v>0.56953703703703706</v>
      </c>
      <c r="J1542">
        <v>13</v>
      </c>
      <c r="R1542" t="s">
        <v>30</v>
      </c>
      <c r="W1542">
        <v>1</v>
      </c>
      <c r="X1542" t="s">
        <v>30</v>
      </c>
      <c r="AC1542" t="s">
        <v>3690</v>
      </c>
      <c r="AE1542" s="135"/>
    </row>
    <row r="1543" spans="1:31" ht="12.5" customHeight="1" x14ac:dyDescent="0.35">
      <c r="A1543" t="s">
        <v>396</v>
      </c>
      <c r="C1543" t="s">
        <v>3691</v>
      </c>
      <c r="D1543" t="s">
        <v>385</v>
      </c>
      <c r="E1543" s="133">
        <v>45841</v>
      </c>
      <c r="F1543" s="2">
        <v>6.9629629629629639E-2</v>
      </c>
      <c r="G1543">
        <v>1</v>
      </c>
      <c r="H1543" s="133">
        <v>45840</v>
      </c>
      <c r="I1543" s="2">
        <v>0.5696296296296296</v>
      </c>
      <c r="J1543">
        <v>13</v>
      </c>
      <c r="R1543" t="s">
        <v>30</v>
      </c>
      <c r="W1543">
        <v>1</v>
      </c>
      <c r="X1543" t="s">
        <v>30</v>
      </c>
      <c r="AC1543" t="s">
        <v>3692</v>
      </c>
      <c r="AE1543" s="135"/>
    </row>
    <row r="1544" spans="1:31" ht="12.5" customHeight="1" x14ac:dyDescent="0.35">
      <c r="A1544" t="s">
        <v>396</v>
      </c>
      <c r="C1544" t="s">
        <v>3693</v>
      </c>
      <c r="D1544" t="s">
        <v>385</v>
      </c>
      <c r="E1544" s="133">
        <v>45841</v>
      </c>
      <c r="F1544" s="2">
        <v>6.9699074074074066E-2</v>
      </c>
      <c r="G1544">
        <v>1</v>
      </c>
      <c r="H1544" s="133">
        <v>45840</v>
      </c>
      <c r="I1544" s="2">
        <v>0.56969907407407405</v>
      </c>
      <c r="J1544">
        <v>13</v>
      </c>
      <c r="R1544" t="s">
        <v>30</v>
      </c>
      <c r="W1544">
        <v>1</v>
      </c>
      <c r="X1544" t="s">
        <v>30</v>
      </c>
      <c r="AC1544" t="s">
        <v>3694</v>
      </c>
      <c r="AE1544" s="135"/>
    </row>
    <row r="1545" spans="1:31" ht="12.5" customHeight="1" x14ac:dyDescent="0.35">
      <c r="A1545" t="s">
        <v>396</v>
      </c>
      <c r="C1545" t="s">
        <v>3695</v>
      </c>
      <c r="D1545" t="s">
        <v>385</v>
      </c>
      <c r="E1545" s="133">
        <v>45841</v>
      </c>
      <c r="F1545" s="2">
        <v>6.9768518518518521E-2</v>
      </c>
      <c r="G1545">
        <v>1</v>
      </c>
      <c r="H1545" s="133">
        <v>45840</v>
      </c>
      <c r="I1545" s="2">
        <v>0.56976851851851851</v>
      </c>
      <c r="J1545">
        <v>13</v>
      </c>
      <c r="R1545" t="s">
        <v>30</v>
      </c>
      <c r="W1545">
        <v>1</v>
      </c>
      <c r="X1545" t="s">
        <v>30</v>
      </c>
      <c r="AC1545" t="s">
        <v>3696</v>
      </c>
      <c r="AE1545" s="135"/>
    </row>
    <row r="1546" spans="1:31" ht="12.5" customHeight="1" x14ac:dyDescent="0.35">
      <c r="A1546" t="s">
        <v>396</v>
      </c>
      <c r="C1546" t="s">
        <v>3697</v>
      </c>
      <c r="D1546" t="s">
        <v>385</v>
      </c>
      <c r="E1546" s="133">
        <v>45841</v>
      </c>
      <c r="F1546" s="2">
        <v>6.986111111111111E-2</v>
      </c>
      <c r="G1546">
        <v>1</v>
      </c>
      <c r="H1546" s="133">
        <v>45840</v>
      </c>
      <c r="I1546" s="2">
        <v>0.56986111111111104</v>
      </c>
      <c r="J1546">
        <v>13</v>
      </c>
      <c r="R1546" t="s">
        <v>30</v>
      </c>
      <c r="W1546">
        <v>1</v>
      </c>
      <c r="X1546" t="s">
        <v>30</v>
      </c>
      <c r="AC1546" t="s">
        <v>3698</v>
      </c>
      <c r="AE1546" s="135"/>
    </row>
    <row r="1547" spans="1:31" ht="12.5" customHeight="1" x14ac:dyDescent="0.35">
      <c r="A1547" t="s">
        <v>396</v>
      </c>
      <c r="C1547" t="s">
        <v>3699</v>
      </c>
      <c r="D1547" t="s">
        <v>385</v>
      </c>
      <c r="E1547" s="133">
        <v>45841</v>
      </c>
      <c r="F1547" s="2">
        <v>6.9930555555555551E-2</v>
      </c>
      <c r="G1547">
        <v>1</v>
      </c>
      <c r="H1547" s="133">
        <v>45840</v>
      </c>
      <c r="I1547" s="2">
        <v>0.5699305555555555</v>
      </c>
      <c r="J1547">
        <v>13</v>
      </c>
      <c r="R1547" t="s">
        <v>30</v>
      </c>
      <c r="W1547">
        <v>1</v>
      </c>
      <c r="X1547" t="s">
        <v>30</v>
      </c>
      <c r="AC1547" t="s">
        <v>3700</v>
      </c>
      <c r="AE1547" s="135"/>
    </row>
    <row r="1548" spans="1:31" ht="12.5" customHeight="1" x14ac:dyDescent="0.35">
      <c r="A1548" t="s">
        <v>396</v>
      </c>
      <c r="C1548" t="s">
        <v>3701</v>
      </c>
      <c r="D1548" t="s">
        <v>385</v>
      </c>
      <c r="E1548" s="133">
        <v>45841</v>
      </c>
      <c r="F1548" s="2">
        <v>6.9999999999999993E-2</v>
      </c>
      <c r="G1548">
        <v>1</v>
      </c>
      <c r="H1548" s="133">
        <v>45840</v>
      </c>
      <c r="I1548" s="2">
        <v>0.56999999999999995</v>
      </c>
      <c r="J1548">
        <v>13</v>
      </c>
      <c r="R1548" t="s">
        <v>30</v>
      </c>
      <c r="W1548">
        <v>1</v>
      </c>
      <c r="X1548" t="s">
        <v>30</v>
      </c>
      <c r="AC1548" t="s">
        <v>3702</v>
      </c>
      <c r="AE1548" s="135"/>
    </row>
    <row r="1549" spans="1:31" ht="12.5" customHeight="1" x14ac:dyDescent="0.35">
      <c r="A1549" t="s">
        <v>396</v>
      </c>
      <c r="C1549" t="s">
        <v>3703</v>
      </c>
      <c r="D1549" t="s">
        <v>385</v>
      </c>
      <c r="E1549" s="133">
        <v>45841</v>
      </c>
      <c r="F1549" s="2">
        <v>7.0069444444444448E-2</v>
      </c>
      <c r="G1549">
        <v>1</v>
      </c>
      <c r="H1549" s="133">
        <v>45840</v>
      </c>
      <c r="I1549" s="2">
        <v>0.57006944444444441</v>
      </c>
      <c r="J1549">
        <v>13</v>
      </c>
      <c r="R1549" t="s">
        <v>30</v>
      </c>
      <c r="W1549">
        <v>1</v>
      </c>
      <c r="X1549" t="s">
        <v>30</v>
      </c>
      <c r="AC1549" t="s">
        <v>3704</v>
      </c>
      <c r="AE1549" s="135"/>
    </row>
    <row r="1550" spans="1:31" ht="12.5" customHeight="1" x14ac:dyDescent="0.35">
      <c r="A1550" t="s">
        <v>396</v>
      </c>
      <c r="C1550" t="s">
        <v>3705</v>
      </c>
      <c r="D1550" t="s">
        <v>385</v>
      </c>
      <c r="E1550" s="133">
        <v>45841</v>
      </c>
      <c r="F1550" s="2">
        <v>7.0162037037037037E-2</v>
      </c>
      <c r="G1550">
        <v>1</v>
      </c>
      <c r="H1550" s="133">
        <v>45840</v>
      </c>
      <c r="I1550" s="2">
        <v>0.57016203703703705</v>
      </c>
      <c r="J1550">
        <v>13</v>
      </c>
      <c r="R1550" t="s">
        <v>30</v>
      </c>
      <c r="W1550">
        <v>1</v>
      </c>
      <c r="X1550" t="s">
        <v>30</v>
      </c>
      <c r="AC1550" t="s">
        <v>3706</v>
      </c>
      <c r="AE1550" s="135"/>
    </row>
    <row r="1551" spans="1:31" ht="12.5" customHeight="1" x14ac:dyDescent="0.35">
      <c r="A1551" t="s">
        <v>396</v>
      </c>
      <c r="C1551" t="s">
        <v>3707</v>
      </c>
      <c r="D1551" t="s">
        <v>385</v>
      </c>
      <c r="E1551" s="133">
        <v>45841</v>
      </c>
      <c r="F1551" s="2">
        <v>7.0231481481481492E-2</v>
      </c>
      <c r="G1551">
        <v>1</v>
      </c>
      <c r="H1551" s="133">
        <v>45840</v>
      </c>
      <c r="I1551" s="2">
        <v>0.57023148148148151</v>
      </c>
      <c r="J1551">
        <v>13</v>
      </c>
      <c r="R1551" t="s">
        <v>30</v>
      </c>
      <c r="W1551">
        <v>1</v>
      </c>
      <c r="X1551" t="s">
        <v>30</v>
      </c>
      <c r="AC1551" t="s">
        <v>3708</v>
      </c>
      <c r="AE1551" s="135"/>
    </row>
    <row r="1552" spans="1:31" ht="12.5" customHeight="1" x14ac:dyDescent="0.35">
      <c r="A1552" t="s">
        <v>396</v>
      </c>
      <c r="C1552" t="s">
        <v>3709</v>
      </c>
      <c r="D1552" t="s">
        <v>385</v>
      </c>
      <c r="E1552" s="133">
        <v>45841</v>
      </c>
      <c r="F1552" s="2">
        <v>7.0324074074074081E-2</v>
      </c>
      <c r="G1552">
        <v>1</v>
      </c>
      <c r="H1552" s="133">
        <v>45840</v>
      </c>
      <c r="I1552" s="2">
        <v>0.57032407407407404</v>
      </c>
      <c r="J1552">
        <v>13</v>
      </c>
      <c r="R1552" t="s">
        <v>30</v>
      </c>
      <c r="W1552">
        <v>1</v>
      </c>
      <c r="X1552" t="s">
        <v>30</v>
      </c>
      <c r="AC1552" t="s">
        <v>3710</v>
      </c>
      <c r="AE1552" s="135"/>
    </row>
    <row r="1553" spans="1:31" ht="12.5" customHeight="1" x14ac:dyDescent="0.35">
      <c r="A1553" t="s">
        <v>396</v>
      </c>
      <c r="C1553" t="s">
        <v>3711</v>
      </c>
      <c r="D1553" t="s">
        <v>385</v>
      </c>
      <c r="E1553" s="133">
        <v>45841</v>
      </c>
      <c r="F1553" s="2">
        <v>7.0393518518518508E-2</v>
      </c>
      <c r="G1553">
        <v>1</v>
      </c>
      <c r="H1553" s="133">
        <v>45840</v>
      </c>
      <c r="I1553" s="2">
        <v>0.57039351851851849</v>
      </c>
      <c r="J1553">
        <v>13</v>
      </c>
      <c r="R1553" t="s">
        <v>30</v>
      </c>
      <c r="W1553">
        <v>1</v>
      </c>
      <c r="X1553" t="s">
        <v>30</v>
      </c>
      <c r="AC1553" t="s">
        <v>3712</v>
      </c>
      <c r="AE1553" s="135"/>
    </row>
    <row r="1554" spans="1:31" ht="12.5" customHeight="1" x14ac:dyDescent="0.35">
      <c r="A1554" t="s">
        <v>396</v>
      </c>
      <c r="C1554" t="s">
        <v>3713</v>
      </c>
      <c r="D1554" t="s">
        <v>385</v>
      </c>
      <c r="E1554" s="133">
        <v>45841</v>
      </c>
      <c r="F1554" s="2">
        <v>7.0462962962962963E-2</v>
      </c>
      <c r="G1554">
        <v>1</v>
      </c>
      <c r="H1554" s="133">
        <v>45840</v>
      </c>
      <c r="I1554" s="2">
        <v>0.57046296296296295</v>
      </c>
      <c r="J1554">
        <v>13</v>
      </c>
      <c r="R1554" t="s">
        <v>30</v>
      </c>
      <c r="W1554">
        <v>1</v>
      </c>
      <c r="X1554" t="s">
        <v>30</v>
      </c>
      <c r="AC1554" t="s">
        <v>3714</v>
      </c>
      <c r="AE1554" s="135"/>
    </row>
    <row r="1555" spans="1:31" ht="12.5" customHeight="1" x14ac:dyDescent="0.35">
      <c r="A1555" t="s">
        <v>396</v>
      </c>
      <c r="C1555" t="s">
        <v>3715</v>
      </c>
      <c r="D1555" t="s">
        <v>385</v>
      </c>
      <c r="E1555" s="133">
        <v>45841</v>
      </c>
      <c r="F1555" s="2">
        <v>7.0555555555555552E-2</v>
      </c>
      <c r="G1555">
        <v>1</v>
      </c>
      <c r="H1555" s="133">
        <v>45840</v>
      </c>
      <c r="I1555" s="2">
        <v>0.57055555555555559</v>
      </c>
      <c r="J1555">
        <v>13</v>
      </c>
      <c r="R1555" t="s">
        <v>30</v>
      </c>
      <c r="W1555">
        <v>1</v>
      </c>
      <c r="X1555" t="s">
        <v>30</v>
      </c>
      <c r="AC1555" t="s">
        <v>3716</v>
      </c>
      <c r="AE1555" s="135"/>
    </row>
    <row r="1556" spans="1:31" ht="12.5" customHeight="1" x14ac:dyDescent="0.35">
      <c r="A1556" t="s">
        <v>396</v>
      </c>
      <c r="C1556" t="s">
        <v>3717</v>
      </c>
      <c r="D1556" t="s">
        <v>385</v>
      </c>
      <c r="E1556" s="133">
        <v>45841</v>
      </c>
      <c r="F1556" s="2">
        <v>7.0625000000000007E-2</v>
      </c>
      <c r="G1556">
        <v>1</v>
      </c>
      <c r="H1556" s="133">
        <v>45840</v>
      </c>
      <c r="I1556" s="2">
        <v>0.57062500000000005</v>
      </c>
      <c r="J1556">
        <v>13</v>
      </c>
      <c r="R1556" t="s">
        <v>30</v>
      </c>
      <c r="W1556">
        <v>1</v>
      </c>
      <c r="X1556" t="s">
        <v>30</v>
      </c>
      <c r="AC1556" t="s">
        <v>3718</v>
      </c>
      <c r="AE1556" s="135"/>
    </row>
    <row r="1557" spans="1:31" ht="12.5" customHeight="1" x14ac:dyDescent="0.35">
      <c r="A1557" t="s">
        <v>396</v>
      </c>
      <c r="C1557" t="s">
        <v>3719</v>
      </c>
      <c r="D1557" t="s">
        <v>385</v>
      </c>
      <c r="E1557" s="133">
        <v>45841</v>
      </c>
      <c r="F1557" s="2">
        <v>7.0694444444444449E-2</v>
      </c>
      <c r="G1557">
        <v>1</v>
      </c>
      <c r="H1557" s="133">
        <v>45840</v>
      </c>
      <c r="I1557" s="2">
        <v>0.5706944444444445</v>
      </c>
      <c r="J1557">
        <v>13</v>
      </c>
      <c r="R1557" t="s">
        <v>30</v>
      </c>
      <c r="W1557">
        <v>1</v>
      </c>
      <c r="X1557" t="s">
        <v>30</v>
      </c>
      <c r="AC1557" t="s">
        <v>3720</v>
      </c>
      <c r="AE1557" s="135"/>
    </row>
    <row r="1558" spans="1:31" ht="12.5" customHeight="1" x14ac:dyDescent="0.35">
      <c r="A1558" t="s">
        <v>396</v>
      </c>
      <c r="C1558" t="s">
        <v>3721</v>
      </c>
      <c r="D1558" t="s">
        <v>385</v>
      </c>
      <c r="E1558" s="133">
        <v>45841</v>
      </c>
      <c r="F1558" s="2">
        <v>7.076388888888889E-2</v>
      </c>
      <c r="G1558">
        <v>1</v>
      </c>
      <c r="H1558" s="133">
        <v>45840</v>
      </c>
      <c r="I1558" s="2">
        <v>0.57076388888888896</v>
      </c>
      <c r="J1558">
        <v>13</v>
      </c>
      <c r="R1558" t="s">
        <v>30</v>
      </c>
      <c r="W1558">
        <v>1</v>
      </c>
      <c r="X1558" t="s">
        <v>30</v>
      </c>
      <c r="AC1558" t="s">
        <v>3722</v>
      </c>
      <c r="AE1558" s="135"/>
    </row>
    <row r="1559" spans="1:31" ht="12.5" customHeight="1" x14ac:dyDescent="0.35">
      <c r="A1559" t="s">
        <v>396</v>
      </c>
      <c r="C1559" t="s">
        <v>3723</v>
      </c>
      <c r="D1559" t="s">
        <v>385</v>
      </c>
      <c r="E1559" s="133">
        <v>45841</v>
      </c>
      <c r="F1559" s="2">
        <v>7.0856481481481479E-2</v>
      </c>
      <c r="G1559">
        <v>1</v>
      </c>
      <c r="H1559" s="133">
        <v>45840</v>
      </c>
      <c r="I1559" s="2">
        <v>0.57085648148148149</v>
      </c>
      <c r="J1559">
        <v>13</v>
      </c>
      <c r="R1559" t="s">
        <v>30</v>
      </c>
      <c r="W1559">
        <v>1</v>
      </c>
      <c r="X1559" t="s">
        <v>30</v>
      </c>
      <c r="AC1559" t="s">
        <v>3724</v>
      </c>
      <c r="AE1559" s="135"/>
    </row>
    <row r="1560" spans="1:31" ht="12.5" customHeight="1" x14ac:dyDescent="0.35">
      <c r="A1560" t="s">
        <v>396</v>
      </c>
      <c r="C1560" t="s">
        <v>3725</v>
      </c>
      <c r="D1560" t="s">
        <v>385</v>
      </c>
      <c r="E1560" s="133">
        <v>45841</v>
      </c>
      <c r="F1560" s="2">
        <v>7.0925925925925934E-2</v>
      </c>
      <c r="G1560">
        <v>1</v>
      </c>
      <c r="H1560" s="133">
        <v>45840</v>
      </c>
      <c r="I1560" s="2">
        <v>0.57092592592592595</v>
      </c>
      <c r="J1560">
        <v>13</v>
      </c>
      <c r="R1560" t="s">
        <v>30</v>
      </c>
      <c r="W1560">
        <v>1</v>
      </c>
      <c r="X1560" t="s">
        <v>30</v>
      </c>
      <c r="AC1560" t="s">
        <v>3726</v>
      </c>
      <c r="AE1560" s="135"/>
    </row>
    <row r="1561" spans="1:31" ht="12.5" customHeight="1" x14ac:dyDescent="0.35">
      <c r="A1561" t="s">
        <v>396</v>
      </c>
      <c r="C1561" t="s">
        <v>3727</v>
      </c>
      <c r="D1561" t="s">
        <v>385</v>
      </c>
      <c r="E1561" s="133">
        <v>45841</v>
      </c>
      <c r="F1561" s="2">
        <v>7.0995370370370361E-2</v>
      </c>
      <c r="G1561">
        <v>1</v>
      </c>
      <c r="H1561" s="133">
        <v>45840</v>
      </c>
      <c r="I1561" s="2">
        <v>0.5709953703703704</v>
      </c>
      <c r="J1561">
        <v>13</v>
      </c>
      <c r="R1561" t="s">
        <v>30</v>
      </c>
      <c r="W1561">
        <v>1</v>
      </c>
      <c r="X1561" t="s">
        <v>30</v>
      </c>
      <c r="AC1561" t="s">
        <v>3728</v>
      </c>
      <c r="AE1561" s="135"/>
    </row>
    <row r="1562" spans="1:31" ht="12.5" customHeight="1" x14ac:dyDescent="0.35">
      <c r="A1562" t="s">
        <v>396</v>
      </c>
      <c r="C1562" t="s">
        <v>3729</v>
      </c>
      <c r="D1562" t="s">
        <v>385</v>
      </c>
      <c r="E1562" s="133">
        <v>45841</v>
      </c>
      <c r="F1562" s="2">
        <v>7.1087962962962964E-2</v>
      </c>
      <c r="G1562">
        <v>1</v>
      </c>
      <c r="H1562" s="133">
        <v>45840</v>
      </c>
      <c r="I1562" s="2">
        <v>0.57108796296296294</v>
      </c>
      <c r="J1562">
        <v>13</v>
      </c>
      <c r="R1562" t="s">
        <v>30</v>
      </c>
      <c r="W1562">
        <v>1</v>
      </c>
      <c r="X1562" t="s">
        <v>30</v>
      </c>
      <c r="AC1562" t="s">
        <v>3730</v>
      </c>
      <c r="AE1562" s="135"/>
    </row>
    <row r="1563" spans="1:31" ht="12.5" customHeight="1" x14ac:dyDescent="0.35">
      <c r="A1563" t="s">
        <v>396</v>
      </c>
      <c r="C1563" t="s">
        <v>3731</v>
      </c>
      <c r="D1563" t="s">
        <v>385</v>
      </c>
      <c r="E1563" s="133">
        <v>45841</v>
      </c>
      <c r="F1563" s="2">
        <v>7.1157407407407405E-2</v>
      </c>
      <c r="G1563">
        <v>1</v>
      </c>
      <c r="H1563" s="133">
        <v>45840</v>
      </c>
      <c r="I1563" s="2">
        <v>0.57115740740740739</v>
      </c>
      <c r="J1563">
        <v>13</v>
      </c>
      <c r="R1563" t="s">
        <v>30</v>
      </c>
      <c r="W1563">
        <v>1</v>
      </c>
      <c r="X1563" t="s">
        <v>30</v>
      </c>
      <c r="AC1563" t="s">
        <v>3732</v>
      </c>
      <c r="AE1563" s="135"/>
    </row>
    <row r="1564" spans="1:31" ht="12.5" customHeight="1" x14ac:dyDescent="0.35">
      <c r="A1564" t="s">
        <v>396</v>
      </c>
      <c r="C1564" t="s">
        <v>3733</v>
      </c>
      <c r="D1564" t="s">
        <v>385</v>
      </c>
      <c r="E1564" s="133">
        <v>45841</v>
      </c>
      <c r="F1564" s="2">
        <v>7.1226851851851861E-2</v>
      </c>
      <c r="G1564">
        <v>1</v>
      </c>
      <c r="H1564" s="133">
        <v>45840</v>
      </c>
      <c r="I1564" s="2">
        <v>0.57122685185185185</v>
      </c>
      <c r="J1564">
        <v>13</v>
      </c>
      <c r="R1564" t="s">
        <v>30</v>
      </c>
      <c r="W1564">
        <v>1</v>
      </c>
      <c r="X1564" t="s">
        <v>30</v>
      </c>
      <c r="AC1564" t="s">
        <v>3734</v>
      </c>
      <c r="AE1564" s="135"/>
    </row>
    <row r="1565" spans="1:31" ht="12.5" customHeight="1" x14ac:dyDescent="0.35">
      <c r="A1565" t="s">
        <v>396</v>
      </c>
      <c r="C1565" t="s">
        <v>3735</v>
      </c>
      <c r="D1565" t="s">
        <v>385</v>
      </c>
      <c r="E1565" s="133">
        <v>45841</v>
      </c>
      <c r="F1565" s="2">
        <v>7.1319444444444449E-2</v>
      </c>
      <c r="G1565">
        <v>1</v>
      </c>
      <c r="H1565" s="133">
        <v>45840</v>
      </c>
      <c r="I1565" s="2">
        <v>0.57131944444444438</v>
      </c>
      <c r="J1565">
        <v>13</v>
      </c>
      <c r="R1565" t="s">
        <v>30</v>
      </c>
      <c r="W1565">
        <v>1</v>
      </c>
      <c r="X1565" t="s">
        <v>30</v>
      </c>
      <c r="AC1565" t="s">
        <v>3736</v>
      </c>
      <c r="AE1565" s="135"/>
    </row>
    <row r="1566" spans="1:31" ht="12.5" customHeight="1" x14ac:dyDescent="0.35">
      <c r="A1566" t="s">
        <v>396</v>
      </c>
      <c r="C1566" t="s">
        <v>3737</v>
      </c>
      <c r="D1566" t="s">
        <v>385</v>
      </c>
      <c r="E1566" s="133">
        <v>45841</v>
      </c>
      <c r="F1566" s="2">
        <v>7.1388888888888891E-2</v>
      </c>
      <c r="G1566">
        <v>1</v>
      </c>
      <c r="H1566" s="133">
        <v>45840</v>
      </c>
      <c r="I1566" s="2">
        <v>0.57138888888888884</v>
      </c>
      <c r="J1566">
        <v>13</v>
      </c>
      <c r="R1566" t="s">
        <v>30</v>
      </c>
      <c r="W1566">
        <v>1</v>
      </c>
      <c r="X1566" t="s">
        <v>30</v>
      </c>
      <c r="AC1566" t="s">
        <v>3738</v>
      </c>
      <c r="AE1566" s="135"/>
    </row>
    <row r="1567" spans="1:31" ht="12.5" customHeight="1" x14ac:dyDescent="0.35">
      <c r="A1567" t="s">
        <v>396</v>
      </c>
      <c r="C1567" t="s">
        <v>3739</v>
      </c>
      <c r="D1567" t="s">
        <v>385</v>
      </c>
      <c r="E1567" s="133">
        <v>45841</v>
      </c>
      <c r="F1567" s="2">
        <v>7.1458333333333332E-2</v>
      </c>
      <c r="G1567">
        <v>1</v>
      </c>
      <c r="H1567" s="133">
        <v>45840</v>
      </c>
      <c r="I1567" s="2">
        <v>0.57145833333333329</v>
      </c>
      <c r="J1567">
        <v>13</v>
      </c>
      <c r="R1567" t="s">
        <v>30</v>
      </c>
      <c r="W1567">
        <v>1</v>
      </c>
      <c r="X1567" t="s">
        <v>30</v>
      </c>
      <c r="AC1567" t="s">
        <v>3740</v>
      </c>
      <c r="AE1567" s="135"/>
    </row>
    <row r="1568" spans="1:31" ht="12.5" customHeight="1" x14ac:dyDescent="0.35">
      <c r="A1568" t="s">
        <v>396</v>
      </c>
      <c r="C1568" t="s">
        <v>3741</v>
      </c>
      <c r="D1568" t="s">
        <v>385</v>
      </c>
      <c r="E1568" s="133">
        <v>45841</v>
      </c>
      <c r="F1568" s="2">
        <v>7.1550925925925921E-2</v>
      </c>
      <c r="G1568">
        <v>1</v>
      </c>
      <c r="H1568" s="133">
        <v>45840</v>
      </c>
      <c r="I1568" s="2">
        <v>0.57155092592592593</v>
      </c>
      <c r="J1568">
        <v>13</v>
      </c>
      <c r="R1568" t="s">
        <v>30</v>
      </c>
      <c r="W1568">
        <v>1</v>
      </c>
      <c r="X1568" t="s">
        <v>30</v>
      </c>
      <c r="AC1568" t="s">
        <v>3742</v>
      </c>
      <c r="AE1568" s="135"/>
    </row>
    <row r="1569" spans="1:31" ht="12.5" customHeight="1" x14ac:dyDescent="0.35">
      <c r="A1569" t="s">
        <v>396</v>
      </c>
      <c r="C1569" t="s">
        <v>3743</v>
      </c>
      <c r="D1569" t="s">
        <v>385</v>
      </c>
      <c r="E1569" s="133">
        <v>45841</v>
      </c>
      <c r="F1569" s="2">
        <v>7.1620370370370376E-2</v>
      </c>
      <c r="G1569">
        <v>1</v>
      </c>
      <c r="H1569" s="133">
        <v>45840</v>
      </c>
      <c r="I1569" s="2">
        <v>0.57162037037037039</v>
      </c>
      <c r="J1569">
        <v>13</v>
      </c>
      <c r="R1569" t="s">
        <v>30</v>
      </c>
      <c r="W1569">
        <v>1</v>
      </c>
      <c r="X1569" t="s">
        <v>30</v>
      </c>
      <c r="AC1569" t="s">
        <v>3744</v>
      </c>
      <c r="AE1569" s="135"/>
    </row>
    <row r="1570" spans="1:31" ht="12.5" customHeight="1" x14ac:dyDescent="0.35">
      <c r="A1570" t="s">
        <v>396</v>
      </c>
      <c r="C1570" t="s">
        <v>3745</v>
      </c>
      <c r="D1570" t="s">
        <v>385</v>
      </c>
      <c r="E1570" s="133">
        <v>45841</v>
      </c>
      <c r="F1570" s="2">
        <v>7.1712962962962964E-2</v>
      </c>
      <c r="G1570">
        <v>1</v>
      </c>
      <c r="H1570" s="133">
        <v>45840</v>
      </c>
      <c r="I1570" s="2">
        <v>0.57171296296296303</v>
      </c>
      <c r="J1570">
        <v>13</v>
      </c>
      <c r="R1570" t="s">
        <v>30</v>
      </c>
      <c r="W1570">
        <v>1</v>
      </c>
      <c r="X1570" t="s">
        <v>30</v>
      </c>
      <c r="AC1570" t="s">
        <v>3746</v>
      </c>
      <c r="AE1570" s="135"/>
    </row>
    <row r="1571" spans="1:31" ht="12.5" customHeight="1" x14ac:dyDescent="0.35">
      <c r="A1571" t="s">
        <v>396</v>
      </c>
      <c r="C1571" t="s">
        <v>3747</v>
      </c>
      <c r="D1571" t="s">
        <v>385</v>
      </c>
      <c r="E1571" s="133">
        <v>45841</v>
      </c>
      <c r="F1571" s="2">
        <v>7.1782407407407406E-2</v>
      </c>
      <c r="G1571">
        <v>1</v>
      </c>
      <c r="H1571" s="133">
        <v>45840</v>
      </c>
      <c r="I1571" s="2">
        <v>0.57178240740740738</v>
      </c>
      <c r="J1571">
        <v>13</v>
      </c>
      <c r="R1571" t="s">
        <v>30</v>
      </c>
      <c r="W1571">
        <v>1</v>
      </c>
      <c r="X1571" t="s">
        <v>30</v>
      </c>
      <c r="AC1571" t="s">
        <v>3748</v>
      </c>
      <c r="AE1571" s="135"/>
    </row>
    <row r="1572" spans="1:31" ht="12.5" customHeight="1" x14ac:dyDescent="0.35">
      <c r="A1572" t="s">
        <v>396</v>
      </c>
      <c r="C1572" t="s">
        <v>3749</v>
      </c>
      <c r="D1572" t="s">
        <v>385</v>
      </c>
      <c r="E1572" s="133">
        <v>45841</v>
      </c>
      <c r="F1572" s="2">
        <v>7.1875000000000008E-2</v>
      </c>
      <c r="G1572">
        <v>1</v>
      </c>
      <c r="H1572" s="133">
        <v>45840</v>
      </c>
      <c r="I1572" s="2">
        <v>0.57187500000000002</v>
      </c>
      <c r="J1572">
        <v>13</v>
      </c>
      <c r="R1572" t="s">
        <v>30</v>
      </c>
      <c r="W1572">
        <v>1</v>
      </c>
      <c r="X1572" t="s">
        <v>30</v>
      </c>
      <c r="AC1572" t="s">
        <v>3750</v>
      </c>
      <c r="AE1572" s="135"/>
    </row>
    <row r="1573" spans="1:31" ht="12.5" customHeight="1" x14ac:dyDescent="0.35">
      <c r="A1573" t="s">
        <v>396</v>
      </c>
      <c r="C1573" t="s">
        <v>3751</v>
      </c>
      <c r="D1573" t="s">
        <v>385</v>
      </c>
      <c r="E1573" s="133">
        <v>45841</v>
      </c>
      <c r="F1573" s="2">
        <v>7.1944444444444436E-2</v>
      </c>
      <c r="G1573">
        <v>1</v>
      </c>
      <c r="H1573" s="133">
        <v>45840</v>
      </c>
      <c r="I1573" s="2">
        <v>0.57194444444444448</v>
      </c>
      <c r="J1573">
        <v>13</v>
      </c>
      <c r="R1573" t="s">
        <v>30</v>
      </c>
      <c r="W1573">
        <v>1</v>
      </c>
      <c r="X1573" t="s">
        <v>30</v>
      </c>
      <c r="AC1573" t="s">
        <v>3752</v>
      </c>
      <c r="AE1573" s="135"/>
    </row>
    <row r="1574" spans="1:31" ht="12.5" customHeight="1" x14ac:dyDescent="0.35">
      <c r="A1574" t="s">
        <v>396</v>
      </c>
      <c r="C1574" t="s">
        <v>3753</v>
      </c>
      <c r="D1574" t="s">
        <v>385</v>
      </c>
      <c r="E1574" s="133">
        <v>45841</v>
      </c>
      <c r="F1574" s="2">
        <v>7.2013888888888891E-2</v>
      </c>
      <c r="G1574">
        <v>1</v>
      </c>
      <c r="H1574" s="133">
        <v>45840</v>
      </c>
      <c r="I1574" s="2">
        <v>0.57201388888888893</v>
      </c>
      <c r="J1574">
        <v>13</v>
      </c>
      <c r="R1574" t="s">
        <v>30</v>
      </c>
      <c r="W1574">
        <v>1</v>
      </c>
      <c r="X1574" t="s">
        <v>30</v>
      </c>
      <c r="AC1574" t="s">
        <v>3754</v>
      </c>
      <c r="AE1574" s="135"/>
    </row>
    <row r="1575" spans="1:31" ht="12.5" customHeight="1" x14ac:dyDescent="0.35">
      <c r="A1575" t="s">
        <v>396</v>
      </c>
      <c r="C1575" t="s">
        <v>3755</v>
      </c>
      <c r="D1575" t="s">
        <v>385</v>
      </c>
      <c r="E1575" s="133">
        <v>45841</v>
      </c>
      <c r="F1575" s="2">
        <v>7.210648148148148E-2</v>
      </c>
      <c r="G1575">
        <v>1</v>
      </c>
      <c r="H1575" s="133">
        <v>45840</v>
      </c>
      <c r="I1575" s="2">
        <v>0.57210648148148147</v>
      </c>
      <c r="J1575">
        <v>13</v>
      </c>
      <c r="R1575" t="s">
        <v>30</v>
      </c>
      <c r="W1575">
        <v>1</v>
      </c>
      <c r="X1575" t="s">
        <v>30</v>
      </c>
      <c r="AC1575" t="s">
        <v>3756</v>
      </c>
      <c r="AE1575" s="135"/>
    </row>
    <row r="1576" spans="1:31" ht="12.5" customHeight="1" x14ac:dyDescent="0.35">
      <c r="A1576" t="s">
        <v>396</v>
      </c>
      <c r="C1576" t="s">
        <v>3757</v>
      </c>
      <c r="D1576" t="s">
        <v>385</v>
      </c>
      <c r="E1576" s="133">
        <v>45841</v>
      </c>
      <c r="F1576" s="2">
        <v>7.2175925925925921E-2</v>
      </c>
      <c r="G1576">
        <v>1</v>
      </c>
      <c r="H1576" s="133">
        <v>45840</v>
      </c>
      <c r="I1576" s="2">
        <v>0.57217592592592592</v>
      </c>
      <c r="J1576">
        <v>13</v>
      </c>
      <c r="R1576" t="s">
        <v>30</v>
      </c>
      <c r="W1576">
        <v>1</v>
      </c>
      <c r="X1576" t="s">
        <v>30</v>
      </c>
      <c r="AC1576" t="s">
        <v>3758</v>
      </c>
      <c r="AE1576" s="135"/>
    </row>
    <row r="1577" spans="1:31" ht="12.5" customHeight="1" x14ac:dyDescent="0.35">
      <c r="A1577" t="s">
        <v>396</v>
      </c>
      <c r="C1577" t="s">
        <v>3759</v>
      </c>
      <c r="D1577" t="s">
        <v>385</v>
      </c>
      <c r="E1577" s="133">
        <v>45841</v>
      </c>
      <c r="F1577" s="2">
        <v>7.2245370370370363E-2</v>
      </c>
      <c r="G1577">
        <v>1</v>
      </c>
      <c r="H1577" s="133">
        <v>45840</v>
      </c>
      <c r="I1577" s="2">
        <v>0.57224537037037038</v>
      </c>
      <c r="J1577">
        <v>13</v>
      </c>
      <c r="R1577" t="s">
        <v>30</v>
      </c>
      <c r="W1577">
        <v>1</v>
      </c>
      <c r="X1577" t="s">
        <v>30</v>
      </c>
      <c r="AC1577" t="s">
        <v>3760</v>
      </c>
      <c r="AE1577" s="135"/>
    </row>
    <row r="1578" spans="1:31" ht="12.5" customHeight="1" x14ac:dyDescent="0.35">
      <c r="A1578" t="s">
        <v>396</v>
      </c>
      <c r="C1578" t="s">
        <v>3761</v>
      </c>
      <c r="D1578" t="s">
        <v>385</v>
      </c>
      <c r="E1578" s="133">
        <v>45841</v>
      </c>
      <c r="F1578" s="2">
        <v>7.2337962962962965E-2</v>
      </c>
      <c r="G1578">
        <v>1</v>
      </c>
      <c r="H1578" s="133">
        <v>45840</v>
      </c>
      <c r="I1578" s="2">
        <v>0.57233796296296291</v>
      </c>
      <c r="J1578">
        <v>13</v>
      </c>
      <c r="R1578" t="s">
        <v>30</v>
      </c>
      <c r="W1578">
        <v>1</v>
      </c>
      <c r="X1578" t="s">
        <v>30</v>
      </c>
      <c r="AC1578" t="s">
        <v>3762</v>
      </c>
      <c r="AE1578" s="135"/>
    </row>
    <row r="1579" spans="1:31" ht="12.5" customHeight="1" x14ac:dyDescent="0.35">
      <c r="A1579" t="s">
        <v>396</v>
      </c>
      <c r="C1579" t="s">
        <v>3763</v>
      </c>
      <c r="D1579" t="s">
        <v>385</v>
      </c>
      <c r="E1579" s="133">
        <v>45841</v>
      </c>
      <c r="F1579" s="2">
        <v>7.2407407407407406E-2</v>
      </c>
      <c r="G1579">
        <v>1</v>
      </c>
      <c r="H1579" s="133">
        <v>45840</v>
      </c>
      <c r="I1579" s="2">
        <v>0.57240740740740736</v>
      </c>
      <c r="J1579">
        <v>13</v>
      </c>
      <c r="R1579" t="s">
        <v>30</v>
      </c>
      <c r="W1579">
        <v>1</v>
      </c>
      <c r="X1579" t="s">
        <v>30</v>
      </c>
      <c r="AC1579" t="s">
        <v>3764</v>
      </c>
      <c r="AE1579" s="135"/>
    </row>
    <row r="1580" spans="1:31" ht="12.5" customHeight="1" x14ac:dyDescent="0.35">
      <c r="A1580" t="s">
        <v>396</v>
      </c>
      <c r="C1580" t="s">
        <v>3765</v>
      </c>
      <c r="D1580" t="s">
        <v>385</v>
      </c>
      <c r="E1580" s="133">
        <v>45841</v>
      </c>
      <c r="F1580" s="2">
        <v>7.2476851851851862E-2</v>
      </c>
      <c r="G1580">
        <v>1</v>
      </c>
      <c r="H1580" s="133">
        <v>45840</v>
      </c>
      <c r="I1580" s="2">
        <v>0.57247685185185182</v>
      </c>
      <c r="J1580">
        <v>13</v>
      </c>
      <c r="R1580" t="s">
        <v>30</v>
      </c>
      <c r="W1580">
        <v>1</v>
      </c>
      <c r="X1580" t="s">
        <v>30</v>
      </c>
      <c r="AC1580" t="s">
        <v>3766</v>
      </c>
      <c r="AE1580" s="135"/>
    </row>
    <row r="1581" spans="1:31" ht="12.5" customHeight="1" x14ac:dyDescent="0.35">
      <c r="A1581" t="s">
        <v>396</v>
      </c>
      <c r="C1581" t="s">
        <v>3767</v>
      </c>
      <c r="D1581" t="s">
        <v>385</v>
      </c>
      <c r="E1581" s="133">
        <v>45841</v>
      </c>
      <c r="F1581" s="2">
        <v>7.256944444444445E-2</v>
      </c>
      <c r="G1581">
        <v>1</v>
      </c>
      <c r="H1581" s="133">
        <v>45840</v>
      </c>
      <c r="I1581" s="2">
        <v>0.57256944444444446</v>
      </c>
      <c r="J1581">
        <v>13</v>
      </c>
      <c r="R1581" t="s">
        <v>30</v>
      </c>
      <c r="W1581">
        <v>1</v>
      </c>
      <c r="X1581" t="s">
        <v>30</v>
      </c>
      <c r="AC1581" t="s">
        <v>3768</v>
      </c>
      <c r="AE1581" s="135"/>
    </row>
    <row r="1582" spans="1:31" ht="12.5" customHeight="1" x14ac:dyDescent="0.35">
      <c r="A1582" t="s">
        <v>396</v>
      </c>
      <c r="C1582" t="s">
        <v>3769</v>
      </c>
      <c r="D1582" t="s">
        <v>385</v>
      </c>
      <c r="E1582" s="133">
        <v>45841</v>
      </c>
      <c r="F1582" s="2">
        <v>7.2638888888888892E-2</v>
      </c>
      <c r="G1582">
        <v>1</v>
      </c>
      <c r="H1582" s="133">
        <v>45840</v>
      </c>
      <c r="I1582" s="2">
        <v>0.57263888888888892</v>
      </c>
      <c r="J1582">
        <v>13</v>
      </c>
      <c r="R1582" t="s">
        <v>30</v>
      </c>
      <c r="W1582">
        <v>1</v>
      </c>
      <c r="X1582" t="s">
        <v>30</v>
      </c>
      <c r="AC1582" t="s">
        <v>3770</v>
      </c>
      <c r="AE1582" s="135"/>
    </row>
    <row r="1583" spans="1:31" ht="12.5" customHeight="1" x14ac:dyDescent="0.35">
      <c r="A1583" t="s">
        <v>396</v>
      </c>
      <c r="C1583" t="s">
        <v>3771</v>
      </c>
      <c r="D1583" t="s">
        <v>385</v>
      </c>
      <c r="E1583" s="133">
        <v>45841</v>
      </c>
      <c r="F1583" s="2">
        <v>7.2708333333333333E-2</v>
      </c>
      <c r="G1583">
        <v>1</v>
      </c>
      <c r="H1583" s="133">
        <v>45840</v>
      </c>
      <c r="I1583" s="2">
        <v>0.57270833333333326</v>
      </c>
      <c r="J1583">
        <v>13</v>
      </c>
      <c r="R1583" t="s">
        <v>30</v>
      </c>
      <c r="W1583">
        <v>1</v>
      </c>
      <c r="X1583" t="s">
        <v>30</v>
      </c>
      <c r="AC1583" t="s">
        <v>3772</v>
      </c>
      <c r="AE1583" s="135"/>
    </row>
    <row r="1584" spans="1:31" ht="12.5" customHeight="1" x14ac:dyDescent="0.35">
      <c r="A1584" t="s">
        <v>396</v>
      </c>
      <c r="C1584" t="s">
        <v>3773</v>
      </c>
      <c r="D1584" t="s">
        <v>385</v>
      </c>
      <c r="E1584" s="133">
        <v>45841</v>
      </c>
      <c r="F1584" s="2">
        <v>7.2800925925925922E-2</v>
      </c>
      <c r="G1584">
        <v>1</v>
      </c>
      <c r="H1584" s="133">
        <v>45840</v>
      </c>
      <c r="I1584" s="2">
        <v>0.57280092592592591</v>
      </c>
      <c r="J1584">
        <v>13</v>
      </c>
      <c r="R1584" t="s">
        <v>30</v>
      </c>
      <c r="W1584">
        <v>1</v>
      </c>
      <c r="X1584" t="s">
        <v>30</v>
      </c>
      <c r="AC1584" t="s">
        <v>3774</v>
      </c>
      <c r="AE1584" s="135"/>
    </row>
    <row r="1585" spans="1:31" ht="12.5" customHeight="1" x14ac:dyDescent="0.35">
      <c r="A1585" t="s">
        <v>396</v>
      </c>
      <c r="C1585" t="s">
        <v>3775</v>
      </c>
      <c r="D1585" t="s">
        <v>385</v>
      </c>
      <c r="E1585" s="133">
        <v>45841</v>
      </c>
      <c r="F1585" s="2">
        <v>7.2870370370370363E-2</v>
      </c>
      <c r="G1585">
        <v>1</v>
      </c>
      <c r="H1585" s="133">
        <v>45840</v>
      </c>
      <c r="I1585" s="2">
        <v>0.57287037037037036</v>
      </c>
      <c r="J1585">
        <v>13</v>
      </c>
      <c r="R1585" t="s">
        <v>30</v>
      </c>
      <c r="W1585">
        <v>1</v>
      </c>
      <c r="X1585" t="s">
        <v>30</v>
      </c>
      <c r="AC1585" t="s">
        <v>3776</v>
      </c>
      <c r="AE1585" s="135"/>
    </row>
    <row r="1586" spans="1:31" ht="12.5" customHeight="1" x14ac:dyDescent="0.35">
      <c r="A1586" t="s">
        <v>396</v>
      </c>
      <c r="C1586" t="s">
        <v>3777</v>
      </c>
      <c r="D1586" t="s">
        <v>385</v>
      </c>
      <c r="E1586" s="133">
        <v>45841</v>
      </c>
      <c r="F1586" s="2">
        <v>7.2939814814814818E-2</v>
      </c>
      <c r="G1586">
        <v>1</v>
      </c>
      <c r="H1586" s="133">
        <v>45840</v>
      </c>
      <c r="I1586" s="2">
        <v>0.57293981481481482</v>
      </c>
      <c r="J1586">
        <v>13</v>
      </c>
      <c r="R1586" t="s">
        <v>30</v>
      </c>
      <c r="W1586">
        <v>1</v>
      </c>
      <c r="X1586" t="s">
        <v>30</v>
      </c>
      <c r="AC1586" t="s">
        <v>3778</v>
      </c>
      <c r="AE1586" s="135"/>
    </row>
    <row r="1587" spans="1:31" ht="12.5" customHeight="1" x14ac:dyDescent="0.35">
      <c r="A1587" t="s">
        <v>396</v>
      </c>
      <c r="C1587" t="s">
        <v>3779</v>
      </c>
      <c r="D1587" t="s">
        <v>385</v>
      </c>
      <c r="E1587" s="133">
        <v>45841</v>
      </c>
      <c r="F1587" s="2">
        <v>7.3032407407407407E-2</v>
      </c>
      <c r="G1587">
        <v>1</v>
      </c>
      <c r="H1587" s="133">
        <v>45840</v>
      </c>
      <c r="I1587" s="2">
        <v>0.57303240740740746</v>
      </c>
      <c r="J1587">
        <v>13</v>
      </c>
      <c r="R1587" t="s">
        <v>30</v>
      </c>
      <c r="W1587">
        <v>1</v>
      </c>
      <c r="X1587" t="s">
        <v>30</v>
      </c>
      <c r="AC1587" t="s">
        <v>3780</v>
      </c>
      <c r="AE1587" s="135"/>
    </row>
    <row r="1588" spans="1:31" ht="12.5" customHeight="1" x14ac:dyDescent="0.35">
      <c r="A1588" t="s">
        <v>396</v>
      </c>
      <c r="C1588" t="s">
        <v>3781</v>
      </c>
      <c r="D1588" t="s">
        <v>385</v>
      </c>
      <c r="E1588" s="133">
        <v>45841</v>
      </c>
      <c r="F1588" s="2">
        <v>7.3101851851851848E-2</v>
      </c>
      <c r="G1588">
        <v>1</v>
      </c>
      <c r="H1588" s="133">
        <v>45840</v>
      </c>
      <c r="I1588" s="2">
        <v>0.57310185185185192</v>
      </c>
      <c r="J1588">
        <v>13</v>
      </c>
      <c r="R1588" t="s">
        <v>30</v>
      </c>
      <c r="W1588">
        <v>1</v>
      </c>
      <c r="X1588" t="s">
        <v>30</v>
      </c>
      <c r="AC1588" t="s">
        <v>3782</v>
      </c>
      <c r="AE1588" s="135"/>
    </row>
    <row r="1589" spans="1:31" ht="12.5" customHeight="1" x14ac:dyDescent="0.35">
      <c r="A1589" t="s">
        <v>396</v>
      </c>
      <c r="C1589" t="s">
        <v>3783</v>
      </c>
      <c r="D1589" t="s">
        <v>385</v>
      </c>
      <c r="E1589" s="133">
        <v>45841</v>
      </c>
      <c r="F1589" s="2">
        <v>7.3171296296296304E-2</v>
      </c>
      <c r="G1589">
        <v>1</v>
      </c>
      <c r="H1589" s="133">
        <v>45840</v>
      </c>
      <c r="I1589" s="2">
        <v>0.57317129629629626</v>
      </c>
      <c r="J1589">
        <v>13</v>
      </c>
      <c r="R1589" t="s">
        <v>30</v>
      </c>
      <c r="W1589">
        <v>1</v>
      </c>
      <c r="X1589" t="s">
        <v>30</v>
      </c>
      <c r="AC1589" t="s">
        <v>3784</v>
      </c>
      <c r="AE1589" s="135"/>
    </row>
    <row r="1590" spans="1:31" ht="12.5" customHeight="1" x14ac:dyDescent="0.35">
      <c r="A1590" t="s">
        <v>396</v>
      </c>
      <c r="C1590" t="s">
        <v>3785</v>
      </c>
      <c r="D1590" t="s">
        <v>385</v>
      </c>
      <c r="E1590" s="133">
        <v>45841</v>
      </c>
      <c r="F1590" s="2">
        <v>7.3263888888888892E-2</v>
      </c>
      <c r="G1590">
        <v>1</v>
      </c>
      <c r="H1590" s="133">
        <v>45840</v>
      </c>
      <c r="I1590" s="2">
        <v>0.57326388888888891</v>
      </c>
      <c r="J1590">
        <v>13</v>
      </c>
      <c r="R1590" t="s">
        <v>30</v>
      </c>
      <c r="W1590">
        <v>1</v>
      </c>
      <c r="X1590" t="s">
        <v>30</v>
      </c>
      <c r="AC1590" t="s">
        <v>3786</v>
      </c>
      <c r="AE1590" s="135"/>
    </row>
    <row r="1591" spans="1:31" ht="12.5" customHeight="1" x14ac:dyDescent="0.35">
      <c r="A1591" t="s">
        <v>396</v>
      </c>
      <c r="C1591" t="s">
        <v>3787</v>
      </c>
      <c r="D1591" t="s">
        <v>385</v>
      </c>
      <c r="E1591" s="133">
        <v>45841</v>
      </c>
      <c r="F1591" s="2">
        <v>7.3333333333333334E-2</v>
      </c>
      <c r="G1591">
        <v>1</v>
      </c>
      <c r="H1591" s="133">
        <v>45840</v>
      </c>
      <c r="I1591" s="2">
        <v>0.57333333333333336</v>
      </c>
      <c r="J1591">
        <v>13</v>
      </c>
      <c r="R1591" t="s">
        <v>30</v>
      </c>
      <c r="W1591">
        <v>1</v>
      </c>
      <c r="X1591" t="s">
        <v>30</v>
      </c>
      <c r="AC1591" t="s">
        <v>3788</v>
      </c>
      <c r="AE1591" s="135"/>
    </row>
    <row r="1592" spans="1:31" ht="12.5" customHeight="1" x14ac:dyDescent="0.35">
      <c r="A1592" t="s">
        <v>396</v>
      </c>
      <c r="C1592" t="s">
        <v>3789</v>
      </c>
      <c r="D1592" t="s">
        <v>385</v>
      </c>
      <c r="E1592" s="133">
        <v>45841</v>
      </c>
      <c r="F1592" s="2">
        <v>7.3425925925925936E-2</v>
      </c>
      <c r="G1592">
        <v>1</v>
      </c>
      <c r="H1592" s="133">
        <v>45840</v>
      </c>
      <c r="I1592" s="2">
        <v>0.57342592592592589</v>
      </c>
      <c r="J1592">
        <v>13</v>
      </c>
      <c r="R1592" t="s">
        <v>30</v>
      </c>
      <c r="W1592">
        <v>1</v>
      </c>
      <c r="X1592" t="s">
        <v>30</v>
      </c>
      <c r="AC1592" t="s">
        <v>3790</v>
      </c>
      <c r="AE1592" s="135"/>
    </row>
    <row r="1593" spans="1:31" ht="12.5" customHeight="1" x14ac:dyDescent="0.35">
      <c r="A1593" t="s">
        <v>396</v>
      </c>
      <c r="C1593" t="s">
        <v>3791</v>
      </c>
      <c r="D1593" t="s">
        <v>385</v>
      </c>
      <c r="E1593" s="133">
        <v>45841</v>
      </c>
      <c r="F1593" s="2">
        <v>7.3495370370370364E-2</v>
      </c>
      <c r="G1593">
        <v>1</v>
      </c>
      <c r="H1593" s="133">
        <v>45840</v>
      </c>
      <c r="I1593" s="2">
        <v>0.57349537037037035</v>
      </c>
      <c r="J1593">
        <v>13</v>
      </c>
      <c r="R1593" t="s">
        <v>30</v>
      </c>
      <c r="W1593">
        <v>1</v>
      </c>
      <c r="X1593" t="s">
        <v>30</v>
      </c>
      <c r="AC1593" t="s">
        <v>3792</v>
      </c>
      <c r="AE1593" s="135"/>
    </row>
    <row r="1594" spans="1:31" ht="12.5" customHeight="1" x14ac:dyDescent="0.35">
      <c r="A1594" t="s">
        <v>396</v>
      </c>
      <c r="C1594" t="s">
        <v>3793</v>
      </c>
      <c r="D1594" t="s">
        <v>385</v>
      </c>
      <c r="E1594" s="133">
        <v>45841</v>
      </c>
      <c r="F1594" s="2">
        <v>7.3564814814814819E-2</v>
      </c>
      <c r="G1594">
        <v>1</v>
      </c>
      <c r="H1594" s="133">
        <v>45840</v>
      </c>
      <c r="I1594" s="2">
        <v>0.57356481481481481</v>
      </c>
      <c r="J1594">
        <v>13</v>
      </c>
      <c r="R1594" t="s">
        <v>30</v>
      </c>
      <c r="W1594">
        <v>1</v>
      </c>
      <c r="X1594" t="s">
        <v>30</v>
      </c>
      <c r="AC1594" t="s">
        <v>3794</v>
      </c>
      <c r="AE1594" s="135"/>
    </row>
    <row r="1595" spans="1:31" ht="12.5" customHeight="1" x14ac:dyDescent="0.35">
      <c r="A1595" t="s">
        <v>396</v>
      </c>
      <c r="C1595" t="s">
        <v>3795</v>
      </c>
      <c r="D1595" t="s">
        <v>385</v>
      </c>
      <c r="E1595" s="133">
        <v>45841</v>
      </c>
      <c r="F1595" s="2">
        <v>7.3657407407407408E-2</v>
      </c>
      <c r="G1595">
        <v>1</v>
      </c>
      <c r="H1595" s="133">
        <v>45840</v>
      </c>
      <c r="I1595" s="2">
        <v>0.57365740740740734</v>
      </c>
      <c r="J1595">
        <v>13</v>
      </c>
      <c r="R1595" t="s">
        <v>30</v>
      </c>
      <c r="W1595">
        <v>1</v>
      </c>
      <c r="X1595" t="s">
        <v>30</v>
      </c>
      <c r="AC1595" t="s">
        <v>3796</v>
      </c>
      <c r="AE1595" s="135"/>
    </row>
    <row r="1596" spans="1:31" ht="12.5" customHeight="1" x14ac:dyDescent="0.35">
      <c r="A1596" t="s">
        <v>396</v>
      </c>
      <c r="C1596" t="s">
        <v>3797</v>
      </c>
      <c r="D1596" t="s">
        <v>385</v>
      </c>
      <c r="E1596" s="133">
        <v>45841</v>
      </c>
      <c r="F1596" s="2">
        <v>7.3726851851851849E-2</v>
      </c>
      <c r="G1596">
        <v>1</v>
      </c>
      <c r="H1596" s="133">
        <v>45840</v>
      </c>
      <c r="I1596" s="2">
        <v>0.57372685185185179</v>
      </c>
      <c r="J1596">
        <v>13</v>
      </c>
      <c r="R1596" t="s">
        <v>30</v>
      </c>
      <c r="W1596">
        <v>1</v>
      </c>
      <c r="X1596" t="s">
        <v>30</v>
      </c>
      <c r="AC1596" t="s">
        <v>3798</v>
      </c>
      <c r="AE1596" s="135"/>
    </row>
    <row r="1597" spans="1:31" ht="12.5" customHeight="1" x14ac:dyDescent="0.35">
      <c r="A1597" t="s">
        <v>396</v>
      </c>
      <c r="C1597" t="s">
        <v>3799</v>
      </c>
      <c r="D1597" t="s">
        <v>385</v>
      </c>
      <c r="E1597" s="133">
        <v>45841</v>
      </c>
      <c r="F1597" s="2">
        <v>7.379629629629629E-2</v>
      </c>
      <c r="G1597">
        <v>1</v>
      </c>
      <c r="H1597" s="133">
        <v>45840</v>
      </c>
      <c r="I1597" s="2">
        <v>0.57379629629629625</v>
      </c>
      <c r="J1597">
        <v>13</v>
      </c>
      <c r="R1597" t="s">
        <v>30</v>
      </c>
      <c r="W1597">
        <v>1</v>
      </c>
      <c r="X1597" t="s">
        <v>30</v>
      </c>
      <c r="AC1597" t="s">
        <v>3800</v>
      </c>
      <c r="AE1597" s="135"/>
    </row>
    <row r="1598" spans="1:31" ht="12.5" customHeight="1" x14ac:dyDescent="0.35">
      <c r="A1598" t="s">
        <v>396</v>
      </c>
      <c r="C1598" t="s">
        <v>3801</v>
      </c>
      <c r="D1598" t="s">
        <v>385</v>
      </c>
      <c r="E1598" s="133">
        <v>45841</v>
      </c>
      <c r="F1598" s="2">
        <v>7.3888888888888893E-2</v>
      </c>
      <c r="G1598">
        <v>1</v>
      </c>
      <c r="H1598" s="133">
        <v>45840</v>
      </c>
      <c r="I1598" s="2">
        <v>0.57388888888888889</v>
      </c>
      <c r="J1598">
        <v>13</v>
      </c>
      <c r="R1598" t="s">
        <v>30</v>
      </c>
      <c r="W1598">
        <v>1</v>
      </c>
      <c r="X1598" t="s">
        <v>30</v>
      </c>
      <c r="AC1598" t="s">
        <v>3802</v>
      </c>
      <c r="AE1598" s="135"/>
    </row>
    <row r="1599" spans="1:31" ht="12.5" customHeight="1" x14ac:dyDescent="0.35">
      <c r="A1599" t="s">
        <v>396</v>
      </c>
      <c r="C1599" t="s">
        <v>3803</v>
      </c>
      <c r="D1599" t="s">
        <v>385</v>
      </c>
      <c r="E1599" s="133">
        <v>45841</v>
      </c>
      <c r="F1599" s="2">
        <v>7.3958333333333334E-2</v>
      </c>
      <c r="G1599">
        <v>1</v>
      </c>
      <c r="H1599" s="133">
        <v>45840</v>
      </c>
      <c r="I1599" s="2">
        <v>0.57395833333333335</v>
      </c>
      <c r="J1599">
        <v>13</v>
      </c>
      <c r="R1599" t="s">
        <v>30</v>
      </c>
      <c r="W1599">
        <v>1</v>
      </c>
      <c r="X1599" t="s">
        <v>30</v>
      </c>
      <c r="AC1599" t="s">
        <v>3804</v>
      </c>
      <c r="AE1599" s="135"/>
    </row>
    <row r="1600" spans="1:31" ht="12.5" customHeight="1" x14ac:dyDescent="0.35">
      <c r="A1600" t="s">
        <v>396</v>
      </c>
      <c r="C1600" t="s">
        <v>3805</v>
      </c>
      <c r="D1600" t="s">
        <v>385</v>
      </c>
      <c r="E1600" s="133">
        <v>45841</v>
      </c>
      <c r="F1600" s="2">
        <v>7.402777777777779E-2</v>
      </c>
      <c r="G1600">
        <v>1</v>
      </c>
      <c r="H1600" s="133">
        <v>45840</v>
      </c>
      <c r="I1600" s="2">
        <v>0.5740277777777778</v>
      </c>
      <c r="J1600">
        <v>13</v>
      </c>
      <c r="R1600" t="s">
        <v>30</v>
      </c>
      <c r="W1600">
        <v>1</v>
      </c>
      <c r="X1600" t="s">
        <v>30</v>
      </c>
      <c r="AC1600" t="s">
        <v>3806</v>
      </c>
      <c r="AE1600" s="135"/>
    </row>
    <row r="1601" spans="1:31" ht="12.5" customHeight="1" x14ac:dyDescent="0.35">
      <c r="A1601" t="s">
        <v>396</v>
      </c>
      <c r="C1601" t="s">
        <v>3807</v>
      </c>
      <c r="D1601" t="s">
        <v>385</v>
      </c>
      <c r="E1601" s="133">
        <v>45841</v>
      </c>
      <c r="F1601" s="2">
        <v>7.4120370370370378E-2</v>
      </c>
      <c r="G1601">
        <v>1</v>
      </c>
      <c r="H1601" s="133">
        <v>45840</v>
      </c>
      <c r="I1601" s="2">
        <v>0.57412037037037034</v>
      </c>
      <c r="J1601">
        <v>13</v>
      </c>
      <c r="R1601" t="s">
        <v>30</v>
      </c>
      <c r="W1601">
        <v>1</v>
      </c>
      <c r="X1601" t="s">
        <v>30</v>
      </c>
      <c r="AC1601" t="s">
        <v>3808</v>
      </c>
      <c r="AE1601" s="135"/>
    </row>
    <row r="1602" spans="1:31" ht="12.5" customHeight="1" x14ac:dyDescent="0.35">
      <c r="A1602" t="s">
        <v>396</v>
      </c>
      <c r="C1602" t="s">
        <v>3809</v>
      </c>
      <c r="D1602" t="s">
        <v>385</v>
      </c>
      <c r="E1602" s="133">
        <v>45841</v>
      </c>
      <c r="F1602" s="2">
        <v>7.4189814814814806E-2</v>
      </c>
      <c r="G1602">
        <v>1</v>
      </c>
      <c r="H1602" s="133">
        <v>45840</v>
      </c>
      <c r="I1602" s="2">
        <v>0.57418981481481479</v>
      </c>
      <c r="J1602">
        <v>13</v>
      </c>
      <c r="R1602" t="s">
        <v>30</v>
      </c>
      <c r="W1602">
        <v>1</v>
      </c>
      <c r="X1602" t="s">
        <v>30</v>
      </c>
      <c r="AC1602" t="s">
        <v>3810</v>
      </c>
      <c r="AE1602" s="135"/>
    </row>
    <row r="1603" spans="1:31" ht="12.5" customHeight="1" x14ac:dyDescent="0.35">
      <c r="A1603" t="s">
        <v>396</v>
      </c>
      <c r="C1603" t="s">
        <v>3811</v>
      </c>
      <c r="D1603" t="s">
        <v>385</v>
      </c>
      <c r="E1603" s="133">
        <v>45841</v>
      </c>
      <c r="F1603" s="2">
        <v>7.4259259259259261E-2</v>
      </c>
      <c r="G1603">
        <v>1</v>
      </c>
      <c r="H1603" s="133">
        <v>45840</v>
      </c>
      <c r="I1603" s="2">
        <v>0.57425925925925925</v>
      </c>
      <c r="J1603">
        <v>13</v>
      </c>
      <c r="R1603" t="s">
        <v>30</v>
      </c>
      <c r="W1603">
        <v>1</v>
      </c>
      <c r="X1603" t="s">
        <v>30</v>
      </c>
      <c r="AC1603" t="s">
        <v>3812</v>
      </c>
      <c r="AE1603" s="135"/>
    </row>
    <row r="1604" spans="1:31" ht="12.5" customHeight="1" x14ac:dyDescent="0.35">
      <c r="A1604" t="s">
        <v>396</v>
      </c>
      <c r="C1604" t="s">
        <v>3813</v>
      </c>
      <c r="D1604" t="s">
        <v>385</v>
      </c>
      <c r="E1604" s="133">
        <v>45841</v>
      </c>
      <c r="F1604" s="2">
        <v>7.435185185185185E-2</v>
      </c>
      <c r="G1604">
        <v>1</v>
      </c>
      <c r="H1604" s="133">
        <v>45840</v>
      </c>
      <c r="I1604" s="2">
        <v>0.57435185185185189</v>
      </c>
      <c r="J1604">
        <v>13</v>
      </c>
      <c r="R1604" t="s">
        <v>30</v>
      </c>
      <c r="W1604">
        <v>1</v>
      </c>
      <c r="X1604" t="s">
        <v>30</v>
      </c>
      <c r="AC1604" t="s">
        <v>3814</v>
      </c>
      <c r="AE1604" s="135"/>
    </row>
    <row r="1605" spans="1:31" ht="12.5" customHeight="1" x14ac:dyDescent="0.35">
      <c r="A1605" t="s">
        <v>396</v>
      </c>
      <c r="C1605" t="s">
        <v>3815</v>
      </c>
      <c r="D1605" t="s">
        <v>385</v>
      </c>
      <c r="E1605" s="133">
        <v>45841</v>
      </c>
      <c r="F1605" s="2">
        <v>7.4421296296296291E-2</v>
      </c>
      <c r="G1605">
        <v>1</v>
      </c>
      <c r="H1605" s="133">
        <v>45840</v>
      </c>
      <c r="I1605" s="2">
        <v>0.57442129629629635</v>
      </c>
      <c r="J1605">
        <v>13</v>
      </c>
      <c r="R1605" t="s">
        <v>30</v>
      </c>
      <c r="W1605">
        <v>1</v>
      </c>
      <c r="X1605" t="s">
        <v>30</v>
      </c>
      <c r="AC1605" t="s">
        <v>3816</v>
      </c>
      <c r="AE1605" s="135"/>
    </row>
    <row r="1606" spans="1:31" ht="12.5" customHeight="1" x14ac:dyDescent="0.35">
      <c r="A1606" t="s">
        <v>396</v>
      </c>
      <c r="C1606" t="s">
        <v>3817</v>
      </c>
      <c r="D1606" t="s">
        <v>385</v>
      </c>
      <c r="E1606" s="133">
        <v>45841</v>
      </c>
      <c r="F1606" s="2">
        <v>7.4513888888888893E-2</v>
      </c>
      <c r="G1606">
        <v>1</v>
      </c>
      <c r="H1606" s="133">
        <v>45840</v>
      </c>
      <c r="I1606" s="2">
        <v>0.57451388888888888</v>
      </c>
      <c r="J1606">
        <v>13</v>
      </c>
      <c r="R1606" t="s">
        <v>30</v>
      </c>
      <c r="W1606">
        <v>1</v>
      </c>
      <c r="X1606" t="s">
        <v>30</v>
      </c>
      <c r="AC1606" t="s">
        <v>3818</v>
      </c>
      <c r="AE1606" s="135"/>
    </row>
    <row r="1607" spans="1:31" ht="12.5" customHeight="1" x14ac:dyDescent="0.35">
      <c r="A1607" t="s">
        <v>396</v>
      </c>
      <c r="C1607" t="s">
        <v>3819</v>
      </c>
      <c r="D1607" t="s">
        <v>385</v>
      </c>
      <c r="E1607" s="133">
        <v>45841</v>
      </c>
      <c r="F1607" s="2">
        <v>7.4583333333333335E-2</v>
      </c>
      <c r="G1607">
        <v>1</v>
      </c>
      <c r="H1607" s="133">
        <v>45840</v>
      </c>
      <c r="I1607" s="2">
        <v>0.57458333333333333</v>
      </c>
      <c r="J1607">
        <v>13</v>
      </c>
      <c r="R1607" t="s">
        <v>30</v>
      </c>
      <c r="W1607">
        <v>1</v>
      </c>
      <c r="X1607" t="s">
        <v>30</v>
      </c>
      <c r="AC1607" t="s">
        <v>3820</v>
      </c>
      <c r="AE1607" s="135"/>
    </row>
    <row r="1608" spans="1:31" ht="12.5" customHeight="1" x14ac:dyDescent="0.35">
      <c r="A1608" t="s">
        <v>396</v>
      </c>
      <c r="C1608" t="s">
        <v>3821</v>
      </c>
      <c r="D1608" t="s">
        <v>385</v>
      </c>
      <c r="E1608" s="133">
        <v>45841</v>
      </c>
      <c r="F1608" s="2">
        <v>7.4652777777777776E-2</v>
      </c>
      <c r="G1608">
        <v>1</v>
      </c>
      <c r="H1608" s="133">
        <v>45840</v>
      </c>
      <c r="I1608" s="2">
        <v>0.57465277777777779</v>
      </c>
      <c r="J1608">
        <v>13</v>
      </c>
      <c r="R1608" t="s">
        <v>30</v>
      </c>
      <c r="W1608">
        <v>1</v>
      </c>
      <c r="X1608" t="s">
        <v>30</v>
      </c>
      <c r="AC1608" t="s">
        <v>3822</v>
      </c>
      <c r="AE1608" s="135"/>
    </row>
    <row r="1609" spans="1:31" ht="12.5" customHeight="1" x14ac:dyDescent="0.35">
      <c r="A1609" t="s">
        <v>396</v>
      </c>
      <c r="C1609" t="s">
        <v>3823</v>
      </c>
      <c r="D1609" t="s">
        <v>385</v>
      </c>
      <c r="E1609" s="133">
        <v>45841</v>
      </c>
      <c r="F1609" s="2">
        <v>7.4745370370370365E-2</v>
      </c>
      <c r="G1609">
        <v>1</v>
      </c>
      <c r="H1609" s="133">
        <v>45840</v>
      </c>
      <c r="I1609" s="2">
        <v>0.57474537037037032</v>
      </c>
      <c r="J1609">
        <v>13</v>
      </c>
      <c r="R1609" t="s">
        <v>30</v>
      </c>
      <c r="W1609">
        <v>1</v>
      </c>
      <c r="X1609" t="s">
        <v>30</v>
      </c>
      <c r="AC1609" t="s">
        <v>3824</v>
      </c>
      <c r="AE1609" s="135"/>
    </row>
    <row r="1610" spans="1:31" ht="12.5" customHeight="1" x14ac:dyDescent="0.35">
      <c r="A1610" t="s">
        <v>396</v>
      </c>
      <c r="C1610" t="s">
        <v>3825</v>
      </c>
      <c r="D1610" t="s">
        <v>385</v>
      </c>
      <c r="E1610" s="133">
        <v>45841</v>
      </c>
      <c r="F1610" s="2">
        <v>7.481481481481482E-2</v>
      </c>
      <c r="G1610">
        <v>1</v>
      </c>
      <c r="H1610" s="133">
        <v>45840</v>
      </c>
      <c r="I1610" s="2">
        <v>0.57481481481481478</v>
      </c>
      <c r="J1610">
        <v>13</v>
      </c>
      <c r="R1610" t="s">
        <v>30</v>
      </c>
      <c r="W1610">
        <v>1</v>
      </c>
      <c r="X1610" t="s">
        <v>30</v>
      </c>
      <c r="AC1610" t="s">
        <v>3826</v>
      </c>
      <c r="AE1610" s="135"/>
    </row>
    <row r="1611" spans="1:31" ht="12.5" customHeight="1" x14ac:dyDescent="0.35">
      <c r="A1611" t="s">
        <v>396</v>
      </c>
      <c r="C1611" t="s">
        <v>3827</v>
      </c>
      <c r="D1611" t="s">
        <v>385</v>
      </c>
      <c r="E1611" s="133">
        <v>45841</v>
      </c>
      <c r="F1611" s="2">
        <v>7.4907407407407409E-2</v>
      </c>
      <c r="G1611">
        <v>1</v>
      </c>
      <c r="H1611" s="133">
        <v>45840</v>
      </c>
      <c r="I1611" s="2">
        <v>0.57490740740740742</v>
      </c>
      <c r="J1611">
        <v>13</v>
      </c>
      <c r="R1611" t="s">
        <v>30</v>
      </c>
      <c r="W1611">
        <v>1</v>
      </c>
      <c r="X1611" t="s">
        <v>30</v>
      </c>
      <c r="AC1611" t="s">
        <v>3828</v>
      </c>
      <c r="AE1611" s="135"/>
    </row>
    <row r="1612" spans="1:31" ht="12.5" customHeight="1" x14ac:dyDescent="0.35">
      <c r="A1612" t="s">
        <v>396</v>
      </c>
      <c r="C1612" t="s">
        <v>3829</v>
      </c>
      <c r="D1612" t="s">
        <v>385</v>
      </c>
      <c r="E1612" s="133">
        <v>45841</v>
      </c>
      <c r="F1612" s="2">
        <v>7.4976851851851864E-2</v>
      </c>
      <c r="G1612">
        <v>1</v>
      </c>
      <c r="H1612" s="133">
        <v>45840</v>
      </c>
      <c r="I1612" s="2">
        <v>0.57497685185185188</v>
      </c>
      <c r="J1612">
        <v>13</v>
      </c>
      <c r="R1612" t="s">
        <v>30</v>
      </c>
      <c r="W1612">
        <v>1</v>
      </c>
      <c r="X1612" t="s">
        <v>30</v>
      </c>
      <c r="AC1612" t="s">
        <v>3830</v>
      </c>
      <c r="AE1612" s="135"/>
    </row>
    <row r="1613" spans="1:31" ht="12.5" customHeight="1" x14ac:dyDescent="0.35">
      <c r="A1613" t="s">
        <v>396</v>
      </c>
      <c r="C1613" t="s">
        <v>3831</v>
      </c>
      <c r="D1613" t="s">
        <v>385</v>
      </c>
      <c r="E1613" s="133">
        <v>45841</v>
      </c>
      <c r="F1613" s="2">
        <v>7.5046296296296292E-2</v>
      </c>
      <c r="G1613">
        <v>1</v>
      </c>
      <c r="H1613" s="133">
        <v>45840</v>
      </c>
      <c r="I1613" s="2">
        <v>0.57504629629629633</v>
      </c>
      <c r="J1613">
        <v>13</v>
      </c>
      <c r="R1613" t="s">
        <v>30</v>
      </c>
      <c r="W1613">
        <v>1</v>
      </c>
      <c r="X1613" t="s">
        <v>30</v>
      </c>
      <c r="AC1613" t="s">
        <v>3832</v>
      </c>
      <c r="AE1613" s="135"/>
    </row>
    <row r="1614" spans="1:31" ht="12.5" customHeight="1" x14ac:dyDescent="0.35">
      <c r="A1614" t="s">
        <v>396</v>
      </c>
      <c r="C1614" t="s">
        <v>3833</v>
      </c>
      <c r="D1614" t="s">
        <v>385</v>
      </c>
      <c r="E1614" s="133">
        <v>45841</v>
      </c>
      <c r="F1614" s="2">
        <v>7.513888888888888E-2</v>
      </c>
      <c r="G1614">
        <v>1</v>
      </c>
      <c r="H1614" s="133">
        <v>45840</v>
      </c>
      <c r="I1614" s="2">
        <v>0.57513888888888887</v>
      </c>
      <c r="J1614">
        <v>13</v>
      </c>
      <c r="R1614" t="s">
        <v>30</v>
      </c>
      <c r="W1614">
        <v>1</v>
      </c>
      <c r="X1614" t="s">
        <v>30</v>
      </c>
      <c r="AC1614" t="s">
        <v>3834</v>
      </c>
      <c r="AE1614" s="135"/>
    </row>
    <row r="1615" spans="1:31" ht="12.5" customHeight="1" x14ac:dyDescent="0.35">
      <c r="A1615" t="s">
        <v>396</v>
      </c>
      <c r="C1615" t="s">
        <v>3835</v>
      </c>
      <c r="D1615" t="s">
        <v>385</v>
      </c>
      <c r="E1615" s="133">
        <v>45841</v>
      </c>
      <c r="F1615" s="2">
        <v>7.5208333333333335E-2</v>
      </c>
      <c r="G1615">
        <v>1</v>
      </c>
      <c r="H1615" s="133">
        <v>45840</v>
      </c>
      <c r="I1615" s="2">
        <v>0.57520833333333332</v>
      </c>
      <c r="J1615">
        <v>13</v>
      </c>
      <c r="R1615" t="s">
        <v>30</v>
      </c>
      <c r="W1615">
        <v>1</v>
      </c>
      <c r="X1615" t="s">
        <v>30</v>
      </c>
      <c r="AC1615" t="s">
        <v>3836</v>
      </c>
      <c r="AE1615" s="135"/>
    </row>
    <row r="1616" spans="1:31" ht="12.5" customHeight="1" x14ac:dyDescent="0.35">
      <c r="A1616" t="s">
        <v>396</v>
      </c>
      <c r="C1616" t="s">
        <v>3837</v>
      </c>
      <c r="D1616" t="s">
        <v>385</v>
      </c>
      <c r="E1616" s="133">
        <v>45841</v>
      </c>
      <c r="F1616" s="2">
        <v>7.5300925925925924E-2</v>
      </c>
      <c r="G1616">
        <v>1</v>
      </c>
      <c r="H1616" s="133">
        <v>45840</v>
      </c>
      <c r="I1616" s="2">
        <v>0.57530092592592597</v>
      </c>
      <c r="J1616">
        <v>13</v>
      </c>
      <c r="R1616" t="s">
        <v>30</v>
      </c>
      <c r="W1616">
        <v>1</v>
      </c>
      <c r="X1616" t="s">
        <v>30</v>
      </c>
      <c r="AC1616" t="s">
        <v>3838</v>
      </c>
      <c r="AE1616" s="135"/>
    </row>
    <row r="1617" spans="1:31" ht="12.5" customHeight="1" x14ac:dyDescent="0.35">
      <c r="A1617" t="s">
        <v>396</v>
      </c>
      <c r="C1617" t="s">
        <v>3839</v>
      </c>
      <c r="D1617" t="s">
        <v>385</v>
      </c>
      <c r="E1617" s="133">
        <v>45841</v>
      </c>
      <c r="F1617" s="2">
        <v>7.5370370370370365E-2</v>
      </c>
      <c r="G1617">
        <v>1</v>
      </c>
      <c r="H1617" s="133">
        <v>45840</v>
      </c>
      <c r="I1617" s="2">
        <v>0.57537037037037042</v>
      </c>
      <c r="J1617">
        <v>13</v>
      </c>
      <c r="R1617" t="s">
        <v>30</v>
      </c>
      <c r="W1617">
        <v>1</v>
      </c>
      <c r="X1617" t="s">
        <v>30</v>
      </c>
      <c r="AC1617" t="s">
        <v>3840</v>
      </c>
      <c r="AE1617" s="135"/>
    </row>
    <row r="1618" spans="1:31" ht="12.5" customHeight="1" x14ac:dyDescent="0.35">
      <c r="A1618" t="s">
        <v>396</v>
      </c>
      <c r="C1618" t="s">
        <v>3841</v>
      </c>
      <c r="D1618" t="s">
        <v>385</v>
      </c>
      <c r="E1618" s="133">
        <v>45841</v>
      </c>
      <c r="F1618" s="2">
        <v>7.5439814814814821E-2</v>
      </c>
      <c r="G1618">
        <v>1</v>
      </c>
      <c r="H1618" s="133">
        <v>45840</v>
      </c>
      <c r="I1618" s="2">
        <v>0.57543981481481488</v>
      </c>
      <c r="J1618">
        <v>13</v>
      </c>
      <c r="R1618" t="s">
        <v>30</v>
      </c>
      <c r="W1618">
        <v>1</v>
      </c>
      <c r="X1618" t="s">
        <v>30</v>
      </c>
      <c r="AC1618" t="s">
        <v>3842</v>
      </c>
      <c r="AE1618" s="135"/>
    </row>
    <row r="1619" spans="1:31" ht="12.5" customHeight="1" x14ac:dyDescent="0.35">
      <c r="A1619" t="s">
        <v>396</v>
      </c>
      <c r="C1619" t="s">
        <v>3843</v>
      </c>
      <c r="D1619" t="s">
        <v>385</v>
      </c>
      <c r="E1619" s="133">
        <v>45841</v>
      </c>
      <c r="F1619" s="2">
        <v>7.5532407407407409E-2</v>
      </c>
      <c r="G1619">
        <v>1</v>
      </c>
      <c r="H1619" s="133">
        <v>45840</v>
      </c>
      <c r="I1619" s="2">
        <v>0.57553240740740741</v>
      </c>
      <c r="J1619">
        <v>13</v>
      </c>
      <c r="R1619" t="s">
        <v>30</v>
      </c>
      <c r="W1619">
        <v>1</v>
      </c>
      <c r="X1619" t="s">
        <v>30</v>
      </c>
      <c r="AC1619" t="s">
        <v>3844</v>
      </c>
      <c r="AE1619" s="135"/>
    </row>
    <row r="1620" spans="1:31" ht="12.5" customHeight="1" x14ac:dyDescent="0.35">
      <c r="A1620" t="s">
        <v>396</v>
      </c>
      <c r="C1620" t="s">
        <v>3845</v>
      </c>
      <c r="D1620" t="s">
        <v>385</v>
      </c>
      <c r="E1620" s="133">
        <v>45841</v>
      </c>
      <c r="F1620" s="2">
        <v>7.5601851851851851E-2</v>
      </c>
      <c r="G1620">
        <v>1</v>
      </c>
      <c r="H1620" s="133">
        <v>45840</v>
      </c>
      <c r="I1620" s="2">
        <v>0.57560185185185186</v>
      </c>
      <c r="J1620">
        <v>13</v>
      </c>
      <c r="R1620" t="s">
        <v>30</v>
      </c>
      <c r="W1620">
        <v>1</v>
      </c>
      <c r="X1620" t="s">
        <v>30</v>
      </c>
      <c r="AC1620" t="s">
        <v>3846</v>
      </c>
      <c r="AE1620" s="135"/>
    </row>
    <row r="1621" spans="1:31" ht="12.5" customHeight="1" x14ac:dyDescent="0.35">
      <c r="A1621" t="s">
        <v>396</v>
      </c>
      <c r="C1621" t="s">
        <v>3847</v>
      </c>
      <c r="D1621" t="s">
        <v>385</v>
      </c>
      <c r="E1621" s="133">
        <v>45841</v>
      </c>
      <c r="F1621" s="2">
        <v>7.5671296296296306E-2</v>
      </c>
      <c r="G1621">
        <v>1</v>
      </c>
      <c r="H1621" s="133">
        <v>45840</v>
      </c>
      <c r="I1621" s="2">
        <v>0.57567129629629632</v>
      </c>
      <c r="J1621">
        <v>13</v>
      </c>
      <c r="R1621" t="s">
        <v>30</v>
      </c>
      <c r="W1621">
        <v>1</v>
      </c>
      <c r="X1621" t="s">
        <v>30</v>
      </c>
      <c r="AC1621" t="s">
        <v>3848</v>
      </c>
      <c r="AE1621" s="135"/>
    </row>
    <row r="1622" spans="1:31" ht="12.5" customHeight="1" x14ac:dyDescent="0.35">
      <c r="A1622" t="s">
        <v>396</v>
      </c>
      <c r="C1622" t="s">
        <v>3849</v>
      </c>
      <c r="D1622" t="s">
        <v>385</v>
      </c>
      <c r="E1622" s="133">
        <v>45841</v>
      </c>
      <c r="F1622" s="2">
        <v>7.5763888888888895E-2</v>
      </c>
      <c r="G1622">
        <v>1</v>
      </c>
      <c r="H1622" s="133">
        <v>45840</v>
      </c>
      <c r="I1622" s="2">
        <v>0.57576388888888885</v>
      </c>
      <c r="J1622">
        <v>13</v>
      </c>
      <c r="R1622" t="s">
        <v>30</v>
      </c>
      <c r="W1622">
        <v>1</v>
      </c>
      <c r="X1622" t="s">
        <v>30</v>
      </c>
      <c r="AC1622" t="s">
        <v>3850</v>
      </c>
      <c r="AE1622" s="135"/>
    </row>
    <row r="1623" spans="1:31" ht="12.5" customHeight="1" x14ac:dyDescent="0.35">
      <c r="A1623" t="s">
        <v>396</v>
      </c>
      <c r="C1623" t="s">
        <v>3851</v>
      </c>
      <c r="D1623" t="s">
        <v>385</v>
      </c>
      <c r="E1623" s="133">
        <v>45841</v>
      </c>
      <c r="F1623" s="2">
        <v>7.5833333333333336E-2</v>
      </c>
      <c r="G1623">
        <v>1</v>
      </c>
      <c r="H1623" s="133">
        <v>45840</v>
      </c>
      <c r="I1623" s="2">
        <v>0.57583333333333331</v>
      </c>
      <c r="J1623">
        <v>13</v>
      </c>
      <c r="R1623" t="s">
        <v>30</v>
      </c>
      <c r="W1623">
        <v>1</v>
      </c>
      <c r="X1623" t="s">
        <v>30</v>
      </c>
      <c r="AC1623" t="s">
        <v>3852</v>
      </c>
      <c r="AE1623" s="135"/>
    </row>
    <row r="1624" spans="1:31" ht="12.5" customHeight="1" x14ac:dyDescent="0.35">
      <c r="A1624" t="s">
        <v>396</v>
      </c>
      <c r="C1624" t="s">
        <v>3853</v>
      </c>
      <c r="D1624" t="s">
        <v>385</v>
      </c>
      <c r="E1624" s="133">
        <v>45841</v>
      </c>
      <c r="F1624" s="2">
        <v>7.5925925925925938E-2</v>
      </c>
      <c r="G1624">
        <v>1</v>
      </c>
      <c r="H1624" s="133">
        <v>45840</v>
      </c>
      <c r="I1624" s="2">
        <v>0.57592592592592595</v>
      </c>
      <c r="J1624">
        <v>13</v>
      </c>
      <c r="R1624" t="s">
        <v>30</v>
      </c>
      <c r="W1624">
        <v>1</v>
      </c>
      <c r="X1624" t="s">
        <v>30</v>
      </c>
      <c r="AC1624" t="s">
        <v>3854</v>
      </c>
      <c r="AE1624" s="135"/>
    </row>
    <row r="1625" spans="1:31" ht="12.5" customHeight="1" x14ac:dyDescent="0.35">
      <c r="A1625" t="s">
        <v>396</v>
      </c>
      <c r="C1625" t="s">
        <v>3855</v>
      </c>
      <c r="D1625" t="s">
        <v>385</v>
      </c>
      <c r="E1625" s="133">
        <v>45841</v>
      </c>
      <c r="F1625" s="2">
        <v>7.5995370370370366E-2</v>
      </c>
      <c r="G1625">
        <v>1</v>
      </c>
      <c r="H1625" s="133">
        <v>45840</v>
      </c>
      <c r="I1625" s="2">
        <v>0.5759953703703703</v>
      </c>
      <c r="J1625">
        <v>13</v>
      </c>
      <c r="R1625" t="s">
        <v>30</v>
      </c>
      <c r="W1625">
        <v>1</v>
      </c>
      <c r="X1625" t="s">
        <v>30</v>
      </c>
      <c r="AC1625" t="s">
        <v>3856</v>
      </c>
      <c r="AE1625" s="135"/>
    </row>
    <row r="1626" spans="1:31" ht="12.5" customHeight="1" x14ac:dyDescent="0.35">
      <c r="A1626" t="s">
        <v>396</v>
      </c>
      <c r="C1626" t="s">
        <v>3857</v>
      </c>
      <c r="D1626" t="s">
        <v>385</v>
      </c>
      <c r="E1626" s="133">
        <v>45841</v>
      </c>
      <c r="F1626" s="2">
        <v>7.6087962962962954E-2</v>
      </c>
      <c r="G1626">
        <v>1</v>
      </c>
      <c r="H1626" s="133">
        <v>45840</v>
      </c>
      <c r="I1626" s="2">
        <v>0.57608796296296294</v>
      </c>
      <c r="J1626">
        <v>13</v>
      </c>
      <c r="R1626" t="s">
        <v>30</v>
      </c>
      <c r="W1626">
        <v>1</v>
      </c>
      <c r="X1626" t="s">
        <v>30</v>
      </c>
      <c r="AC1626" t="s">
        <v>3858</v>
      </c>
      <c r="AE1626" s="135"/>
    </row>
    <row r="1627" spans="1:31" ht="12.5" customHeight="1" x14ac:dyDescent="0.35">
      <c r="A1627" t="s">
        <v>396</v>
      </c>
      <c r="C1627" t="s">
        <v>3859</v>
      </c>
      <c r="D1627" t="s">
        <v>385</v>
      </c>
      <c r="E1627" s="133">
        <v>45841</v>
      </c>
      <c r="F1627" s="2">
        <v>7.615740740740741E-2</v>
      </c>
      <c r="G1627">
        <v>1</v>
      </c>
      <c r="H1627" s="133">
        <v>45840</v>
      </c>
      <c r="I1627" s="2">
        <v>0.5761574074074074</v>
      </c>
      <c r="J1627">
        <v>13</v>
      </c>
      <c r="R1627" t="s">
        <v>30</v>
      </c>
      <c r="W1627">
        <v>1</v>
      </c>
      <c r="X1627" t="s">
        <v>30</v>
      </c>
      <c r="AC1627" t="s">
        <v>3860</v>
      </c>
      <c r="AE1627" s="135"/>
    </row>
    <row r="1628" spans="1:31" ht="12.5" customHeight="1" x14ac:dyDescent="0.35">
      <c r="A1628" t="s">
        <v>396</v>
      </c>
      <c r="C1628" t="s">
        <v>3861</v>
      </c>
      <c r="D1628" t="s">
        <v>385</v>
      </c>
      <c r="E1628" s="133">
        <v>45841</v>
      </c>
      <c r="F1628" s="2">
        <v>7.6226851851851851E-2</v>
      </c>
      <c r="G1628">
        <v>1</v>
      </c>
      <c r="H1628" s="133">
        <v>45840</v>
      </c>
      <c r="I1628" s="2">
        <v>0.57622685185185185</v>
      </c>
      <c r="J1628">
        <v>13</v>
      </c>
      <c r="R1628" t="s">
        <v>30</v>
      </c>
      <c r="W1628">
        <v>1</v>
      </c>
      <c r="X1628" t="s">
        <v>30</v>
      </c>
      <c r="AC1628" t="s">
        <v>3862</v>
      </c>
      <c r="AE1628" s="135"/>
    </row>
    <row r="1629" spans="1:31" ht="12.5" customHeight="1" x14ac:dyDescent="0.35">
      <c r="A1629" t="s">
        <v>396</v>
      </c>
      <c r="C1629" t="s">
        <v>3863</v>
      </c>
      <c r="D1629" t="s">
        <v>385</v>
      </c>
      <c r="E1629" s="133">
        <v>45841</v>
      </c>
      <c r="F1629" s="2">
        <v>7.631944444444444E-2</v>
      </c>
      <c r="G1629">
        <v>1</v>
      </c>
      <c r="H1629" s="133">
        <v>45840</v>
      </c>
      <c r="I1629" s="2">
        <v>0.5763194444444445</v>
      </c>
      <c r="J1629">
        <v>13</v>
      </c>
      <c r="R1629" t="s">
        <v>30</v>
      </c>
      <c r="W1629">
        <v>1</v>
      </c>
      <c r="X1629" t="s">
        <v>30</v>
      </c>
      <c r="AC1629" t="s">
        <v>3864</v>
      </c>
      <c r="AE1629" s="135"/>
    </row>
    <row r="1630" spans="1:31" ht="12.5" customHeight="1" x14ac:dyDescent="0.35">
      <c r="A1630" t="s">
        <v>396</v>
      </c>
      <c r="C1630" t="s">
        <v>3865</v>
      </c>
      <c r="D1630" t="s">
        <v>385</v>
      </c>
      <c r="E1630" s="133">
        <v>45841</v>
      </c>
      <c r="F1630" s="2">
        <v>7.6388888888888895E-2</v>
      </c>
      <c r="G1630">
        <v>1</v>
      </c>
      <c r="H1630" s="133">
        <v>45840</v>
      </c>
      <c r="I1630" s="2">
        <v>0.57638888888888895</v>
      </c>
      <c r="J1630">
        <v>13</v>
      </c>
      <c r="R1630" t="s">
        <v>30</v>
      </c>
      <c r="W1630">
        <v>1</v>
      </c>
      <c r="X1630" t="s">
        <v>30</v>
      </c>
      <c r="AC1630" t="s">
        <v>3866</v>
      </c>
      <c r="AE1630" s="135"/>
    </row>
    <row r="1631" spans="1:31" ht="12.5" customHeight="1" x14ac:dyDescent="0.35">
      <c r="A1631" t="s">
        <v>396</v>
      </c>
      <c r="C1631" t="s">
        <v>3867</v>
      </c>
      <c r="D1631" t="s">
        <v>385</v>
      </c>
      <c r="E1631" s="133">
        <v>45841</v>
      </c>
      <c r="F1631" s="2">
        <v>7.6458333333333336E-2</v>
      </c>
      <c r="G1631">
        <v>1</v>
      </c>
      <c r="H1631" s="133">
        <v>45840</v>
      </c>
      <c r="I1631" s="2">
        <v>0.57645833333333341</v>
      </c>
      <c r="J1631">
        <v>13</v>
      </c>
      <c r="R1631" t="s">
        <v>30</v>
      </c>
      <c r="W1631">
        <v>1</v>
      </c>
      <c r="X1631" t="s">
        <v>30</v>
      </c>
      <c r="AC1631" t="s">
        <v>3868</v>
      </c>
      <c r="AE1631" s="135"/>
    </row>
    <row r="1632" spans="1:31" ht="12.5" customHeight="1" x14ac:dyDescent="0.35">
      <c r="A1632" t="s">
        <v>396</v>
      </c>
      <c r="C1632" t="s">
        <v>3869</v>
      </c>
      <c r="D1632" t="s">
        <v>385</v>
      </c>
      <c r="E1632" s="133">
        <v>45841</v>
      </c>
      <c r="F1632" s="2">
        <v>7.6550925925925925E-2</v>
      </c>
      <c r="G1632">
        <v>1</v>
      </c>
      <c r="H1632" s="133">
        <v>45840</v>
      </c>
      <c r="I1632" s="2">
        <v>0.57655092592592594</v>
      </c>
      <c r="J1632">
        <v>13</v>
      </c>
      <c r="R1632" t="s">
        <v>30</v>
      </c>
      <c r="W1632">
        <v>1</v>
      </c>
      <c r="X1632" t="s">
        <v>30</v>
      </c>
      <c r="AC1632" t="s">
        <v>3870</v>
      </c>
      <c r="AE1632" s="135"/>
    </row>
    <row r="1633" spans="1:31" ht="12.5" customHeight="1" x14ac:dyDescent="0.35">
      <c r="A1633" t="s">
        <v>396</v>
      </c>
      <c r="C1633" t="s">
        <v>3871</v>
      </c>
      <c r="D1633" t="s">
        <v>385</v>
      </c>
      <c r="E1633" s="133">
        <v>45841</v>
      </c>
      <c r="F1633" s="2">
        <v>7.662037037037038E-2</v>
      </c>
      <c r="G1633">
        <v>1</v>
      </c>
      <c r="H1633" s="133">
        <v>45840</v>
      </c>
      <c r="I1633" s="2">
        <v>0.57662037037037039</v>
      </c>
      <c r="J1633">
        <v>13</v>
      </c>
      <c r="R1633" t="s">
        <v>30</v>
      </c>
      <c r="W1633">
        <v>1</v>
      </c>
      <c r="X1633" t="s">
        <v>30</v>
      </c>
      <c r="AC1633" t="s">
        <v>3872</v>
      </c>
      <c r="AE1633" s="135"/>
    </row>
    <row r="1634" spans="1:31" ht="12.5" customHeight="1" x14ac:dyDescent="0.35">
      <c r="A1634" t="s">
        <v>396</v>
      </c>
      <c r="C1634" t="s">
        <v>3873</v>
      </c>
      <c r="D1634" t="s">
        <v>385</v>
      </c>
      <c r="E1634" s="133">
        <v>45841</v>
      </c>
      <c r="F1634" s="2">
        <v>7.6712962962962969E-2</v>
      </c>
      <c r="G1634">
        <v>1</v>
      </c>
      <c r="H1634" s="133">
        <v>45840</v>
      </c>
      <c r="I1634" s="2">
        <v>0.57671296296296293</v>
      </c>
      <c r="J1634">
        <v>13</v>
      </c>
      <c r="R1634" t="s">
        <v>30</v>
      </c>
      <c r="W1634">
        <v>1</v>
      </c>
      <c r="X1634" t="s">
        <v>30</v>
      </c>
      <c r="AC1634" t="s">
        <v>3874</v>
      </c>
      <c r="AE1634" s="135"/>
    </row>
    <row r="1635" spans="1:31" ht="12.5" customHeight="1" x14ac:dyDescent="0.35">
      <c r="A1635" t="s">
        <v>396</v>
      </c>
      <c r="C1635" t="s">
        <v>3875</v>
      </c>
      <c r="D1635" t="s">
        <v>385</v>
      </c>
      <c r="E1635" s="133">
        <v>45841</v>
      </c>
      <c r="F1635" s="2">
        <v>7.6805555555555557E-2</v>
      </c>
      <c r="G1635">
        <v>1</v>
      </c>
      <c r="H1635" s="133">
        <v>45840</v>
      </c>
      <c r="I1635" s="2">
        <v>0.57680555555555557</v>
      </c>
      <c r="J1635">
        <v>13</v>
      </c>
      <c r="R1635" t="s">
        <v>30</v>
      </c>
      <c r="W1635">
        <v>1</v>
      </c>
      <c r="X1635" t="s">
        <v>30</v>
      </c>
      <c r="AC1635" t="s">
        <v>3876</v>
      </c>
      <c r="AE1635" s="135"/>
    </row>
    <row r="1636" spans="1:31" ht="12.5" customHeight="1" x14ac:dyDescent="0.35">
      <c r="A1636" t="s">
        <v>396</v>
      </c>
      <c r="C1636" t="s">
        <v>3877</v>
      </c>
      <c r="D1636" t="s">
        <v>385</v>
      </c>
      <c r="E1636" s="133">
        <v>45841</v>
      </c>
      <c r="F1636" s="2">
        <v>7.6875000000000013E-2</v>
      </c>
      <c r="G1636">
        <v>1</v>
      </c>
      <c r="H1636" s="133">
        <v>45840</v>
      </c>
      <c r="I1636" s="2">
        <v>0.57687500000000003</v>
      </c>
      <c r="J1636">
        <v>13</v>
      </c>
      <c r="R1636" t="s">
        <v>30</v>
      </c>
      <c r="W1636">
        <v>1</v>
      </c>
      <c r="X1636" t="s">
        <v>30</v>
      </c>
      <c r="AC1636" t="s">
        <v>3878</v>
      </c>
      <c r="AE1636" s="135"/>
    </row>
    <row r="1637" spans="1:31" ht="12.5" customHeight="1" x14ac:dyDescent="0.35">
      <c r="A1637" t="s">
        <v>396</v>
      </c>
      <c r="C1637" t="s">
        <v>3879</v>
      </c>
      <c r="D1637" t="s">
        <v>385</v>
      </c>
      <c r="E1637" s="133">
        <v>45841</v>
      </c>
      <c r="F1637" s="2">
        <v>7.6967592592592601E-2</v>
      </c>
      <c r="G1637">
        <v>1</v>
      </c>
      <c r="H1637" s="133">
        <v>45840</v>
      </c>
      <c r="I1637" s="2">
        <v>0.57696759259259256</v>
      </c>
      <c r="J1637">
        <v>13</v>
      </c>
      <c r="R1637" t="s">
        <v>30</v>
      </c>
      <c r="W1637">
        <v>1</v>
      </c>
      <c r="X1637" t="s">
        <v>30</v>
      </c>
      <c r="AC1637" t="s">
        <v>3880</v>
      </c>
      <c r="AE1637" s="135"/>
    </row>
    <row r="1638" spans="1:31" ht="12.5" customHeight="1" x14ac:dyDescent="0.35">
      <c r="A1638" t="s">
        <v>396</v>
      </c>
      <c r="C1638" t="s">
        <v>3881</v>
      </c>
      <c r="D1638" t="s">
        <v>385</v>
      </c>
      <c r="E1638" s="133">
        <v>45841</v>
      </c>
      <c r="F1638" s="2">
        <v>7.7037037037037029E-2</v>
      </c>
      <c r="G1638">
        <v>1</v>
      </c>
      <c r="H1638" s="133">
        <v>45840</v>
      </c>
      <c r="I1638" s="2">
        <v>0.57703703703703701</v>
      </c>
      <c r="J1638">
        <v>13</v>
      </c>
      <c r="R1638" t="s">
        <v>30</v>
      </c>
      <c r="W1638">
        <v>1</v>
      </c>
      <c r="X1638" t="s">
        <v>30</v>
      </c>
      <c r="AC1638" t="s">
        <v>3882</v>
      </c>
      <c r="AE1638" s="135"/>
    </row>
    <row r="1639" spans="1:31" ht="12.5" customHeight="1" x14ac:dyDescent="0.35">
      <c r="A1639" t="s">
        <v>396</v>
      </c>
      <c r="C1639" t="s">
        <v>3883</v>
      </c>
      <c r="D1639" t="s">
        <v>385</v>
      </c>
      <c r="E1639" s="133">
        <v>45841</v>
      </c>
      <c r="F1639" s="2">
        <v>7.7129629629629631E-2</v>
      </c>
      <c r="G1639">
        <v>1</v>
      </c>
      <c r="H1639" s="133">
        <v>45840</v>
      </c>
      <c r="I1639" s="2">
        <v>0.57712962962962966</v>
      </c>
      <c r="J1639">
        <v>13</v>
      </c>
      <c r="R1639" t="s">
        <v>30</v>
      </c>
      <c r="W1639">
        <v>1</v>
      </c>
      <c r="X1639" t="s">
        <v>30</v>
      </c>
      <c r="AC1639" t="s">
        <v>3884</v>
      </c>
      <c r="AE1639" s="135"/>
    </row>
    <row r="1640" spans="1:31" ht="12.5" customHeight="1" x14ac:dyDescent="0.35">
      <c r="A1640" t="s">
        <v>396</v>
      </c>
      <c r="C1640" t="s">
        <v>3885</v>
      </c>
      <c r="D1640" t="s">
        <v>385</v>
      </c>
      <c r="E1640" s="133">
        <v>45841</v>
      </c>
      <c r="F1640" s="2">
        <v>7.7199074074074073E-2</v>
      </c>
      <c r="G1640">
        <v>1</v>
      </c>
      <c r="H1640" s="133">
        <v>45840</v>
      </c>
      <c r="I1640" s="2">
        <v>0.57719907407407411</v>
      </c>
      <c r="J1640">
        <v>13</v>
      </c>
      <c r="R1640" t="s">
        <v>30</v>
      </c>
      <c r="W1640">
        <v>1</v>
      </c>
      <c r="X1640" t="s">
        <v>30</v>
      </c>
      <c r="AC1640" t="s">
        <v>3886</v>
      </c>
      <c r="AE1640" s="135"/>
    </row>
    <row r="1641" spans="1:31" ht="12.5" customHeight="1" x14ac:dyDescent="0.35">
      <c r="A1641" t="s">
        <v>396</v>
      </c>
      <c r="C1641" t="s">
        <v>3887</v>
      </c>
      <c r="D1641" t="s">
        <v>385</v>
      </c>
      <c r="E1641" s="133">
        <v>45841</v>
      </c>
      <c r="F1641" s="2">
        <v>7.7268518518518514E-2</v>
      </c>
      <c r="G1641">
        <v>1</v>
      </c>
      <c r="H1641" s="133">
        <v>45840</v>
      </c>
      <c r="I1641" s="2">
        <v>0.57726851851851857</v>
      </c>
      <c r="J1641">
        <v>13</v>
      </c>
      <c r="R1641" t="s">
        <v>30</v>
      </c>
      <c r="W1641">
        <v>1</v>
      </c>
      <c r="X1641" t="s">
        <v>30</v>
      </c>
      <c r="AC1641" t="s">
        <v>3888</v>
      </c>
      <c r="AE1641" s="135"/>
    </row>
    <row r="1642" spans="1:31" ht="12.5" customHeight="1" x14ac:dyDescent="0.35">
      <c r="A1642" t="s">
        <v>396</v>
      </c>
      <c r="C1642" t="s">
        <v>3889</v>
      </c>
      <c r="D1642" t="s">
        <v>385</v>
      </c>
      <c r="E1642" s="133">
        <v>45841</v>
      </c>
      <c r="F1642" s="2">
        <v>7.7361111111111117E-2</v>
      </c>
      <c r="G1642">
        <v>1</v>
      </c>
      <c r="H1642" s="133">
        <v>45840</v>
      </c>
      <c r="I1642" s="2">
        <v>0.5773611111111111</v>
      </c>
      <c r="J1642">
        <v>13</v>
      </c>
      <c r="R1642" t="s">
        <v>30</v>
      </c>
      <c r="W1642">
        <v>1</v>
      </c>
      <c r="X1642" t="s">
        <v>30</v>
      </c>
      <c r="AC1642" t="s">
        <v>3890</v>
      </c>
      <c r="AE1642" s="135"/>
    </row>
    <row r="1643" spans="1:31" ht="12.5" customHeight="1" x14ac:dyDescent="0.35">
      <c r="A1643" t="s">
        <v>396</v>
      </c>
      <c r="C1643" t="s">
        <v>3891</v>
      </c>
      <c r="D1643" t="s">
        <v>385</v>
      </c>
      <c r="E1643" s="133">
        <v>45841</v>
      </c>
      <c r="F1643" s="2">
        <v>7.7430555555555558E-2</v>
      </c>
      <c r="G1643">
        <v>1</v>
      </c>
      <c r="H1643" s="133">
        <v>45840</v>
      </c>
      <c r="I1643" s="2">
        <v>0.57743055555555556</v>
      </c>
      <c r="J1643">
        <v>13</v>
      </c>
      <c r="R1643" t="s">
        <v>30</v>
      </c>
      <c r="W1643">
        <v>1</v>
      </c>
      <c r="X1643" t="s">
        <v>30</v>
      </c>
      <c r="AC1643" t="s">
        <v>3892</v>
      </c>
      <c r="AE1643" s="135"/>
    </row>
    <row r="1644" spans="1:31" ht="12.5" customHeight="1" x14ac:dyDescent="0.35">
      <c r="A1644" t="s">
        <v>396</v>
      </c>
      <c r="C1644" t="s">
        <v>3893</v>
      </c>
      <c r="D1644" t="s">
        <v>385</v>
      </c>
      <c r="E1644" s="133">
        <v>45841</v>
      </c>
      <c r="F1644" s="2">
        <v>7.7499999999999999E-2</v>
      </c>
      <c r="G1644">
        <v>1</v>
      </c>
      <c r="H1644" s="133">
        <v>45840</v>
      </c>
      <c r="I1644" s="2">
        <v>0.57750000000000001</v>
      </c>
      <c r="J1644">
        <v>13</v>
      </c>
      <c r="R1644" t="s">
        <v>30</v>
      </c>
      <c r="W1644">
        <v>1</v>
      </c>
      <c r="X1644" t="s">
        <v>30</v>
      </c>
      <c r="AC1644" t="s">
        <v>3894</v>
      </c>
      <c r="AE1644" s="135"/>
    </row>
    <row r="1645" spans="1:31" ht="12.5" customHeight="1" x14ac:dyDescent="0.35">
      <c r="A1645" t="s">
        <v>396</v>
      </c>
      <c r="C1645" t="s">
        <v>3895</v>
      </c>
      <c r="D1645" t="s">
        <v>385</v>
      </c>
      <c r="E1645" s="133">
        <v>45841</v>
      </c>
      <c r="F1645" s="2">
        <v>7.7592592592592588E-2</v>
      </c>
      <c r="G1645">
        <v>1</v>
      </c>
      <c r="H1645" s="133">
        <v>45840</v>
      </c>
      <c r="I1645" s="2">
        <v>0.57759259259259255</v>
      </c>
      <c r="J1645">
        <v>13</v>
      </c>
      <c r="R1645" t="s">
        <v>30</v>
      </c>
      <c r="W1645">
        <v>1</v>
      </c>
      <c r="X1645" t="s">
        <v>30</v>
      </c>
      <c r="AC1645" t="s">
        <v>3896</v>
      </c>
      <c r="AE1645" s="135"/>
    </row>
    <row r="1646" spans="1:31" ht="12.5" customHeight="1" x14ac:dyDescent="0.35">
      <c r="A1646" t="s">
        <v>396</v>
      </c>
      <c r="C1646" t="s">
        <v>3897</v>
      </c>
      <c r="D1646" t="s">
        <v>385</v>
      </c>
      <c r="E1646" s="133">
        <v>45841</v>
      </c>
      <c r="F1646" s="2">
        <v>7.7662037037037043E-2</v>
      </c>
      <c r="G1646">
        <v>1</v>
      </c>
      <c r="H1646" s="133">
        <v>45840</v>
      </c>
      <c r="I1646" s="2">
        <v>0.577662037037037</v>
      </c>
      <c r="J1646">
        <v>13</v>
      </c>
      <c r="R1646" t="s">
        <v>30</v>
      </c>
      <c r="W1646">
        <v>1</v>
      </c>
      <c r="X1646" t="s">
        <v>30</v>
      </c>
      <c r="AC1646" t="s">
        <v>3898</v>
      </c>
      <c r="AE1646" s="135"/>
    </row>
    <row r="1647" spans="1:31" ht="12.5" customHeight="1" x14ac:dyDescent="0.35">
      <c r="A1647" t="s">
        <v>396</v>
      </c>
      <c r="C1647" t="s">
        <v>3899</v>
      </c>
      <c r="D1647" t="s">
        <v>385</v>
      </c>
      <c r="E1647" s="133">
        <v>45841</v>
      </c>
      <c r="F1647" s="2">
        <v>7.7731481481481471E-2</v>
      </c>
      <c r="G1647">
        <v>1</v>
      </c>
      <c r="H1647" s="133">
        <v>45840</v>
      </c>
      <c r="I1647" s="2">
        <v>0.57773148148148146</v>
      </c>
      <c r="J1647">
        <v>13</v>
      </c>
      <c r="R1647" t="s">
        <v>30</v>
      </c>
      <c r="W1647">
        <v>1</v>
      </c>
      <c r="X1647" t="s">
        <v>30</v>
      </c>
      <c r="AC1647" t="s">
        <v>3900</v>
      </c>
      <c r="AE1647" s="135"/>
    </row>
    <row r="1648" spans="1:31" ht="12.5" customHeight="1" x14ac:dyDescent="0.35">
      <c r="A1648" t="s">
        <v>396</v>
      </c>
      <c r="C1648" t="s">
        <v>3901</v>
      </c>
      <c r="D1648" t="s">
        <v>385</v>
      </c>
      <c r="E1648" s="133">
        <v>45841</v>
      </c>
      <c r="F1648" s="2">
        <v>7.784722222222222E-2</v>
      </c>
      <c r="G1648">
        <v>1</v>
      </c>
      <c r="H1648" s="133">
        <v>45840</v>
      </c>
      <c r="I1648" s="2">
        <v>0.57784722222222229</v>
      </c>
      <c r="J1648">
        <v>13</v>
      </c>
      <c r="R1648" t="s">
        <v>30</v>
      </c>
      <c r="W1648">
        <v>1</v>
      </c>
      <c r="X1648" t="s">
        <v>30</v>
      </c>
      <c r="AC1648" t="s">
        <v>3902</v>
      </c>
      <c r="AE1648" s="135"/>
    </row>
    <row r="1649" spans="1:31" ht="12.5" customHeight="1" x14ac:dyDescent="0.35">
      <c r="A1649" t="s">
        <v>396</v>
      </c>
      <c r="C1649" t="s">
        <v>3903</v>
      </c>
      <c r="D1649" t="s">
        <v>385</v>
      </c>
      <c r="E1649" s="133">
        <v>45841</v>
      </c>
      <c r="F1649" s="2">
        <v>7.7916666666666676E-2</v>
      </c>
      <c r="G1649">
        <v>1</v>
      </c>
      <c r="H1649" s="133">
        <v>45840</v>
      </c>
      <c r="I1649" s="2">
        <v>0.57791666666666663</v>
      </c>
      <c r="J1649">
        <v>13</v>
      </c>
      <c r="R1649" t="s">
        <v>30</v>
      </c>
      <c r="W1649">
        <v>1</v>
      </c>
      <c r="X1649" t="s">
        <v>30</v>
      </c>
      <c r="AC1649" t="s">
        <v>3904</v>
      </c>
      <c r="AE1649" s="135"/>
    </row>
    <row r="1650" spans="1:31" ht="12.5" customHeight="1" x14ac:dyDescent="0.35">
      <c r="A1650" t="s">
        <v>396</v>
      </c>
      <c r="C1650" t="s">
        <v>3905</v>
      </c>
      <c r="D1650" t="s">
        <v>385</v>
      </c>
      <c r="E1650" s="133">
        <v>45841</v>
      </c>
      <c r="F1650" s="2">
        <v>7.7986111111111103E-2</v>
      </c>
      <c r="G1650">
        <v>1</v>
      </c>
      <c r="H1650" s="133">
        <v>45840</v>
      </c>
      <c r="I1650" s="2">
        <v>0.57798611111111109</v>
      </c>
      <c r="J1650">
        <v>13</v>
      </c>
      <c r="R1650" t="s">
        <v>30</v>
      </c>
      <c r="W1650">
        <v>1</v>
      </c>
      <c r="X1650" t="s">
        <v>30</v>
      </c>
      <c r="AC1650" t="s">
        <v>3906</v>
      </c>
      <c r="AE1650" s="135"/>
    </row>
    <row r="1651" spans="1:31" ht="12.5" customHeight="1" x14ac:dyDescent="0.35">
      <c r="A1651" t="s">
        <v>396</v>
      </c>
      <c r="C1651" t="s">
        <v>3907</v>
      </c>
      <c r="D1651" t="s">
        <v>385</v>
      </c>
      <c r="E1651" s="133">
        <v>45841</v>
      </c>
      <c r="F1651" s="2">
        <v>7.8078703703703692E-2</v>
      </c>
      <c r="G1651">
        <v>1</v>
      </c>
      <c r="H1651" s="133">
        <v>45840</v>
      </c>
      <c r="I1651" s="2">
        <v>0.57807870370370373</v>
      </c>
      <c r="J1651">
        <v>13</v>
      </c>
      <c r="R1651" t="s">
        <v>30</v>
      </c>
      <c r="W1651">
        <v>1</v>
      </c>
      <c r="X1651" t="s">
        <v>30</v>
      </c>
      <c r="AC1651" t="s">
        <v>3908</v>
      </c>
      <c r="AE1651" s="135"/>
    </row>
    <row r="1652" spans="1:31" ht="12.5" customHeight="1" x14ac:dyDescent="0.35">
      <c r="A1652" t="s">
        <v>396</v>
      </c>
      <c r="C1652" t="s">
        <v>3909</v>
      </c>
      <c r="D1652" t="s">
        <v>385</v>
      </c>
      <c r="E1652" s="133">
        <v>45841</v>
      </c>
      <c r="F1652" s="2">
        <v>7.8148148148148147E-2</v>
      </c>
      <c r="G1652">
        <v>1</v>
      </c>
      <c r="H1652" s="133">
        <v>45840</v>
      </c>
      <c r="I1652" s="2">
        <v>0.57814814814814819</v>
      </c>
      <c r="J1652">
        <v>13</v>
      </c>
      <c r="R1652" t="s">
        <v>30</v>
      </c>
      <c r="W1652">
        <v>1</v>
      </c>
      <c r="X1652" t="s">
        <v>30</v>
      </c>
      <c r="AC1652" t="s">
        <v>3910</v>
      </c>
      <c r="AE1652" s="135"/>
    </row>
    <row r="1653" spans="1:31" ht="12.5" customHeight="1" x14ac:dyDescent="0.35">
      <c r="A1653" t="s">
        <v>396</v>
      </c>
      <c r="C1653" t="s">
        <v>3911</v>
      </c>
      <c r="D1653" t="s">
        <v>385</v>
      </c>
      <c r="E1653" s="133">
        <v>45841</v>
      </c>
      <c r="F1653" s="2">
        <v>7.8217592592592589E-2</v>
      </c>
      <c r="G1653">
        <v>1</v>
      </c>
      <c r="H1653" s="133">
        <v>45840</v>
      </c>
      <c r="I1653" s="2">
        <v>0.57821759259259264</v>
      </c>
      <c r="J1653">
        <v>13</v>
      </c>
      <c r="R1653" t="s">
        <v>30</v>
      </c>
      <c r="W1653">
        <v>1</v>
      </c>
      <c r="X1653" t="s">
        <v>30</v>
      </c>
      <c r="AC1653" t="s">
        <v>3912</v>
      </c>
      <c r="AE1653" s="135"/>
    </row>
    <row r="1654" spans="1:31" ht="12.5" customHeight="1" x14ac:dyDescent="0.35">
      <c r="A1654" t="s">
        <v>396</v>
      </c>
      <c r="C1654" t="s">
        <v>3913</v>
      </c>
      <c r="D1654" t="s">
        <v>385</v>
      </c>
      <c r="E1654" s="133">
        <v>45841</v>
      </c>
      <c r="F1654" s="2">
        <v>7.8310185185185191E-2</v>
      </c>
      <c r="G1654">
        <v>1</v>
      </c>
      <c r="H1654" s="133">
        <v>45840</v>
      </c>
      <c r="I1654" s="2">
        <v>0.57831018518518518</v>
      </c>
      <c r="J1654">
        <v>13</v>
      </c>
      <c r="R1654" t="s">
        <v>30</v>
      </c>
      <c r="W1654">
        <v>1</v>
      </c>
      <c r="X1654" t="s">
        <v>30</v>
      </c>
      <c r="AC1654" t="s">
        <v>3914</v>
      </c>
      <c r="AE1654" s="135"/>
    </row>
    <row r="1655" spans="1:31" ht="12.5" customHeight="1" x14ac:dyDescent="0.35">
      <c r="A1655" t="s">
        <v>396</v>
      </c>
      <c r="C1655" t="s">
        <v>3915</v>
      </c>
      <c r="D1655" t="s">
        <v>385</v>
      </c>
      <c r="E1655" s="133">
        <v>45841</v>
      </c>
      <c r="F1655" s="2">
        <v>7.8379629629629632E-2</v>
      </c>
      <c r="G1655">
        <v>1</v>
      </c>
      <c r="H1655" s="133">
        <v>45840</v>
      </c>
      <c r="I1655" s="2">
        <v>0.57837962962962963</v>
      </c>
      <c r="J1655">
        <v>13</v>
      </c>
      <c r="R1655" t="s">
        <v>30</v>
      </c>
      <c r="W1655">
        <v>1</v>
      </c>
      <c r="X1655" t="s">
        <v>30</v>
      </c>
      <c r="AC1655" t="s">
        <v>3916</v>
      </c>
      <c r="AE1655" s="135"/>
    </row>
    <row r="1656" spans="1:31" ht="12.5" customHeight="1" x14ac:dyDescent="0.35">
      <c r="A1656" t="s">
        <v>396</v>
      </c>
      <c r="C1656" t="s">
        <v>3917</v>
      </c>
      <c r="D1656" t="s">
        <v>385</v>
      </c>
      <c r="E1656" s="133">
        <v>45841</v>
      </c>
      <c r="F1656" s="2">
        <v>7.8472222222222221E-2</v>
      </c>
      <c r="G1656">
        <v>1</v>
      </c>
      <c r="H1656" s="133">
        <v>45840</v>
      </c>
      <c r="I1656" s="2">
        <v>0.57847222222222217</v>
      </c>
      <c r="J1656">
        <v>13</v>
      </c>
      <c r="R1656" t="s">
        <v>30</v>
      </c>
      <c r="W1656">
        <v>1</v>
      </c>
      <c r="X1656" t="s">
        <v>30</v>
      </c>
      <c r="AC1656" t="s">
        <v>3918</v>
      </c>
      <c r="AE1656" s="135"/>
    </row>
    <row r="1657" spans="1:31" ht="12.5" customHeight="1" x14ac:dyDescent="0.35">
      <c r="A1657" t="s">
        <v>396</v>
      </c>
      <c r="C1657" t="s">
        <v>3919</v>
      </c>
      <c r="D1657" t="s">
        <v>385</v>
      </c>
      <c r="E1657" s="133">
        <v>45841</v>
      </c>
      <c r="F1657" s="2">
        <v>7.8541666666666662E-2</v>
      </c>
      <c r="G1657">
        <v>1</v>
      </c>
      <c r="H1657" s="133">
        <v>45840</v>
      </c>
      <c r="I1657" s="2">
        <v>0.57854166666666662</v>
      </c>
      <c r="J1657">
        <v>13</v>
      </c>
      <c r="R1657" t="s">
        <v>30</v>
      </c>
      <c r="W1657">
        <v>1</v>
      </c>
      <c r="X1657" t="s">
        <v>30</v>
      </c>
      <c r="AC1657" t="s">
        <v>3920</v>
      </c>
      <c r="AE1657" s="135"/>
    </row>
    <row r="1658" spans="1:31" ht="12.5" customHeight="1" x14ac:dyDescent="0.35">
      <c r="A1658" t="s">
        <v>396</v>
      </c>
      <c r="C1658" t="s">
        <v>3921</v>
      </c>
      <c r="D1658" t="s">
        <v>385</v>
      </c>
      <c r="E1658" s="133">
        <v>45841</v>
      </c>
      <c r="F1658" s="2">
        <v>7.8611111111111118E-2</v>
      </c>
      <c r="G1658">
        <v>1</v>
      </c>
      <c r="H1658" s="133">
        <v>45840</v>
      </c>
      <c r="I1658" s="2">
        <v>0.57861111111111108</v>
      </c>
      <c r="J1658">
        <v>13</v>
      </c>
      <c r="R1658" t="s">
        <v>30</v>
      </c>
      <c r="W1658">
        <v>1</v>
      </c>
      <c r="X1658" t="s">
        <v>30</v>
      </c>
      <c r="AC1658" t="s">
        <v>3922</v>
      </c>
      <c r="AE1658" s="135"/>
    </row>
    <row r="1659" spans="1:31" ht="12.5" customHeight="1" x14ac:dyDescent="0.35">
      <c r="A1659" t="s">
        <v>396</v>
      </c>
      <c r="C1659" t="s">
        <v>3923</v>
      </c>
      <c r="D1659" t="s">
        <v>385</v>
      </c>
      <c r="E1659" s="133">
        <v>45841</v>
      </c>
      <c r="F1659" s="2">
        <v>7.8703703703703706E-2</v>
      </c>
      <c r="G1659">
        <v>1</v>
      </c>
      <c r="H1659" s="133">
        <v>45840</v>
      </c>
      <c r="I1659" s="2">
        <v>0.57870370370370372</v>
      </c>
      <c r="J1659">
        <v>13</v>
      </c>
      <c r="R1659" t="s">
        <v>30</v>
      </c>
      <c r="W1659">
        <v>1</v>
      </c>
      <c r="X1659" t="s">
        <v>30</v>
      </c>
      <c r="AC1659" t="s">
        <v>3924</v>
      </c>
      <c r="AE1659" s="135"/>
    </row>
    <row r="1660" spans="1:31" ht="12.5" customHeight="1" x14ac:dyDescent="0.35">
      <c r="A1660" t="s">
        <v>396</v>
      </c>
      <c r="C1660" t="s">
        <v>3925</v>
      </c>
      <c r="D1660" t="s">
        <v>385</v>
      </c>
      <c r="E1660" s="133">
        <v>45841</v>
      </c>
      <c r="F1660" s="2">
        <v>7.8773148148148148E-2</v>
      </c>
      <c r="G1660">
        <v>1</v>
      </c>
      <c r="H1660" s="133">
        <v>45840</v>
      </c>
      <c r="I1660" s="2">
        <v>0.57877314814814818</v>
      </c>
      <c r="J1660">
        <v>13</v>
      </c>
      <c r="R1660" t="s">
        <v>30</v>
      </c>
      <c r="W1660">
        <v>1</v>
      </c>
      <c r="X1660" t="s">
        <v>30</v>
      </c>
      <c r="AC1660" t="s">
        <v>3926</v>
      </c>
      <c r="AE1660" s="135"/>
    </row>
    <row r="1661" spans="1:31" ht="12.5" customHeight="1" x14ac:dyDescent="0.35">
      <c r="A1661" t="s">
        <v>396</v>
      </c>
      <c r="C1661" t="s">
        <v>3927</v>
      </c>
      <c r="D1661" t="s">
        <v>385</v>
      </c>
      <c r="E1661" s="133">
        <v>45841</v>
      </c>
      <c r="F1661" s="2">
        <v>7.8842592592592589E-2</v>
      </c>
      <c r="G1661">
        <v>1</v>
      </c>
      <c r="H1661" s="133">
        <v>45840</v>
      </c>
      <c r="I1661" s="2">
        <v>0.57884259259259252</v>
      </c>
      <c r="J1661">
        <v>13</v>
      </c>
      <c r="R1661" t="s">
        <v>30</v>
      </c>
      <c r="W1661">
        <v>1</v>
      </c>
      <c r="X1661" t="s">
        <v>30</v>
      </c>
      <c r="AC1661" t="s">
        <v>3928</v>
      </c>
      <c r="AE1661" s="135"/>
    </row>
    <row r="1662" spans="1:31" ht="12.5" customHeight="1" x14ac:dyDescent="0.35">
      <c r="A1662" t="s">
        <v>396</v>
      </c>
      <c r="C1662" t="s">
        <v>3929</v>
      </c>
      <c r="D1662" t="s">
        <v>385</v>
      </c>
      <c r="E1662" s="133">
        <v>45841</v>
      </c>
      <c r="F1662" s="2">
        <v>7.8935185185185178E-2</v>
      </c>
      <c r="G1662">
        <v>1</v>
      </c>
      <c r="H1662" s="133">
        <v>45840</v>
      </c>
      <c r="I1662" s="2">
        <v>0.57893518518518516</v>
      </c>
      <c r="J1662">
        <v>13</v>
      </c>
      <c r="R1662" t="s">
        <v>30</v>
      </c>
      <c r="W1662">
        <v>1</v>
      </c>
      <c r="X1662" t="s">
        <v>30</v>
      </c>
      <c r="AC1662" t="s">
        <v>3930</v>
      </c>
      <c r="AE1662" s="135"/>
    </row>
    <row r="1663" spans="1:31" ht="12.5" customHeight="1" x14ac:dyDescent="0.35">
      <c r="A1663" t="s">
        <v>396</v>
      </c>
      <c r="C1663" t="s">
        <v>3931</v>
      </c>
      <c r="D1663" t="s">
        <v>385</v>
      </c>
      <c r="E1663" s="133">
        <v>45841</v>
      </c>
      <c r="F1663" s="2">
        <v>7.9004629629629633E-2</v>
      </c>
      <c r="G1663">
        <v>1</v>
      </c>
      <c r="H1663" s="133">
        <v>45840</v>
      </c>
      <c r="I1663" s="2">
        <v>0.57900462962962962</v>
      </c>
      <c r="J1663">
        <v>13</v>
      </c>
      <c r="R1663" t="s">
        <v>30</v>
      </c>
      <c r="W1663">
        <v>1</v>
      </c>
      <c r="X1663" t="s">
        <v>30</v>
      </c>
      <c r="AC1663" t="s">
        <v>3932</v>
      </c>
      <c r="AE1663" s="135"/>
    </row>
    <row r="1664" spans="1:31" ht="12.5" customHeight="1" x14ac:dyDescent="0.35">
      <c r="A1664" t="s">
        <v>396</v>
      </c>
      <c r="C1664" t="s">
        <v>3933</v>
      </c>
      <c r="D1664" t="s">
        <v>385</v>
      </c>
      <c r="E1664" s="133">
        <v>45841</v>
      </c>
      <c r="F1664" s="2">
        <v>7.9074074074074074E-2</v>
      </c>
      <c r="G1664">
        <v>1</v>
      </c>
      <c r="H1664" s="133">
        <v>45840</v>
      </c>
      <c r="I1664" s="2">
        <v>0.57907407407407407</v>
      </c>
      <c r="J1664">
        <v>13</v>
      </c>
      <c r="R1664" t="s">
        <v>30</v>
      </c>
      <c r="W1664">
        <v>1</v>
      </c>
      <c r="X1664" t="s">
        <v>30</v>
      </c>
      <c r="AC1664" t="s">
        <v>3934</v>
      </c>
      <c r="AE1664" s="135"/>
    </row>
    <row r="1665" spans="1:31" ht="12.5" customHeight="1" x14ac:dyDescent="0.35">
      <c r="A1665" t="s">
        <v>396</v>
      </c>
      <c r="C1665" t="s">
        <v>3935</v>
      </c>
      <c r="D1665" t="s">
        <v>385</v>
      </c>
      <c r="E1665" s="133">
        <v>45841</v>
      </c>
      <c r="F1665" s="2">
        <v>7.9166666666666663E-2</v>
      </c>
      <c r="G1665">
        <v>1</v>
      </c>
      <c r="H1665" s="133">
        <v>45840</v>
      </c>
      <c r="I1665" s="2">
        <v>0.57916666666666672</v>
      </c>
      <c r="J1665">
        <v>13</v>
      </c>
      <c r="K1665" t="s">
        <v>390</v>
      </c>
      <c r="R1665" t="s">
        <v>384</v>
      </c>
      <c r="S1665">
        <v>2</v>
      </c>
      <c r="T1665">
        <v>2</v>
      </c>
      <c r="U1665">
        <v>1</v>
      </c>
      <c r="V1665" t="s">
        <v>3936</v>
      </c>
      <c r="W1665">
        <v>1</v>
      </c>
      <c r="X1665" t="s">
        <v>282</v>
      </c>
      <c r="AC1665" t="s">
        <v>3937</v>
      </c>
      <c r="AE1665" s="135"/>
    </row>
    <row r="1666" spans="1:31" ht="12.5" customHeight="1" x14ac:dyDescent="0.35">
      <c r="A1666" t="s">
        <v>396</v>
      </c>
      <c r="C1666" t="s">
        <v>3938</v>
      </c>
      <c r="D1666" t="s">
        <v>385</v>
      </c>
      <c r="E1666" s="133">
        <v>45841</v>
      </c>
      <c r="F1666" s="2">
        <v>7.9259259259259265E-2</v>
      </c>
      <c r="G1666">
        <v>1</v>
      </c>
      <c r="H1666" s="133">
        <v>45840</v>
      </c>
      <c r="I1666" s="2">
        <v>0.57925925925925925</v>
      </c>
      <c r="J1666">
        <v>13</v>
      </c>
      <c r="R1666" t="s">
        <v>30</v>
      </c>
      <c r="W1666">
        <v>1</v>
      </c>
      <c r="X1666" t="s">
        <v>282</v>
      </c>
      <c r="AC1666" t="s">
        <v>3939</v>
      </c>
      <c r="AE1666" s="135"/>
    </row>
    <row r="1667" spans="1:31" ht="12.5" customHeight="1" x14ac:dyDescent="0.35">
      <c r="A1667" t="s">
        <v>396</v>
      </c>
      <c r="C1667" t="s">
        <v>3940</v>
      </c>
      <c r="D1667" t="s">
        <v>385</v>
      </c>
      <c r="E1667" s="133">
        <v>45841</v>
      </c>
      <c r="F1667" s="2">
        <v>7.9328703703703707E-2</v>
      </c>
      <c r="G1667">
        <v>1</v>
      </c>
      <c r="H1667" s="133">
        <v>45840</v>
      </c>
      <c r="I1667" s="2">
        <v>0.57932870370370371</v>
      </c>
      <c r="J1667">
        <v>13</v>
      </c>
      <c r="R1667" t="s">
        <v>30</v>
      </c>
      <c r="W1667">
        <v>1</v>
      </c>
      <c r="X1667" t="s">
        <v>30</v>
      </c>
      <c r="AC1667" t="s">
        <v>3941</v>
      </c>
      <c r="AE1667" s="135"/>
    </row>
    <row r="1668" spans="1:31" ht="12.5" customHeight="1" x14ac:dyDescent="0.35">
      <c r="A1668" t="s">
        <v>396</v>
      </c>
      <c r="C1668" t="s">
        <v>3942</v>
      </c>
      <c r="D1668" t="s">
        <v>385</v>
      </c>
      <c r="E1668" s="133">
        <v>45841</v>
      </c>
      <c r="F1668" s="2">
        <v>7.9398148148148148E-2</v>
      </c>
      <c r="G1668">
        <v>1</v>
      </c>
      <c r="H1668" s="133">
        <v>45840</v>
      </c>
      <c r="I1668" s="2">
        <v>0.57939814814814816</v>
      </c>
      <c r="J1668">
        <v>13</v>
      </c>
      <c r="R1668" t="s">
        <v>30</v>
      </c>
      <c r="W1668">
        <v>1</v>
      </c>
      <c r="X1668" t="s">
        <v>30</v>
      </c>
      <c r="AC1668" t="s">
        <v>3943</v>
      </c>
      <c r="AE1668" s="135"/>
    </row>
    <row r="1669" spans="1:31" ht="12.5" customHeight="1" x14ac:dyDescent="0.35">
      <c r="A1669" t="s">
        <v>396</v>
      </c>
      <c r="C1669" t="s">
        <v>3944</v>
      </c>
      <c r="D1669" t="s">
        <v>385</v>
      </c>
      <c r="E1669" s="133">
        <v>45841</v>
      </c>
      <c r="F1669" s="2">
        <v>7.946759259259259E-2</v>
      </c>
      <c r="G1669">
        <v>1</v>
      </c>
      <c r="H1669" s="133">
        <v>45840</v>
      </c>
      <c r="I1669" s="2">
        <v>0.57946759259259262</v>
      </c>
      <c r="J1669">
        <v>13</v>
      </c>
      <c r="R1669" t="s">
        <v>30</v>
      </c>
      <c r="W1669">
        <v>1</v>
      </c>
      <c r="X1669" t="s">
        <v>30</v>
      </c>
      <c r="AC1669" t="s">
        <v>3945</v>
      </c>
      <c r="AE1669" s="135"/>
    </row>
    <row r="1670" spans="1:31" ht="12.5" customHeight="1" x14ac:dyDescent="0.35">
      <c r="A1670" t="s">
        <v>396</v>
      </c>
      <c r="C1670" t="s">
        <v>3946</v>
      </c>
      <c r="D1670" t="s">
        <v>385</v>
      </c>
      <c r="E1670" s="133">
        <v>45841</v>
      </c>
      <c r="F1670" s="2">
        <v>7.9560185185185192E-2</v>
      </c>
      <c r="G1670">
        <v>1</v>
      </c>
      <c r="H1670" s="133">
        <v>45840</v>
      </c>
      <c r="I1670" s="2">
        <v>0.57956018518518515</v>
      </c>
      <c r="J1670">
        <v>13</v>
      </c>
      <c r="R1670" t="s">
        <v>30</v>
      </c>
      <c r="W1670">
        <v>1</v>
      </c>
      <c r="X1670" t="s">
        <v>30</v>
      </c>
      <c r="AC1670" t="s">
        <v>3947</v>
      </c>
      <c r="AE1670" s="135"/>
    </row>
    <row r="1671" spans="1:31" ht="12.5" customHeight="1" x14ac:dyDescent="0.35">
      <c r="A1671" t="s">
        <v>396</v>
      </c>
      <c r="C1671" t="s">
        <v>3948</v>
      </c>
      <c r="D1671" t="s">
        <v>385</v>
      </c>
      <c r="E1671" s="133">
        <v>45841</v>
      </c>
      <c r="F1671" s="2">
        <v>7.962962962962962E-2</v>
      </c>
      <c r="G1671">
        <v>1</v>
      </c>
      <c r="H1671" s="133">
        <v>45840</v>
      </c>
      <c r="I1671" s="2">
        <v>0.57962962962962961</v>
      </c>
      <c r="J1671">
        <v>13</v>
      </c>
      <c r="R1671" t="s">
        <v>30</v>
      </c>
      <c r="W1671">
        <v>1</v>
      </c>
      <c r="X1671" t="s">
        <v>30</v>
      </c>
      <c r="AC1671" t="s">
        <v>3949</v>
      </c>
      <c r="AE1671" s="135"/>
    </row>
    <row r="1672" spans="1:31" ht="12.5" customHeight="1" x14ac:dyDescent="0.35">
      <c r="A1672" t="s">
        <v>396</v>
      </c>
      <c r="C1672" t="s">
        <v>3950</v>
      </c>
      <c r="D1672" t="s">
        <v>385</v>
      </c>
      <c r="E1672" s="133">
        <v>45841</v>
      </c>
      <c r="F1672" s="2">
        <v>7.9699074074074075E-2</v>
      </c>
      <c r="G1672">
        <v>1</v>
      </c>
      <c r="H1672" s="133">
        <v>45840</v>
      </c>
      <c r="I1672" s="2">
        <v>0.57969907407407406</v>
      </c>
      <c r="J1672">
        <v>13</v>
      </c>
      <c r="R1672" t="s">
        <v>30</v>
      </c>
      <c r="W1672">
        <v>1</v>
      </c>
      <c r="X1672" t="s">
        <v>30</v>
      </c>
      <c r="AC1672" t="s">
        <v>3951</v>
      </c>
      <c r="AE1672" s="135"/>
    </row>
    <row r="1673" spans="1:31" ht="12.5" customHeight="1" x14ac:dyDescent="0.35">
      <c r="A1673" t="s">
        <v>396</v>
      </c>
      <c r="C1673" t="s">
        <v>3952</v>
      </c>
      <c r="D1673" t="s">
        <v>385</v>
      </c>
      <c r="E1673" s="133">
        <v>45841</v>
      </c>
      <c r="F1673" s="2">
        <v>7.9791666666666664E-2</v>
      </c>
      <c r="G1673">
        <v>1</v>
      </c>
      <c r="H1673" s="133">
        <v>45840</v>
      </c>
      <c r="I1673" s="2">
        <v>0.57979166666666659</v>
      </c>
      <c r="J1673">
        <v>13</v>
      </c>
      <c r="R1673" t="s">
        <v>30</v>
      </c>
      <c r="W1673">
        <v>1</v>
      </c>
      <c r="X1673" t="s">
        <v>30</v>
      </c>
      <c r="AC1673" t="s">
        <v>3953</v>
      </c>
      <c r="AE1673" s="135"/>
    </row>
    <row r="1674" spans="1:31" ht="12.5" customHeight="1" x14ac:dyDescent="0.35">
      <c r="A1674" t="s">
        <v>396</v>
      </c>
      <c r="C1674" t="s">
        <v>3954</v>
      </c>
      <c r="D1674" t="s">
        <v>385</v>
      </c>
      <c r="E1674" s="133">
        <v>45841</v>
      </c>
      <c r="F1674" s="2">
        <v>7.9861111111111105E-2</v>
      </c>
      <c r="G1674">
        <v>1</v>
      </c>
      <c r="H1674" s="133">
        <v>45840</v>
      </c>
      <c r="I1674" s="2">
        <v>0.57986111111111105</v>
      </c>
      <c r="J1674">
        <v>13</v>
      </c>
      <c r="R1674" t="s">
        <v>30</v>
      </c>
      <c r="W1674">
        <v>1</v>
      </c>
      <c r="X1674" t="s">
        <v>30</v>
      </c>
      <c r="AC1674" t="s">
        <v>3955</v>
      </c>
      <c r="AE1674" s="135"/>
    </row>
    <row r="1675" spans="1:31" ht="12.5" customHeight="1" x14ac:dyDescent="0.35">
      <c r="A1675" t="s">
        <v>396</v>
      </c>
      <c r="C1675" t="s">
        <v>3956</v>
      </c>
      <c r="D1675" t="s">
        <v>385</v>
      </c>
      <c r="E1675" s="133">
        <v>45841</v>
      </c>
      <c r="F1675" s="2">
        <v>7.9953703703703707E-2</v>
      </c>
      <c r="G1675">
        <v>1</v>
      </c>
      <c r="H1675" s="133">
        <v>45840</v>
      </c>
      <c r="I1675" s="2">
        <v>0.57995370370370369</v>
      </c>
      <c r="J1675">
        <v>13</v>
      </c>
      <c r="R1675" t="s">
        <v>30</v>
      </c>
      <c r="W1675">
        <v>1</v>
      </c>
      <c r="X1675" t="s">
        <v>30</v>
      </c>
      <c r="AC1675" t="s">
        <v>3957</v>
      </c>
      <c r="AE1675" s="135"/>
    </row>
    <row r="1676" spans="1:31" ht="12.5" customHeight="1" x14ac:dyDescent="0.35">
      <c r="A1676" t="s">
        <v>396</v>
      </c>
      <c r="C1676" t="s">
        <v>3958</v>
      </c>
      <c r="D1676" t="s">
        <v>385</v>
      </c>
      <c r="E1676" s="133">
        <v>45841</v>
      </c>
      <c r="F1676" s="2">
        <v>8.0023148148148149E-2</v>
      </c>
      <c r="G1676">
        <v>1</v>
      </c>
      <c r="H1676" s="133">
        <v>45840</v>
      </c>
      <c r="I1676" s="2">
        <v>0.58002314814814815</v>
      </c>
      <c r="J1676">
        <v>13</v>
      </c>
      <c r="R1676" t="s">
        <v>30</v>
      </c>
      <c r="W1676">
        <v>1</v>
      </c>
      <c r="X1676" t="s">
        <v>30</v>
      </c>
      <c r="AC1676" t="s">
        <v>3959</v>
      </c>
      <c r="AE1676" s="135"/>
    </row>
    <row r="1677" spans="1:31" ht="12.5" customHeight="1" x14ac:dyDescent="0.35">
      <c r="A1677" t="s">
        <v>396</v>
      </c>
      <c r="C1677" t="s">
        <v>3960</v>
      </c>
      <c r="D1677" t="s">
        <v>385</v>
      </c>
      <c r="E1677" s="133">
        <v>45841</v>
      </c>
      <c r="F1677" s="2">
        <v>8.0115740740740737E-2</v>
      </c>
      <c r="G1677">
        <v>1</v>
      </c>
      <c r="H1677" s="133">
        <v>45840</v>
      </c>
      <c r="I1677" s="2">
        <v>0.58011574074074079</v>
      </c>
      <c r="J1677">
        <v>13</v>
      </c>
      <c r="R1677" t="s">
        <v>30</v>
      </c>
      <c r="W1677">
        <v>1</v>
      </c>
      <c r="X1677" t="s">
        <v>282</v>
      </c>
      <c r="AC1677" t="s">
        <v>3961</v>
      </c>
      <c r="AE1677" s="135"/>
    </row>
    <row r="1678" spans="1:31" ht="12.5" customHeight="1" x14ac:dyDescent="0.35">
      <c r="A1678" t="s">
        <v>396</v>
      </c>
      <c r="C1678" t="s">
        <v>3962</v>
      </c>
      <c r="D1678" t="s">
        <v>385</v>
      </c>
      <c r="E1678" s="133">
        <v>45841</v>
      </c>
      <c r="F1678" s="2">
        <v>8.0185185185185193E-2</v>
      </c>
      <c r="G1678">
        <v>1</v>
      </c>
      <c r="H1678" s="133">
        <v>45840</v>
      </c>
      <c r="I1678" s="2">
        <v>0.58018518518518525</v>
      </c>
      <c r="J1678">
        <v>13</v>
      </c>
      <c r="R1678" t="s">
        <v>384</v>
      </c>
      <c r="S1678">
        <v>2</v>
      </c>
      <c r="T1678">
        <v>2</v>
      </c>
      <c r="U1678">
        <v>1</v>
      </c>
      <c r="V1678" t="s">
        <v>3963</v>
      </c>
      <c r="W1678">
        <v>1</v>
      </c>
      <c r="X1678" t="s">
        <v>282</v>
      </c>
      <c r="AC1678" t="s">
        <v>3964</v>
      </c>
      <c r="AE1678" s="135"/>
    </row>
    <row r="1679" spans="1:31" ht="12.5" customHeight="1" x14ac:dyDescent="0.35">
      <c r="A1679" t="s">
        <v>396</v>
      </c>
      <c r="C1679" t="s">
        <v>3965</v>
      </c>
      <c r="D1679" t="s">
        <v>385</v>
      </c>
      <c r="E1679" s="133">
        <v>45841</v>
      </c>
      <c r="F1679" s="2">
        <v>8.0254629629629634E-2</v>
      </c>
      <c r="G1679">
        <v>1</v>
      </c>
      <c r="H1679" s="133">
        <v>45840</v>
      </c>
      <c r="I1679" s="2">
        <v>0.5802546296296297</v>
      </c>
      <c r="J1679">
        <v>13</v>
      </c>
      <c r="R1679" t="s">
        <v>384</v>
      </c>
      <c r="S1679">
        <v>6</v>
      </c>
      <c r="T1679">
        <v>6</v>
      </c>
      <c r="U1679">
        <v>1</v>
      </c>
      <c r="V1679" t="s">
        <v>3966</v>
      </c>
      <c r="W1679">
        <v>1</v>
      </c>
      <c r="X1679" t="s">
        <v>282</v>
      </c>
      <c r="AC1679" t="s">
        <v>3967</v>
      </c>
      <c r="AE1679" s="135"/>
    </row>
    <row r="1680" spans="1:31" ht="12.5" customHeight="1" x14ac:dyDescent="0.35">
      <c r="A1680" t="s">
        <v>396</v>
      </c>
      <c r="C1680" t="s">
        <v>3968</v>
      </c>
      <c r="D1680" t="s">
        <v>385</v>
      </c>
      <c r="E1680" s="133">
        <v>45841</v>
      </c>
      <c r="F1680" s="2">
        <v>8.0347222222222223E-2</v>
      </c>
      <c r="G1680">
        <v>1</v>
      </c>
      <c r="H1680" s="133">
        <v>45840</v>
      </c>
      <c r="I1680" s="2">
        <v>0.58034722222222224</v>
      </c>
      <c r="J1680">
        <v>13</v>
      </c>
      <c r="R1680" t="s">
        <v>30</v>
      </c>
      <c r="W1680">
        <v>1</v>
      </c>
      <c r="X1680" t="s">
        <v>355</v>
      </c>
      <c r="AC1680" t="s">
        <v>3969</v>
      </c>
      <c r="AE1680" s="135"/>
    </row>
    <row r="1681" spans="1:31" ht="12.5" customHeight="1" x14ac:dyDescent="0.35">
      <c r="A1681" t="s">
        <v>396</v>
      </c>
      <c r="C1681" t="s">
        <v>3970</v>
      </c>
      <c r="D1681" t="s">
        <v>385</v>
      </c>
      <c r="E1681" s="133">
        <v>45841</v>
      </c>
      <c r="F1681" s="2">
        <v>8.0416666666666664E-2</v>
      </c>
      <c r="G1681">
        <v>1</v>
      </c>
      <c r="H1681" s="133">
        <v>45840</v>
      </c>
      <c r="I1681" s="2">
        <v>0.58041666666666669</v>
      </c>
      <c r="J1681">
        <v>13</v>
      </c>
      <c r="R1681" t="s">
        <v>30</v>
      </c>
      <c r="W1681">
        <v>1</v>
      </c>
      <c r="X1681" t="s">
        <v>30</v>
      </c>
      <c r="AC1681" t="s">
        <v>3971</v>
      </c>
      <c r="AE1681" s="135"/>
    </row>
    <row r="1682" spans="1:31" ht="12.5" customHeight="1" x14ac:dyDescent="0.35">
      <c r="A1682" t="s">
        <v>396</v>
      </c>
      <c r="C1682" t="s">
        <v>3972</v>
      </c>
      <c r="D1682" t="s">
        <v>385</v>
      </c>
      <c r="E1682" s="133">
        <v>45841</v>
      </c>
      <c r="F1682" s="2">
        <v>8.0486111111111105E-2</v>
      </c>
      <c r="G1682">
        <v>1</v>
      </c>
      <c r="H1682" s="133">
        <v>45840</v>
      </c>
      <c r="I1682" s="2">
        <v>0.58048611111111115</v>
      </c>
      <c r="J1682">
        <v>13</v>
      </c>
      <c r="R1682" t="s">
        <v>30</v>
      </c>
      <c r="W1682">
        <v>1</v>
      </c>
      <c r="X1682" t="s">
        <v>30</v>
      </c>
      <c r="AC1682" t="s">
        <v>3973</v>
      </c>
      <c r="AE1682" s="135"/>
    </row>
    <row r="1683" spans="1:31" ht="12.5" customHeight="1" x14ac:dyDescent="0.35">
      <c r="A1683" t="s">
        <v>396</v>
      </c>
      <c r="C1683" t="s">
        <v>3974</v>
      </c>
      <c r="D1683" t="s">
        <v>385</v>
      </c>
      <c r="E1683" s="133">
        <v>45841</v>
      </c>
      <c r="F1683" s="2">
        <v>8.0578703703703694E-2</v>
      </c>
      <c r="G1683">
        <v>1</v>
      </c>
      <c r="H1683" s="133">
        <v>45840</v>
      </c>
      <c r="I1683" s="2">
        <v>0.58057870370370368</v>
      </c>
      <c r="J1683">
        <v>13</v>
      </c>
      <c r="R1683" t="s">
        <v>30</v>
      </c>
      <c r="W1683">
        <v>1</v>
      </c>
      <c r="X1683" t="s">
        <v>30</v>
      </c>
      <c r="AC1683" t="s">
        <v>3975</v>
      </c>
      <c r="AE1683" s="135"/>
    </row>
    <row r="1684" spans="1:31" ht="12.5" customHeight="1" x14ac:dyDescent="0.35">
      <c r="A1684" t="s">
        <v>396</v>
      </c>
      <c r="C1684" t="s">
        <v>3976</v>
      </c>
      <c r="D1684" t="s">
        <v>385</v>
      </c>
      <c r="E1684" s="133">
        <v>45841</v>
      </c>
      <c r="F1684" s="2">
        <v>8.0648148148148149E-2</v>
      </c>
      <c r="G1684">
        <v>1</v>
      </c>
      <c r="H1684" s="133">
        <v>45840</v>
      </c>
      <c r="I1684" s="2">
        <v>0.58064814814814814</v>
      </c>
      <c r="J1684">
        <v>13</v>
      </c>
      <c r="R1684" t="s">
        <v>30</v>
      </c>
      <c r="W1684">
        <v>1</v>
      </c>
      <c r="X1684" t="s">
        <v>30</v>
      </c>
      <c r="AC1684" t="s">
        <v>3977</v>
      </c>
      <c r="AE1684" s="135"/>
    </row>
    <row r="1685" spans="1:31" ht="12.5" customHeight="1" x14ac:dyDescent="0.35">
      <c r="A1685" t="s">
        <v>396</v>
      </c>
      <c r="C1685" t="s">
        <v>3978</v>
      </c>
      <c r="D1685" t="s">
        <v>385</v>
      </c>
      <c r="E1685" s="133">
        <v>45841</v>
      </c>
      <c r="F1685" s="2">
        <v>8.0740740740740738E-2</v>
      </c>
      <c r="G1685">
        <v>1</v>
      </c>
      <c r="H1685" s="133">
        <v>45840</v>
      </c>
      <c r="I1685" s="2">
        <v>0.58074074074074067</v>
      </c>
      <c r="J1685">
        <v>13</v>
      </c>
      <c r="R1685" t="s">
        <v>30</v>
      </c>
      <c r="W1685">
        <v>1</v>
      </c>
      <c r="X1685" t="s">
        <v>30</v>
      </c>
      <c r="AC1685" t="s">
        <v>3979</v>
      </c>
      <c r="AE1685" s="135"/>
    </row>
    <row r="1686" spans="1:31" ht="12.5" customHeight="1" x14ac:dyDescent="0.35">
      <c r="A1686" t="s">
        <v>396</v>
      </c>
      <c r="C1686" t="s">
        <v>3980</v>
      </c>
      <c r="D1686" t="s">
        <v>385</v>
      </c>
      <c r="E1686" s="133">
        <v>45841</v>
      </c>
      <c r="F1686" s="2">
        <v>8.0810185185185179E-2</v>
      </c>
      <c r="G1686">
        <v>1</v>
      </c>
      <c r="H1686" s="133">
        <v>45840</v>
      </c>
      <c r="I1686" s="2">
        <v>0.58081018518518512</v>
      </c>
      <c r="J1686">
        <v>13</v>
      </c>
      <c r="R1686" t="s">
        <v>30</v>
      </c>
      <c r="W1686">
        <v>1</v>
      </c>
      <c r="X1686" t="s">
        <v>30</v>
      </c>
      <c r="AC1686" t="s">
        <v>3981</v>
      </c>
      <c r="AE1686" s="135"/>
    </row>
    <row r="1687" spans="1:31" ht="12.5" customHeight="1" x14ac:dyDescent="0.35">
      <c r="A1687" t="s">
        <v>396</v>
      </c>
      <c r="C1687" t="s">
        <v>3982</v>
      </c>
      <c r="D1687" t="s">
        <v>385</v>
      </c>
      <c r="E1687" s="133">
        <v>45841</v>
      </c>
      <c r="F1687" s="2">
        <v>8.0902777777777782E-2</v>
      </c>
      <c r="G1687">
        <v>1</v>
      </c>
      <c r="H1687" s="133">
        <v>45840</v>
      </c>
      <c r="I1687" s="2">
        <v>0.58090277777777777</v>
      </c>
      <c r="J1687">
        <v>13</v>
      </c>
      <c r="R1687" t="s">
        <v>30</v>
      </c>
      <c r="W1687">
        <v>1</v>
      </c>
      <c r="X1687" t="s">
        <v>30</v>
      </c>
      <c r="AC1687" t="s">
        <v>3983</v>
      </c>
      <c r="AE1687" s="135"/>
    </row>
    <row r="1688" spans="1:31" ht="12.5" customHeight="1" x14ac:dyDescent="0.35">
      <c r="A1688" t="s">
        <v>396</v>
      </c>
      <c r="C1688" t="s">
        <v>3984</v>
      </c>
      <c r="D1688" t="s">
        <v>385</v>
      </c>
      <c r="E1688" s="133">
        <v>45841</v>
      </c>
      <c r="F1688" s="2">
        <v>8.0972222222222223E-2</v>
      </c>
      <c r="G1688">
        <v>1</v>
      </c>
      <c r="H1688" s="133">
        <v>45840</v>
      </c>
      <c r="I1688" s="2">
        <v>0.58097222222222222</v>
      </c>
      <c r="J1688">
        <v>13</v>
      </c>
      <c r="R1688" t="s">
        <v>30</v>
      </c>
      <c r="W1688">
        <v>1</v>
      </c>
      <c r="X1688" t="s">
        <v>282</v>
      </c>
      <c r="AC1688" t="s">
        <v>3985</v>
      </c>
      <c r="AE1688" s="135"/>
    </row>
    <row r="1689" spans="1:31" ht="12.5" customHeight="1" x14ac:dyDescent="0.35">
      <c r="A1689" t="s">
        <v>396</v>
      </c>
      <c r="C1689" t="s">
        <v>3986</v>
      </c>
      <c r="D1689" t="s">
        <v>385</v>
      </c>
      <c r="E1689" s="133">
        <v>45841</v>
      </c>
      <c r="F1689" s="2">
        <v>8.1064814814814812E-2</v>
      </c>
      <c r="G1689">
        <v>1</v>
      </c>
      <c r="H1689" s="133">
        <v>45840</v>
      </c>
      <c r="I1689" s="2">
        <v>0.58106481481481487</v>
      </c>
      <c r="J1689">
        <v>13</v>
      </c>
      <c r="R1689" t="s">
        <v>30</v>
      </c>
      <c r="W1689">
        <v>1</v>
      </c>
      <c r="X1689" t="s">
        <v>30</v>
      </c>
      <c r="AC1689" t="s">
        <v>3987</v>
      </c>
      <c r="AE1689" s="135"/>
    </row>
    <row r="1690" spans="1:31" ht="12.5" customHeight="1" x14ac:dyDescent="0.35">
      <c r="A1690" t="s">
        <v>396</v>
      </c>
      <c r="C1690" t="s">
        <v>3988</v>
      </c>
      <c r="D1690" t="s">
        <v>385</v>
      </c>
      <c r="E1690" s="133">
        <v>45841</v>
      </c>
      <c r="F1690" s="2">
        <v>8.1134259259259267E-2</v>
      </c>
      <c r="G1690">
        <v>1</v>
      </c>
      <c r="H1690" s="133">
        <v>45840</v>
      </c>
      <c r="I1690" s="2">
        <v>0.58113425925925932</v>
      </c>
      <c r="J1690">
        <v>13</v>
      </c>
      <c r="R1690" t="s">
        <v>30</v>
      </c>
      <c r="W1690">
        <v>1</v>
      </c>
      <c r="X1690" t="s">
        <v>30</v>
      </c>
      <c r="AC1690" t="s">
        <v>3989</v>
      </c>
      <c r="AE1690" s="135"/>
    </row>
    <row r="1691" spans="1:31" ht="12.5" customHeight="1" x14ac:dyDescent="0.35">
      <c r="A1691" t="s">
        <v>396</v>
      </c>
      <c r="C1691" t="s">
        <v>3990</v>
      </c>
      <c r="D1691" t="s">
        <v>385</v>
      </c>
      <c r="E1691" s="133">
        <v>45841</v>
      </c>
      <c r="F1691" s="2">
        <v>8.1203703703703708E-2</v>
      </c>
      <c r="G1691">
        <v>1</v>
      </c>
      <c r="H1691" s="133">
        <v>45840</v>
      </c>
      <c r="I1691" s="2">
        <v>0.58120370370370367</v>
      </c>
      <c r="J1691">
        <v>13</v>
      </c>
      <c r="R1691" t="s">
        <v>30</v>
      </c>
      <c r="W1691">
        <v>1</v>
      </c>
      <c r="X1691" t="s">
        <v>30</v>
      </c>
      <c r="AC1691" t="s">
        <v>3991</v>
      </c>
      <c r="AE1691" s="135"/>
    </row>
    <row r="1692" spans="1:31" ht="12.5" customHeight="1" x14ac:dyDescent="0.35">
      <c r="A1692" t="s">
        <v>396</v>
      </c>
      <c r="C1692" t="s">
        <v>3992</v>
      </c>
      <c r="D1692" t="s">
        <v>385</v>
      </c>
      <c r="E1692" s="133">
        <v>45841</v>
      </c>
      <c r="F1692" s="2">
        <v>8.1296296296296297E-2</v>
      </c>
      <c r="G1692">
        <v>1</v>
      </c>
      <c r="H1692" s="133">
        <v>45840</v>
      </c>
      <c r="I1692" s="2">
        <v>0.58129629629629631</v>
      </c>
      <c r="J1692">
        <v>13</v>
      </c>
      <c r="R1692" t="s">
        <v>30</v>
      </c>
      <c r="W1692">
        <v>1</v>
      </c>
      <c r="X1692" t="s">
        <v>30</v>
      </c>
      <c r="AC1692" t="s">
        <v>3993</v>
      </c>
      <c r="AE1692" s="135"/>
    </row>
    <row r="1693" spans="1:31" ht="12.5" customHeight="1" x14ac:dyDescent="0.35">
      <c r="A1693" t="s">
        <v>396</v>
      </c>
      <c r="C1693" t="s">
        <v>3994</v>
      </c>
      <c r="D1693" t="s">
        <v>385</v>
      </c>
      <c r="E1693" s="133">
        <v>45841</v>
      </c>
      <c r="F1693" s="2">
        <v>8.1365740740740738E-2</v>
      </c>
      <c r="G1693">
        <v>1</v>
      </c>
      <c r="H1693" s="133">
        <v>45840</v>
      </c>
      <c r="I1693" s="2">
        <v>0.58136574074074077</v>
      </c>
      <c r="J1693">
        <v>13</v>
      </c>
      <c r="R1693" t="s">
        <v>30</v>
      </c>
      <c r="W1693">
        <v>1</v>
      </c>
      <c r="X1693" t="s">
        <v>30</v>
      </c>
      <c r="AC1693" t="s">
        <v>3995</v>
      </c>
      <c r="AE1693" s="135"/>
    </row>
    <row r="1694" spans="1:31" ht="12.5" customHeight="1" x14ac:dyDescent="0.35">
      <c r="A1694" t="s">
        <v>396</v>
      </c>
      <c r="C1694" t="s">
        <v>3996</v>
      </c>
      <c r="D1694" t="s">
        <v>385</v>
      </c>
      <c r="E1694" s="133">
        <v>45841</v>
      </c>
      <c r="F1694" s="2">
        <v>8.143518518518518E-2</v>
      </c>
      <c r="G1694">
        <v>1</v>
      </c>
      <c r="H1694" s="133">
        <v>45840</v>
      </c>
      <c r="I1694" s="2">
        <v>0.58143518518518522</v>
      </c>
      <c r="J1694">
        <v>13</v>
      </c>
      <c r="R1694" t="s">
        <v>30</v>
      </c>
      <c r="W1694">
        <v>1</v>
      </c>
      <c r="X1694" t="s">
        <v>30</v>
      </c>
      <c r="AC1694" t="s">
        <v>3997</v>
      </c>
      <c r="AE1694" s="135"/>
    </row>
    <row r="1695" spans="1:31" ht="12.5" customHeight="1" x14ac:dyDescent="0.35">
      <c r="A1695" t="s">
        <v>396</v>
      </c>
      <c r="C1695" t="s">
        <v>3998</v>
      </c>
      <c r="D1695" t="s">
        <v>385</v>
      </c>
      <c r="E1695" s="133">
        <v>45841</v>
      </c>
      <c r="F1695" s="2">
        <v>8.1527777777777768E-2</v>
      </c>
      <c r="G1695">
        <v>1</v>
      </c>
      <c r="H1695" s="133">
        <v>45840</v>
      </c>
      <c r="I1695" s="2">
        <v>0.58152777777777775</v>
      </c>
      <c r="J1695">
        <v>13</v>
      </c>
      <c r="R1695" t="s">
        <v>30</v>
      </c>
      <c r="W1695">
        <v>1</v>
      </c>
      <c r="X1695" t="s">
        <v>30</v>
      </c>
      <c r="AC1695" t="s">
        <v>3999</v>
      </c>
      <c r="AE1695" s="135"/>
    </row>
    <row r="1696" spans="1:31" ht="12.5" customHeight="1" x14ac:dyDescent="0.35">
      <c r="A1696" t="s">
        <v>396</v>
      </c>
      <c r="C1696" t="s">
        <v>4000</v>
      </c>
      <c r="D1696" t="s">
        <v>385</v>
      </c>
      <c r="E1696" s="133">
        <v>45841</v>
      </c>
      <c r="F1696" s="2">
        <v>8.1597222222222224E-2</v>
      </c>
      <c r="G1696">
        <v>1</v>
      </c>
      <c r="H1696" s="133">
        <v>45840</v>
      </c>
      <c r="I1696" s="2">
        <v>0.58159722222222221</v>
      </c>
      <c r="J1696">
        <v>13</v>
      </c>
      <c r="R1696" t="s">
        <v>30</v>
      </c>
      <c r="W1696">
        <v>1</v>
      </c>
      <c r="X1696" t="s">
        <v>30</v>
      </c>
      <c r="AC1696" t="s">
        <v>4001</v>
      </c>
      <c r="AE1696" s="135"/>
    </row>
    <row r="1697" spans="1:31" ht="12.5" customHeight="1" x14ac:dyDescent="0.35">
      <c r="A1697" t="s">
        <v>396</v>
      </c>
      <c r="C1697" t="s">
        <v>4002</v>
      </c>
      <c r="D1697" t="s">
        <v>385</v>
      </c>
      <c r="E1697" s="133">
        <v>45841</v>
      </c>
      <c r="F1697" s="2">
        <v>8.1666666666666665E-2</v>
      </c>
      <c r="G1697">
        <v>1</v>
      </c>
      <c r="H1697" s="133">
        <v>45840</v>
      </c>
      <c r="I1697" s="2">
        <v>0.58166666666666667</v>
      </c>
      <c r="J1697">
        <v>13</v>
      </c>
      <c r="R1697" t="s">
        <v>30</v>
      </c>
      <c r="W1697">
        <v>1</v>
      </c>
      <c r="X1697" t="s">
        <v>30</v>
      </c>
      <c r="AC1697" t="s">
        <v>4003</v>
      </c>
      <c r="AE1697" s="135"/>
    </row>
    <row r="1698" spans="1:31" ht="12.5" customHeight="1" x14ac:dyDescent="0.35">
      <c r="A1698" t="s">
        <v>396</v>
      </c>
      <c r="C1698" t="s">
        <v>4004</v>
      </c>
      <c r="D1698" t="s">
        <v>385</v>
      </c>
      <c r="E1698" s="133">
        <v>45841</v>
      </c>
      <c r="F1698" s="2">
        <v>8.1759259259259254E-2</v>
      </c>
      <c r="G1698">
        <v>1</v>
      </c>
      <c r="H1698" s="133">
        <v>45840</v>
      </c>
      <c r="I1698" s="2">
        <v>0.5817592592592592</v>
      </c>
      <c r="J1698">
        <v>13</v>
      </c>
      <c r="R1698" t="s">
        <v>30</v>
      </c>
      <c r="W1698">
        <v>1</v>
      </c>
      <c r="X1698" t="s">
        <v>30</v>
      </c>
      <c r="AC1698" t="s">
        <v>4005</v>
      </c>
      <c r="AE1698" s="135"/>
    </row>
    <row r="1699" spans="1:31" ht="12.5" customHeight="1" x14ac:dyDescent="0.35">
      <c r="A1699" t="s">
        <v>396</v>
      </c>
      <c r="C1699" t="s">
        <v>4006</v>
      </c>
      <c r="D1699" t="s">
        <v>385</v>
      </c>
      <c r="E1699" s="133">
        <v>45841</v>
      </c>
      <c r="F1699" s="2">
        <v>8.1828703703703709E-2</v>
      </c>
      <c r="G1699">
        <v>1</v>
      </c>
      <c r="H1699" s="133">
        <v>45840</v>
      </c>
      <c r="I1699" s="2">
        <v>0.58182870370370365</v>
      </c>
      <c r="J1699">
        <v>13</v>
      </c>
      <c r="R1699" t="s">
        <v>30</v>
      </c>
      <c r="W1699">
        <v>1</v>
      </c>
      <c r="X1699" t="s">
        <v>30</v>
      </c>
      <c r="AC1699" t="s">
        <v>4007</v>
      </c>
      <c r="AE1699" s="135"/>
    </row>
    <row r="1700" spans="1:31" ht="12.5" customHeight="1" x14ac:dyDescent="0.35">
      <c r="A1700" t="s">
        <v>396</v>
      </c>
      <c r="C1700" t="s">
        <v>4008</v>
      </c>
      <c r="D1700" t="s">
        <v>385</v>
      </c>
      <c r="E1700" s="133">
        <v>45841</v>
      </c>
      <c r="F1700" s="2">
        <v>8.1921296296296298E-2</v>
      </c>
      <c r="G1700">
        <v>1</v>
      </c>
      <c r="H1700" s="133">
        <v>45840</v>
      </c>
      <c r="I1700" s="2">
        <v>0.5819212962962963</v>
      </c>
      <c r="J1700">
        <v>13</v>
      </c>
      <c r="R1700" t="s">
        <v>30</v>
      </c>
      <c r="W1700">
        <v>1</v>
      </c>
      <c r="X1700" t="s">
        <v>30</v>
      </c>
      <c r="AC1700" t="s">
        <v>4009</v>
      </c>
      <c r="AE1700" s="135"/>
    </row>
    <row r="1701" spans="1:31" ht="12.5" customHeight="1" x14ac:dyDescent="0.35">
      <c r="A1701" t="s">
        <v>396</v>
      </c>
      <c r="C1701" t="s">
        <v>4010</v>
      </c>
      <c r="D1701" t="s">
        <v>385</v>
      </c>
      <c r="E1701" s="133">
        <v>45841</v>
      </c>
      <c r="F1701" s="2">
        <v>8.1990740740740739E-2</v>
      </c>
      <c r="G1701">
        <v>1</v>
      </c>
      <c r="H1701" s="133">
        <v>45840</v>
      </c>
      <c r="I1701" s="2">
        <v>0.58199074074074075</v>
      </c>
      <c r="J1701">
        <v>13</v>
      </c>
      <c r="R1701" t="s">
        <v>30</v>
      </c>
      <c r="W1701">
        <v>1</v>
      </c>
      <c r="X1701" t="s">
        <v>30</v>
      </c>
      <c r="AC1701" t="s">
        <v>4011</v>
      </c>
      <c r="AE1701" s="135"/>
    </row>
    <row r="1702" spans="1:31" ht="12.5" customHeight="1" x14ac:dyDescent="0.35">
      <c r="A1702" t="s">
        <v>396</v>
      </c>
      <c r="C1702" t="s">
        <v>4012</v>
      </c>
      <c r="D1702" t="s">
        <v>385</v>
      </c>
      <c r="E1702" s="133">
        <v>45841</v>
      </c>
      <c r="F1702" s="2">
        <v>8.2083333333333341E-2</v>
      </c>
      <c r="G1702">
        <v>1</v>
      </c>
      <c r="H1702" s="133">
        <v>45840</v>
      </c>
      <c r="I1702" s="2">
        <v>0.5820833333333334</v>
      </c>
      <c r="J1702">
        <v>13</v>
      </c>
      <c r="R1702" t="s">
        <v>30</v>
      </c>
      <c r="W1702">
        <v>1</v>
      </c>
      <c r="X1702" t="s">
        <v>30</v>
      </c>
      <c r="AC1702" t="s">
        <v>4013</v>
      </c>
      <c r="AE1702" s="135"/>
    </row>
    <row r="1703" spans="1:31" ht="12.5" customHeight="1" x14ac:dyDescent="0.35">
      <c r="A1703" t="s">
        <v>396</v>
      </c>
      <c r="C1703" t="s">
        <v>4014</v>
      </c>
      <c r="D1703" t="s">
        <v>385</v>
      </c>
      <c r="E1703" s="133">
        <v>45841</v>
      </c>
      <c r="F1703" s="2">
        <v>8.2152777777777783E-2</v>
      </c>
      <c r="G1703">
        <v>1</v>
      </c>
      <c r="H1703" s="133">
        <v>45840</v>
      </c>
      <c r="I1703" s="2">
        <v>0.58215277777777774</v>
      </c>
      <c r="J1703">
        <v>13</v>
      </c>
      <c r="R1703" t="s">
        <v>30</v>
      </c>
      <c r="W1703">
        <v>1</v>
      </c>
      <c r="X1703" t="s">
        <v>30</v>
      </c>
      <c r="AC1703" t="s">
        <v>4015</v>
      </c>
      <c r="AE1703" s="135"/>
    </row>
    <row r="1704" spans="1:31" ht="12.5" customHeight="1" x14ac:dyDescent="0.35">
      <c r="A1704" t="s">
        <v>396</v>
      </c>
      <c r="C1704" t="s">
        <v>4016</v>
      </c>
      <c r="D1704" t="s">
        <v>385</v>
      </c>
      <c r="E1704" s="133">
        <v>45841</v>
      </c>
      <c r="F1704" s="2">
        <v>8.2245370370370371E-2</v>
      </c>
      <c r="G1704">
        <v>1</v>
      </c>
      <c r="H1704" s="133">
        <v>45840</v>
      </c>
      <c r="I1704" s="2">
        <v>0.58224537037037039</v>
      </c>
      <c r="J1704">
        <v>13</v>
      </c>
      <c r="R1704" t="s">
        <v>30</v>
      </c>
      <c r="W1704">
        <v>1</v>
      </c>
      <c r="X1704" t="s">
        <v>30</v>
      </c>
      <c r="AC1704" t="s">
        <v>4017</v>
      </c>
      <c r="AE1704" s="135"/>
    </row>
    <row r="1705" spans="1:31" ht="12.5" customHeight="1" x14ac:dyDescent="0.35">
      <c r="A1705" t="s">
        <v>396</v>
      </c>
      <c r="C1705" t="s">
        <v>4018</v>
      </c>
      <c r="D1705" t="s">
        <v>385</v>
      </c>
      <c r="E1705" s="133">
        <v>45841</v>
      </c>
      <c r="F1705" s="2">
        <v>8.2314814814814813E-2</v>
      </c>
      <c r="G1705">
        <v>1</v>
      </c>
      <c r="H1705" s="133">
        <v>45840</v>
      </c>
      <c r="I1705" s="2">
        <v>0.58231481481481484</v>
      </c>
      <c r="J1705">
        <v>13</v>
      </c>
      <c r="R1705" t="s">
        <v>30</v>
      </c>
      <c r="W1705">
        <v>1</v>
      </c>
      <c r="X1705" t="s">
        <v>30</v>
      </c>
      <c r="AC1705" t="s">
        <v>4019</v>
      </c>
      <c r="AE1705" s="135"/>
    </row>
    <row r="1706" spans="1:31" ht="12.5" customHeight="1" x14ac:dyDescent="0.35">
      <c r="A1706" t="s">
        <v>396</v>
      </c>
      <c r="C1706" t="s">
        <v>4020</v>
      </c>
      <c r="D1706" t="s">
        <v>385</v>
      </c>
      <c r="E1706" s="133">
        <v>45841</v>
      </c>
      <c r="F1706" s="2">
        <v>8.2384259259259254E-2</v>
      </c>
      <c r="G1706">
        <v>1</v>
      </c>
      <c r="H1706" s="133">
        <v>45840</v>
      </c>
      <c r="I1706" s="2">
        <v>0.5823842592592593</v>
      </c>
      <c r="J1706">
        <v>13</v>
      </c>
      <c r="R1706" t="s">
        <v>30</v>
      </c>
      <c r="W1706">
        <v>1</v>
      </c>
      <c r="X1706" t="s">
        <v>30</v>
      </c>
      <c r="AC1706" t="s">
        <v>4021</v>
      </c>
      <c r="AE1706" s="135"/>
    </row>
    <row r="1707" spans="1:31" ht="12.5" customHeight="1" x14ac:dyDescent="0.35">
      <c r="A1707" t="s">
        <v>396</v>
      </c>
      <c r="C1707" t="s">
        <v>4022</v>
      </c>
      <c r="D1707" t="s">
        <v>385</v>
      </c>
      <c r="E1707" s="133">
        <v>45841</v>
      </c>
      <c r="F1707" s="2">
        <v>8.2476851851851843E-2</v>
      </c>
      <c r="G1707">
        <v>1</v>
      </c>
      <c r="H1707" s="133">
        <v>45840</v>
      </c>
      <c r="I1707" s="2">
        <v>0.58247685185185183</v>
      </c>
      <c r="J1707">
        <v>13</v>
      </c>
      <c r="R1707" t="s">
        <v>384</v>
      </c>
      <c r="S1707">
        <v>2</v>
      </c>
      <c r="T1707">
        <v>2</v>
      </c>
      <c r="U1707">
        <v>1</v>
      </c>
      <c r="V1707" t="s">
        <v>4023</v>
      </c>
      <c r="W1707">
        <v>1</v>
      </c>
      <c r="X1707" t="s">
        <v>282</v>
      </c>
      <c r="AC1707" t="s">
        <v>4024</v>
      </c>
      <c r="AE1707" s="135"/>
    </row>
    <row r="1708" spans="1:31" ht="12.5" customHeight="1" x14ac:dyDescent="0.35">
      <c r="A1708" t="s">
        <v>396</v>
      </c>
      <c r="C1708" t="s">
        <v>4025</v>
      </c>
      <c r="D1708" t="s">
        <v>385</v>
      </c>
      <c r="E1708" s="133">
        <v>45841</v>
      </c>
      <c r="F1708" s="2">
        <v>8.2546296296296298E-2</v>
      </c>
      <c r="G1708">
        <v>1</v>
      </c>
      <c r="H1708" s="133">
        <v>45840</v>
      </c>
      <c r="I1708" s="2">
        <v>0.58254629629629628</v>
      </c>
      <c r="J1708">
        <v>13</v>
      </c>
      <c r="R1708" t="s">
        <v>30</v>
      </c>
      <c r="W1708">
        <v>1</v>
      </c>
      <c r="X1708" t="s">
        <v>355</v>
      </c>
      <c r="AC1708" t="s">
        <v>4026</v>
      </c>
      <c r="AE1708" s="135"/>
    </row>
    <row r="1709" spans="1:31" ht="12.5" customHeight="1" x14ac:dyDescent="0.35">
      <c r="A1709" t="s">
        <v>396</v>
      </c>
      <c r="C1709" t="s">
        <v>4027</v>
      </c>
      <c r="D1709" t="s">
        <v>385</v>
      </c>
      <c r="E1709" s="133">
        <v>45841</v>
      </c>
      <c r="F1709" s="2">
        <v>8.2638888888888887E-2</v>
      </c>
      <c r="G1709">
        <v>1</v>
      </c>
      <c r="H1709" s="133">
        <v>45840</v>
      </c>
      <c r="I1709" s="2">
        <v>0.58263888888888882</v>
      </c>
      <c r="J1709">
        <v>13</v>
      </c>
      <c r="R1709" t="s">
        <v>30</v>
      </c>
      <c r="W1709">
        <v>1</v>
      </c>
      <c r="X1709" t="s">
        <v>30</v>
      </c>
      <c r="AC1709" t="s">
        <v>4028</v>
      </c>
      <c r="AE1709" s="135"/>
    </row>
    <row r="1710" spans="1:31" ht="12.5" customHeight="1" x14ac:dyDescent="0.35">
      <c r="A1710" t="s">
        <v>396</v>
      </c>
      <c r="C1710" t="s">
        <v>4029</v>
      </c>
      <c r="D1710" t="s">
        <v>385</v>
      </c>
      <c r="E1710" s="133">
        <v>45841</v>
      </c>
      <c r="F1710" s="2">
        <v>8.2731481481481475E-2</v>
      </c>
      <c r="G1710">
        <v>1</v>
      </c>
      <c r="H1710" s="133">
        <v>45840</v>
      </c>
      <c r="I1710" s="2">
        <v>0.58273148148148146</v>
      </c>
      <c r="J1710">
        <v>13</v>
      </c>
      <c r="R1710" t="s">
        <v>30</v>
      </c>
      <c r="W1710">
        <v>1</v>
      </c>
      <c r="X1710" t="s">
        <v>30</v>
      </c>
      <c r="AC1710" t="s">
        <v>4030</v>
      </c>
      <c r="AE1710" s="135"/>
    </row>
    <row r="1711" spans="1:31" ht="12.5" customHeight="1" x14ac:dyDescent="0.35">
      <c r="A1711" t="s">
        <v>396</v>
      </c>
      <c r="C1711" t="s">
        <v>4031</v>
      </c>
      <c r="D1711" t="s">
        <v>385</v>
      </c>
      <c r="E1711" s="133">
        <v>45841</v>
      </c>
      <c r="F1711" s="2">
        <v>8.2824074074074064E-2</v>
      </c>
      <c r="G1711">
        <v>1</v>
      </c>
      <c r="H1711" s="133">
        <v>45840</v>
      </c>
      <c r="I1711" s="2">
        <v>0.58282407407407411</v>
      </c>
      <c r="J1711">
        <v>13</v>
      </c>
      <c r="R1711" t="s">
        <v>30</v>
      </c>
      <c r="W1711">
        <v>1</v>
      </c>
      <c r="X1711" t="s">
        <v>30</v>
      </c>
      <c r="AC1711" t="s">
        <v>4032</v>
      </c>
      <c r="AE1711" s="135"/>
    </row>
    <row r="1712" spans="1:31" ht="12.5" customHeight="1" x14ac:dyDescent="0.35">
      <c r="A1712" t="s">
        <v>396</v>
      </c>
      <c r="C1712" t="s">
        <v>4033</v>
      </c>
      <c r="D1712" t="s">
        <v>385</v>
      </c>
      <c r="E1712" s="133">
        <v>45841</v>
      </c>
      <c r="F1712" s="2">
        <v>8.2893518518518519E-2</v>
      </c>
      <c r="G1712">
        <v>1</v>
      </c>
      <c r="H1712" s="133">
        <v>45840</v>
      </c>
      <c r="I1712" s="2">
        <v>0.58289351851851856</v>
      </c>
      <c r="J1712">
        <v>13</v>
      </c>
      <c r="R1712" t="s">
        <v>30</v>
      </c>
      <c r="W1712">
        <v>1</v>
      </c>
      <c r="X1712" t="s">
        <v>30</v>
      </c>
      <c r="AC1712" t="s">
        <v>4034</v>
      </c>
      <c r="AE1712" s="135"/>
    </row>
    <row r="1713" spans="1:31" ht="12.5" customHeight="1" x14ac:dyDescent="0.35">
      <c r="A1713" t="s">
        <v>396</v>
      </c>
      <c r="C1713" t="s">
        <v>4035</v>
      </c>
      <c r="D1713" t="s">
        <v>385</v>
      </c>
      <c r="E1713" s="133">
        <v>45841</v>
      </c>
      <c r="F1713" s="2">
        <v>8.2986111111111108E-2</v>
      </c>
      <c r="G1713">
        <v>1</v>
      </c>
      <c r="H1713" s="133">
        <v>45840</v>
      </c>
      <c r="I1713" s="2">
        <v>0.58298611111111109</v>
      </c>
      <c r="J1713">
        <v>13</v>
      </c>
      <c r="R1713" t="s">
        <v>30</v>
      </c>
      <c r="W1713">
        <v>1</v>
      </c>
      <c r="X1713" t="s">
        <v>30</v>
      </c>
      <c r="AC1713" t="s">
        <v>4036</v>
      </c>
      <c r="AE1713" s="135"/>
    </row>
    <row r="1714" spans="1:31" ht="12.5" customHeight="1" x14ac:dyDescent="0.35">
      <c r="A1714" t="s">
        <v>396</v>
      </c>
      <c r="C1714" t="s">
        <v>4037</v>
      </c>
      <c r="D1714" t="s">
        <v>385</v>
      </c>
      <c r="E1714" s="133">
        <v>45841</v>
      </c>
      <c r="F1714" s="2">
        <v>8.3055555555555563E-2</v>
      </c>
      <c r="G1714">
        <v>1</v>
      </c>
      <c r="H1714" s="133">
        <v>45840</v>
      </c>
      <c r="I1714" s="2">
        <v>0.58305555555555555</v>
      </c>
      <c r="J1714">
        <v>13</v>
      </c>
      <c r="R1714" t="s">
        <v>30</v>
      </c>
      <c r="W1714">
        <v>1</v>
      </c>
      <c r="X1714" t="s">
        <v>30</v>
      </c>
      <c r="AC1714" t="s">
        <v>4038</v>
      </c>
      <c r="AE1714" s="135"/>
    </row>
    <row r="1715" spans="1:31" ht="12.5" customHeight="1" x14ac:dyDescent="0.35">
      <c r="A1715" t="s">
        <v>396</v>
      </c>
      <c r="C1715" t="s">
        <v>4039</v>
      </c>
      <c r="D1715" t="s">
        <v>385</v>
      </c>
      <c r="E1715" s="133">
        <v>45841</v>
      </c>
      <c r="F1715" s="2">
        <v>8.3148148148148152E-2</v>
      </c>
      <c r="G1715">
        <v>1</v>
      </c>
      <c r="H1715" s="133">
        <v>45840</v>
      </c>
      <c r="I1715" s="2">
        <v>0.58314814814814808</v>
      </c>
      <c r="J1715">
        <v>13</v>
      </c>
      <c r="R1715" t="s">
        <v>30</v>
      </c>
      <c r="W1715">
        <v>1</v>
      </c>
      <c r="X1715" t="s">
        <v>30</v>
      </c>
      <c r="AC1715" t="s">
        <v>4040</v>
      </c>
      <c r="AE1715" s="135"/>
    </row>
    <row r="1716" spans="1:31" ht="12.5" customHeight="1" x14ac:dyDescent="0.35">
      <c r="A1716" t="s">
        <v>396</v>
      </c>
      <c r="C1716" t="s">
        <v>4041</v>
      </c>
      <c r="D1716" t="s">
        <v>385</v>
      </c>
      <c r="E1716" s="133">
        <v>45841</v>
      </c>
      <c r="F1716" s="2">
        <v>8.3217592592592593E-2</v>
      </c>
      <c r="G1716">
        <v>1</v>
      </c>
      <c r="H1716" s="133">
        <v>45840</v>
      </c>
      <c r="I1716" s="2">
        <v>0.58321759259259254</v>
      </c>
      <c r="J1716">
        <v>13</v>
      </c>
      <c r="R1716" t="s">
        <v>30</v>
      </c>
      <c r="W1716">
        <v>1</v>
      </c>
      <c r="X1716" t="s">
        <v>30</v>
      </c>
      <c r="AC1716" t="s">
        <v>4042</v>
      </c>
      <c r="AE1716" s="135"/>
    </row>
    <row r="1717" spans="1:31" ht="12.5" customHeight="1" x14ac:dyDescent="0.35">
      <c r="A1717" t="s">
        <v>396</v>
      </c>
      <c r="C1717" t="s">
        <v>4043</v>
      </c>
      <c r="D1717" t="s">
        <v>385</v>
      </c>
      <c r="E1717" s="133">
        <v>45841</v>
      </c>
      <c r="F1717" s="2">
        <v>8.3310185185185182E-2</v>
      </c>
      <c r="G1717">
        <v>1</v>
      </c>
      <c r="H1717" s="133">
        <v>45840</v>
      </c>
      <c r="I1717" s="2">
        <v>0.58331018518518518</v>
      </c>
      <c r="J1717">
        <v>13</v>
      </c>
      <c r="R1717" t="s">
        <v>30</v>
      </c>
      <c r="W1717">
        <v>1</v>
      </c>
      <c r="X1717" t="s">
        <v>30</v>
      </c>
      <c r="AC1717" t="s">
        <v>4044</v>
      </c>
      <c r="AE1717" s="135"/>
    </row>
    <row r="1718" spans="1:31" ht="12.5" customHeight="1" x14ac:dyDescent="0.35">
      <c r="A1718" t="s">
        <v>396</v>
      </c>
      <c r="C1718" t="s">
        <v>4045</v>
      </c>
      <c r="D1718" t="s">
        <v>385</v>
      </c>
      <c r="E1718" s="133">
        <v>45841</v>
      </c>
      <c r="F1718" s="2">
        <v>8.3379629629629637E-2</v>
      </c>
      <c r="G1718">
        <v>2</v>
      </c>
      <c r="H1718" s="133">
        <v>45840</v>
      </c>
      <c r="I1718" s="2">
        <v>0.58337962962962964</v>
      </c>
      <c r="J1718">
        <v>14</v>
      </c>
      <c r="R1718" t="s">
        <v>30</v>
      </c>
      <c r="W1718">
        <v>1</v>
      </c>
      <c r="X1718" t="s">
        <v>30</v>
      </c>
      <c r="AC1718" t="s">
        <v>4046</v>
      </c>
      <c r="AE1718" s="135"/>
    </row>
    <row r="1719" spans="1:31" ht="12.5" customHeight="1" x14ac:dyDescent="0.35">
      <c r="A1719" t="s">
        <v>396</v>
      </c>
      <c r="C1719" t="s">
        <v>4047</v>
      </c>
      <c r="D1719" t="s">
        <v>385</v>
      </c>
      <c r="E1719" s="133">
        <v>45841</v>
      </c>
      <c r="F1719" s="2">
        <v>8.3472222222222225E-2</v>
      </c>
      <c r="G1719">
        <v>2</v>
      </c>
      <c r="H1719" s="133">
        <v>45840</v>
      </c>
      <c r="I1719" s="2">
        <v>0.58347222222222228</v>
      </c>
      <c r="J1719">
        <v>14</v>
      </c>
      <c r="R1719" t="s">
        <v>30</v>
      </c>
      <c r="W1719">
        <v>1</v>
      </c>
      <c r="X1719" t="s">
        <v>30</v>
      </c>
      <c r="AC1719" t="s">
        <v>4048</v>
      </c>
      <c r="AE1719" s="135"/>
    </row>
    <row r="1720" spans="1:31" ht="12.5" customHeight="1" x14ac:dyDescent="0.35">
      <c r="A1720" t="s">
        <v>396</v>
      </c>
      <c r="C1720" t="s">
        <v>4049</v>
      </c>
      <c r="D1720" t="s">
        <v>385</v>
      </c>
      <c r="E1720" s="133">
        <v>45841</v>
      </c>
      <c r="F1720" s="2">
        <v>8.3564814814814814E-2</v>
      </c>
      <c r="G1720">
        <v>2</v>
      </c>
      <c r="H1720" s="133">
        <v>45840</v>
      </c>
      <c r="I1720" s="2">
        <v>0.58356481481481481</v>
      </c>
      <c r="J1720">
        <v>14</v>
      </c>
      <c r="R1720" t="s">
        <v>30</v>
      </c>
      <c r="W1720">
        <v>1</v>
      </c>
      <c r="X1720" t="s">
        <v>30</v>
      </c>
      <c r="AC1720" t="s">
        <v>4050</v>
      </c>
      <c r="AE1720" s="135"/>
    </row>
    <row r="1721" spans="1:31" ht="12.5" customHeight="1" x14ac:dyDescent="0.35">
      <c r="A1721" t="s">
        <v>396</v>
      </c>
      <c r="C1721" t="s">
        <v>4051</v>
      </c>
      <c r="D1721" t="s">
        <v>385</v>
      </c>
      <c r="E1721" s="133">
        <v>45841</v>
      </c>
      <c r="F1721" s="2">
        <v>8.3634259259259255E-2</v>
      </c>
      <c r="G1721">
        <v>2</v>
      </c>
      <c r="H1721" s="133">
        <v>45840</v>
      </c>
      <c r="I1721" s="2">
        <v>0.58363425925925927</v>
      </c>
      <c r="J1721">
        <v>14</v>
      </c>
      <c r="R1721" t="s">
        <v>30</v>
      </c>
      <c r="W1721">
        <v>1</v>
      </c>
      <c r="X1721" t="s">
        <v>30</v>
      </c>
      <c r="AC1721" t="s">
        <v>4052</v>
      </c>
      <c r="AE1721" s="135"/>
    </row>
    <row r="1722" spans="1:31" ht="12.5" customHeight="1" x14ac:dyDescent="0.35">
      <c r="A1722" t="s">
        <v>396</v>
      </c>
      <c r="C1722" t="s">
        <v>4053</v>
      </c>
      <c r="D1722" t="s">
        <v>385</v>
      </c>
      <c r="E1722" s="133">
        <v>45841</v>
      </c>
      <c r="F1722" s="2">
        <v>8.3726851851851858E-2</v>
      </c>
      <c r="G1722">
        <v>2</v>
      </c>
      <c r="H1722" s="133">
        <v>45840</v>
      </c>
      <c r="I1722" s="2">
        <v>0.5837268518518518</v>
      </c>
      <c r="J1722">
        <v>14</v>
      </c>
      <c r="R1722" t="s">
        <v>30</v>
      </c>
      <c r="W1722">
        <v>1</v>
      </c>
      <c r="X1722" t="s">
        <v>30</v>
      </c>
      <c r="AC1722" t="s">
        <v>4054</v>
      </c>
      <c r="AE1722" s="135"/>
    </row>
    <row r="1723" spans="1:31" ht="12.5" customHeight="1" x14ac:dyDescent="0.35">
      <c r="A1723" t="s">
        <v>396</v>
      </c>
      <c r="C1723" t="s">
        <v>4055</v>
      </c>
      <c r="D1723" t="s">
        <v>385</v>
      </c>
      <c r="E1723" s="133">
        <v>45841</v>
      </c>
      <c r="F1723" s="2">
        <v>8.3796296296296299E-2</v>
      </c>
      <c r="G1723">
        <v>2</v>
      </c>
      <c r="H1723" s="133">
        <v>45840</v>
      </c>
      <c r="I1723" s="2">
        <v>0.58379629629629626</v>
      </c>
      <c r="J1723">
        <v>14</v>
      </c>
      <c r="R1723" t="s">
        <v>30</v>
      </c>
      <c r="W1723">
        <v>1</v>
      </c>
      <c r="X1723" t="s">
        <v>30</v>
      </c>
      <c r="AC1723" t="s">
        <v>4056</v>
      </c>
      <c r="AE1723" s="135"/>
    </row>
    <row r="1724" spans="1:31" ht="12.5" customHeight="1" x14ac:dyDescent="0.35">
      <c r="A1724" t="s">
        <v>396</v>
      </c>
      <c r="C1724" t="s">
        <v>4057</v>
      </c>
      <c r="D1724" t="s">
        <v>385</v>
      </c>
      <c r="E1724" s="133">
        <v>45841</v>
      </c>
      <c r="F1724" s="2">
        <v>8.3888888888888888E-2</v>
      </c>
      <c r="G1724">
        <v>2</v>
      </c>
      <c r="H1724" s="133">
        <v>45840</v>
      </c>
      <c r="I1724" s="2">
        <v>0.5838888888888889</v>
      </c>
      <c r="J1724">
        <v>14</v>
      </c>
      <c r="R1724" t="s">
        <v>30</v>
      </c>
      <c r="W1724">
        <v>1</v>
      </c>
      <c r="X1724" t="s">
        <v>30</v>
      </c>
      <c r="AC1724" t="s">
        <v>4058</v>
      </c>
      <c r="AE1724" s="135"/>
    </row>
    <row r="1725" spans="1:31" ht="12.5" customHeight="1" x14ac:dyDescent="0.35">
      <c r="A1725" t="s">
        <v>396</v>
      </c>
      <c r="C1725" t="s">
        <v>4059</v>
      </c>
      <c r="D1725" t="s">
        <v>385</v>
      </c>
      <c r="E1725" s="133">
        <v>45841</v>
      </c>
      <c r="F1725" s="2">
        <v>8.3958333333333343E-2</v>
      </c>
      <c r="G1725">
        <v>2</v>
      </c>
      <c r="H1725" s="133">
        <v>45840</v>
      </c>
      <c r="I1725" s="2">
        <v>0.58395833333333336</v>
      </c>
      <c r="J1725">
        <v>14</v>
      </c>
      <c r="R1725" t="s">
        <v>30</v>
      </c>
      <c r="W1725">
        <v>1</v>
      </c>
      <c r="X1725" t="s">
        <v>30</v>
      </c>
      <c r="AC1725" t="s">
        <v>4060</v>
      </c>
      <c r="AE1725" s="135"/>
    </row>
    <row r="1726" spans="1:31" ht="12.5" customHeight="1" x14ac:dyDescent="0.35">
      <c r="A1726" t="s">
        <v>396</v>
      </c>
      <c r="C1726" t="s">
        <v>4061</v>
      </c>
      <c r="D1726" t="s">
        <v>385</v>
      </c>
      <c r="E1726" s="133">
        <v>45841</v>
      </c>
      <c r="F1726" s="2">
        <v>8.4027777777777771E-2</v>
      </c>
      <c r="G1726">
        <v>2</v>
      </c>
      <c r="H1726" s="133">
        <v>45840</v>
      </c>
      <c r="I1726" s="2">
        <v>0.58402777777777781</v>
      </c>
      <c r="J1726">
        <v>14</v>
      </c>
      <c r="R1726" t="s">
        <v>30</v>
      </c>
      <c r="W1726">
        <v>1</v>
      </c>
      <c r="X1726" t="s">
        <v>30</v>
      </c>
      <c r="AC1726" t="s">
        <v>4062</v>
      </c>
      <c r="AE1726" s="135"/>
    </row>
    <row r="1727" spans="1:31" ht="12.5" customHeight="1" x14ac:dyDescent="0.35">
      <c r="A1727" t="s">
        <v>396</v>
      </c>
      <c r="C1727" t="s">
        <v>4063</v>
      </c>
      <c r="D1727" t="s">
        <v>385</v>
      </c>
      <c r="E1727" s="133">
        <v>45841</v>
      </c>
      <c r="F1727" s="2">
        <v>8.4120370370370359E-2</v>
      </c>
      <c r="G1727">
        <v>2</v>
      </c>
      <c r="H1727" s="133">
        <v>45840</v>
      </c>
      <c r="I1727" s="2">
        <v>0.58412037037037035</v>
      </c>
      <c r="J1727">
        <v>14</v>
      </c>
      <c r="R1727" t="s">
        <v>30</v>
      </c>
      <c r="W1727">
        <v>1</v>
      </c>
      <c r="X1727" t="s">
        <v>30</v>
      </c>
      <c r="AC1727" t="s">
        <v>4064</v>
      </c>
      <c r="AE1727" s="135"/>
    </row>
    <row r="1728" spans="1:31" ht="12.5" customHeight="1" x14ac:dyDescent="0.35">
      <c r="A1728" t="s">
        <v>396</v>
      </c>
      <c r="C1728" t="s">
        <v>4065</v>
      </c>
      <c r="D1728" t="s">
        <v>385</v>
      </c>
      <c r="E1728" s="133">
        <v>45841</v>
      </c>
      <c r="F1728" s="2">
        <v>8.4189814814814815E-2</v>
      </c>
      <c r="G1728">
        <v>2</v>
      </c>
      <c r="H1728" s="133">
        <v>45840</v>
      </c>
      <c r="I1728" s="2">
        <v>0.5841898148148148</v>
      </c>
      <c r="J1728">
        <v>14</v>
      </c>
      <c r="R1728" t="s">
        <v>30</v>
      </c>
      <c r="W1728">
        <v>1</v>
      </c>
      <c r="X1728" t="s">
        <v>30</v>
      </c>
      <c r="AC1728" t="s">
        <v>4066</v>
      </c>
      <c r="AE1728" s="135"/>
    </row>
    <row r="1729" spans="1:31" ht="12.5" customHeight="1" x14ac:dyDescent="0.35">
      <c r="A1729" t="s">
        <v>396</v>
      </c>
      <c r="C1729" t="s">
        <v>4067</v>
      </c>
      <c r="D1729" t="s">
        <v>385</v>
      </c>
      <c r="E1729" s="133">
        <v>45841</v>
      </c>
      <c r="F1729" s="2">
        <v>8.4282407407407403E-2</v>
      </c>
      <c r="G1729">
        <v>2</v>
      </c>
      <c r="H1729" s="133">
        <v>45840</v>
      </c>
      <c r="I1729" s="2">
        <v>0.58428240740740744</v>
      </c>
      <c r="J1729">
        <v>14</v>
      </c>
      <c r="R1729" t="s">
        <v>30</v>
      </c>
      <c r="W1729">
        <v>1</v>
      </c>
      <c r="X1729" t="s">
        <v>30</v>
      </c>
      <c r="AC1729" t="s">
        <v>4068</v>
      </c>
      <c r="AE1729" s="135"/>
    </row>
    <row r="1730" spans="1:31" ht="12.5" customHeight="1" x14ac:dyDescent="0.35">
      <c r="A1730" t="s">
        <v>396</v>
      </c>
      <c r="C1730" t="s">
        <v>4069</v>
      </c>
      <c r="D1730" t="s">
        <v>385</v>
      </c>
      <c r="E1730" s="133">
        <v>45841</v>
      </c>
      <c r="F1730" s="2">
        <v>8.4351851851851845E-2</v>
      </c>
      <c r="G1730">
        <v>2</v>
      </c>
      <c r="H1730" s="133">
        <v>45840</v>
      </c>
      <c r="I1730" s="2">
        <v>0.5843518518518519</v>
      </c>
      <c r="J1730">
        <v>14</v>
      </c>
      <c r="R1730" t="s">
        <v>30</v>
      </c>
      <c r="W1730">
        <v>1</v>
      </c>
      <c r="X1730" t="s">
        <v>30</v>
      </c>
      <c r="AC1730" t="s">
        <v>4070</v>
      </c>
      <c r="AE1730" s="135"/>
    </row>
    <row r="1731" spans="1:31" ht="12.5" customHeight="1" x14ac:dyDescent="0.35">
      <c r="A1731" t="s">
        <v>396</v>
      </c>
      <c r="C1731" t="s">
        <v>4071</v>
      </c>
      <c r="D1731" t="s">
        <v>385</v>
      </c>
      <c r="E1731" s="133">
        <v>45841</v>
      </c>
      <c r="F1731" s="2">
        <v>8.4444444444444447E-2</v>
      </c>
      <c r="G1731">
        <v>2</v>
      </c>
      <c r="H1731" s="133">
        <v>45840</v>
      </c>
      <c r="I1731" s="2">
        <v>0.58444444444444443</v>
      </c>
      <c r="J1731">
        <v>14</v>
      </c>
      <c r="R1731" t="s">
        <v>30</v>
      </c>
      <c r="W1731">
        <v>1</v>
      </c>
      <c r="X1731" t="s">
        <v>30</v>
      </c>
      <c r="AC1731" t="s">
        <v>4072</v>
      </c>
      <c r="AE1731" s="135"/>
    </row>
    <row r="1732" spans="1:31" ht="12.5" customHeight="1" x14ac:dyDescent="0.35">
      <c r="A1732" t="s">
        <v>396</v>
      </c>
      <c r="C1732" t="s">
        <v>4073</v>
      </c>
      <c r="D1732" t="s">
        <v>385</v>
      </c>
      <c r="E1732" s="133">
        <v>45841</v>
      </c>
      <c r="F1732" s="2">
        <v>8.4513888888888888E-2</v>
      </c>
      <c r="G1732">
        <v>2</v>
      </c>
      <c r="H1732" s="133">
        <v>45840</v>
      </c>
      <c r="I1732" s="2">
        <v>0.58451388888888889</v>
      </c>
      <c r="J1732">
        <v>14</v>
      </c>
      <c r="R1732" t="s">
        <v>30</v>
      </c>
      <c r="W1732">
        <v>1</v>
      </c>
      <c r="X1732" t="s">
        <v>30</v>
      </c>
      <c r="AC1732" t="s">
        <v>4074</v>
      </c>
      <c r="AE1732" s="135"/>
    </row>
    <row r="1733" spans="1:31" ht="12.5" customHeight="1" x14ac:dyDescent="0.35">
      <c r="A1733" t="s">
        <v>396</v>
      </c>
      <c r="C1733" t="s">
        <v>4075</v>
      </c>
      <c r="D1733" t="s">
        <v>385</v>
      </c>
      <c r="E1733" s="133">
        <v>45841</v>
      </c>
      <c r="F1733" s="2">
        <v>8.458333333333333E-2</v>
      </c>
      <c r="G1733">
        <v>2</v>
      </c>
      <c r="H1733" s="133">
        <v>45840</v>
      </c>
      <c r="I1733" s="2">
        <v>0.58458333333333334</v>
      </c>
      <c r="J1733">
        <v>14</v>
      </c>
      <c r="R1733" t="s">
        <v>30</v>
      </c>
      <c r="W1733">
        <v>1</v>
      </c>
      <c r="X1733" t="s">
        <v>30</v>
      </c>
      <c r="AC1733" t="s">
        <v>4076</v>
      </c>
      <c r="AE1733" s="135"/>
    </row>
    <row r="1734" spans="1:31" ht="12.5" customHeight="1" x14ac:dyDescent="0.35">
      <c r="A1734" t="s">
        <v>396</v>
      </c>
      <c r="C1734" t="s">
        <v>4077</v>
      </c>
      <c r="D1734" t="s">
        <v>385</v>
      </c>
      <c r="E1734" s="133">
        <v>45841</v>
      </c>
      <c r="F1734" s="2">
        <v>8.4675925925925932E-2</v>
      </c>
      <c r="G1734">
        <v>2</v>
      </c>
      <c r="H1734" s="133">
        <v>45840</v>
      </c>
      <c r="I1734" s="2">
        <v>0.58467592592592588</v>
      </c>
      <c r="J1734">
        <v>14</v>
      </c>
      <c r="R1734" t="s">
        <v>30</v>
      </c>
      <c r="W1734">
        <v>1</v>
      </c>
      <c r="X1734" t="s">
        <v>30</v>
      </c>
      <c r="AC1734" t="s">
        <v>4078</v>
      </c>
      <c r="AE1734" s="135"/>
    </row>
    <row r="1735" spans="1:31" ht="12.5" customHeight="1" x14ac:dyDescent="0.35">
      <c r="A1735" t="s">
        <v>396</v>
      </c>
      <c r="C1735" t="s">
        <v>4079</v>
      </c>
      <c r="D1735" t="s">
        <v>385</v>
      </c>
      <c r="E1735" s="133">
        <v>45841</v>
      </c>
      <c r="F1735" s="2">
        <v>8.4768518518518521E-2</v>
      </c>
      <c r="G1735">
        <v>2</v>
      </c>
      <c r="H1735" s="133">
        <v>45840</v>
      </c>
      <c r="I1735" s="2">
        <v>0.58476851851851852</v>
      </c>
      <c r="J1735">
        <v>14</v>
      </c>
      <c r="R1735" t="s">
        <v>30</v>
      </c>
      <c r="W1735">
        <v>1</v>
      </c>
      <c r="X1735" t="s">
        <v>30</v>
      </c>
      <c r="AC1735" t="s">
        <v>4080</v>
      </c>
      <c r="AE1735" s="135"/>
    </row>
    <row r="1736" spans="1:31" ht="12.5" customHeight="1" x14ac:dyDescent="0.35">
      <c r="A1736" t="s">
        <v>396</v>
      </c>
      <c r="C1736" t="s">
        <v>4081</v>
      </c>
      <c r="D1736" t="s">
        <v>385</v>
      </c>
      <c r="E1736" s="133">
        <v>45841</v>
      </c>
      <c r="F1736" s="2">
        <v>8.4837962962962962E-2</v>
      </c>
      <c r="G1736">
        <v>2</v>
      </c>
      <c r="H1736" s="133">
        <v>45840</v>
      </c>
      <c r="I1736" s="2">
        <v>0.58483796296296298</v>
      </c>
      <c r="J1736">
        <v>14</v>
      </c>
      <c r="R1736" t="s">
        <v>30</v>
      </c>
      <c r="W1736">
        <v>1</v>
      </c>
      <c r="X1736" t="s">
        <v>30</v>
      </c>
      <c r="AC1736" t="s">
        <v>4082</v>
      </c>
      <c r="AE1736" s="135"/>
    </row>
    <row r="1737" spans="1:31" ht="12.5" customHeight="1" x14ac:dyDescent="0.35">
      <c r="A1737" t="s">
        <v>396</v>
      </c>
      <c r="C1737" t="s">
        <v>4083</v>
      </c>
      <c r="D1737" t="s">
        <v>385</v>
      </c>
      <c r="E1737" s="133">
        <v>45841</v>
      </c>
      <c r="F1737" s="2">
        <v>8.4930555555555551E-2</v>
      </c>
      <c r="G1737">
        <v>2</v>
      </c>
      <c r="H1737" s="133">
        <v>45840</v>
      </c>
      <c r="I1737" s="2">
        <v>0.58493055555555562</v>
      </c>
      <c r="J1737">
        <v>14</v>
      </c>
      <c r="R1737" t="s">
        <v>30</v>
      </c>
      <c r="W1737">
        <v>1</v>
      </c>
      <c r="X1737" t="s">
        <v>30</v>
      </c>
      <c r="AC1737" t="s">
        <v>4084</v>
      </c>
      <c r="AE1737" s="135"/>
    </row>
    <row r="1738" spans="1:31" ht="12.5" customHeight="1" x14ac:dyDescent="0.35">
      <c r="A1738" t="s">
        <v>396</v>
      </c>
      <c r="C1738" t="s">
        <v>4085</v>
      </c>
      <c r="D1738" t="s">
        <v>385</v>
      </c>
      <c r="E1738" s="133">
        <v>45841</v>
      </c>
      <c r="F1738" s="2">
        <v>8.5023148148148153E-2</v>
      </c>
      <c r="G1738">
        <v>2</v>
      </c>
      <c r="H1738" s="133">
        <v>45840</v>
      </c>
      <c r="I1738" s="2">
        <v>0.58502314814814815</v>
      </c>
      <c r="J1738">
        <v>14</v>
      </c>
      <c r="R1738" t="s">
        <v>30</v>
      </c>
      <c r="W1738">
        <v>1</v>
      </c>
      <c r="X1738" t="s">
        <v>30</v>
      </c>
      <c r="AC1738" t="s">
        <v>4086</v>
      </c>
      <c r="AE1738" s="135"/>
    </row>
    <row r="1739" spans="1:31" ht="12.5" customHeight="1" x14ac:dyDescent="0.35">
      <c r="A1739" t="s">
        <v>396</v>
      </c>
      <c r="C1739" t="s">
        <v>4087</v>
      </c>
      <c r="D1739" t="s">
        <v>385</v>
      </c>
      <c r="E1739" s="133">
        <v>45841</v>
      </c>
      <c r="F1739" s="2">
        <v>8.5092592592592595E-2</v>
      </c>
      <c r="G1739">
        <v>2</v>
      </c>
      <c r="H1739" s="133">
        <v>45840</v>
      </c>
      <c r="I1739" s="2">
        <v>0.58509259259259261</v>
      </c>
      <c r="J1739">
        <v>14</v>
      </c>
      <c r="R1739" t="s">
        <v>30</v>
      </c>
      <c r="W1739">
        <v>1</v>
      </c>
      <c r="X1739" t="s">
        <v>30</v>
      </c>
      <c r="AC1739" t="s">
        <v>4088</v>
      </c>
      <c r="AE1739" s="135"/>
    </row>
    <row r="1740" spans="1:31" ht="12.5" customHeight="1" x14ac:dyDescent="0.35">
      <c r="A1740" t="s">
        <v>396</v>
      </c>
      <c r="C1740" t="s">
        <v>4089</v>
      </c>
      <c r="D1740" t="s">
        <v>385</v>
      </c>
      <c r="E1740" s="133">
        <v>45841</v>
      </c>
      <c r="F1740" s="2">
        <v>8.5185185185185183E-2</v>
      </c>
      <c r="G1740">
        <v>2</v>
      </c>
      <c r="H1740" s="133">
        <v>45840</v>
      </c>
      <c r="I1740" s="2">
        <v>0.58518518518518514</v>
      </c>
      <c r="J1740">
        <v>14</v>
      </c>
      <c r="R1740" t="s">
        <v>30</v>
      </c>
      <c r="W1740">
        <v>1</v>
      </c>
      <c r="X1740" t="s">
        <v>30</v>
      </c>
      <c r="AC1740" t="s">
        <v>4090</v>
      </c>
      <c r="AE1740" s="135"/>
    </row>
    <row r="1741" spans="1:31" ht="12.5" customHeight="1" x14ac:dyDescent="0.35">
      <c r="A1741" t="s">
        <v>396</v>
      </c>
      <c r="C1741" t="s">
        <v>4091</v>
      </c>
      <c r="D1741" t="s">
        <v>385</v>
      </c>
      <c r="E1741" s="133">
        <v>45841</v>
      </c>
      <c r="F1741" s="2">
        <v>8.5254629629629639E-2</v>
      </c>
      <c r="G1741">
        <v>2</v>
      </c>
      <c r="H1741" s="133">
        <v>45840</v>
      </c>
      <c r="I1741" s="2">
        <v>0.5852546296296296</v>
      </c>
      <c r="J1741">
        <v>14</v>
      </c>
      <c r="R1741" t="s">
        <v>30</v>
      </c>
      <c r="W1741">
        <v>1</v>
      </c>
      <c r="X1741" t="s">
        <v>30</v>
      </c>
      <c r="AC1741" t="s">
        <v>4092</v>
      </c>
      <c r="AE1741" s="135"/>
    </row>
    <row r="1742" spans="1:31" ht="12.5" customHeight="1" x14ac:dyDescent="0.35">
      <c r="A1742" t="s">
        <v>396</v>
      </c>
      <c r="C1742" t="s">
        <v>4093</v>
      </c>
      <c r="D1742" t="s">
        <v>385</v>
      </c>
      <c r="E1742" s="133">
        <v>45841</v>
      </c>
      <c r="F1742" s="2">
        <v>8.5324074074074066E-2</v>
      </c>
      <c r="G1742">
        <v>2</v>
      </c>
      <c r="H1742" s="133">
        <v>45840</v>
      </c>
      <c r="I1742" s="2">
        <v>0.58532407407407405</v>
      </c>
      <c r="J1742">
        <v>14</v>
      </c>
      <c r="R1742" t="s">
        <v>30</v>
      </c>
      <c r="W1742">
        <v>1</v>
      </c>
      <c r="X1742" t="s">
        <v>30</v>
      </c>
      <c r="AC1742" t="s">
        <v>4094</v>
      </c>
      <c r="AE1742" s="135"/>
    </row>
    <row r="1743" spans="1:31" ht="12.5" customHeight="1" x14ac:dyDescent="0.35">
      <c r="A1743" t="s">
        <v>396</v>
      </c>
      <c r="C1743" t="s">
        <v>4095</v>
      </c>
      <c r="D1743" t="s">
        <v>385</v>
      </c>
      <c r="E1743" s="133">
        <v>45841</v>
      </c>
      <c r="F1743" s="2">
        <v>8.5416666666666655E-2</v>
      </c>
      <c r="G1743">
        <v>2</v>
      </c>
      <c r="H1743" s="133">
        <v>45840</v>
      </c>
      <c r="I1743" s="2">
        <v>0.5854166666666667</v>
      </c>
      <c r="J1743">
        <v>14</v>
      </c>
      <c r="R1743" t="s">
        <v>30</v>
      </c>
      <c r="W1743">
        <v>1</v>
      </c>
      <c r="X1743" t="s">
        <v>30</v>
      </c>
      <c r="AC1743" t="s">
        <v>4096</v>
      </c>
      <c r="AE1743" s="135"/>
    </row>
    <row r="1744" spans="1:31" ht="12.5" customHeight="1" x14ac:dyDescent="0.35">
      <c r="A1744" t="s">
        <v>396</v>
      </c>
      <c r="C1744" t="s">
        <v>4097</v>
      </c>
      <c r="D1744" t="s">
        <v>385</v>
      </c>
      <c r="E1744" s="133">
        <v>45841</v>
      </c>
      <c r="F1744" s="2">
        <v>8.5509259259259271E-2</v>
      </c>
      <c r="G1744">
        <v>2</v>
      </c>
      <c r="H1744" s="133">
        <v>45840</v>
      </c>
      <c r="I1744" s="2">
        <v>0.58550925925925923</v>
      </c>
      <c r="J1744">
        <v>14</v>
      </c>
      <c r="R1744" t="s">
        <v>30</v>
      </c>
      <c r="W1744">
        <v>1</v>
      </c>
      <c r="X1744" t="s">
        <v>30</v>
      </c>
      <c r="AC1744" t="s">
        <v>4098</v>
      </c>
      <c r="AE1744" s="135"/>
    </row>
    <row r="1745" spans="1:31" ht="12.5" customHeight="1" x14ac:dyDescent="0.35">
      <c r="A1745" t="s">
        <v>396</v>
      </c>
      <c r="C1745" t="s">
        <v>4099</v>
      </c>
      <c r="D1745" t="s">
        <v>385</v>
      </c>
      <c r="E1745" s="133">
        <v>45841</v>
      </c>
      <c r="F1745" s="2">
        <v>8.560185185185186E-2</v>
      </c>
      <c r="G1745">
        <v>2</v>
      </c>
      <c r="H1745" s="133">
        <v>45840</v>
      </c>
      <c r="I1745" s="2">
        <v>0.58560185185185187</v>
      </c>
      <c r="J1745">
        <v>14</v>
      </c>
      <c r="R1745" t="s">
        <v>30</v>
      </c>
      <c r="W1745">
        <v>1</v>
      </c>
      <c r="X1745" t="s">
        <v>30</v>
      </c>
      <c r="AC1745" t="s">
        <v>4100</v>
      </c>
      <c r="AE1745" s="135"/>
    </row>
    <row r="1746" spans="1:31" ht="12.5" customHeight="1" x14ac:dyDescent="0.35">
      <c r="A1746" t="s">
        <v>396</v>
      </c>
      <c r="C1746" t="s">
        <v>4101</v>
      </c>
      <c r="D1746" t="s">
        <v>385</v>
      </c>
      <c r="E1746" s="133">
        <v>45841</v>
      </c>
      <c r="F1746" s="2">
        <v>8.5694444444444448E-2</v>
      </c>
      <c r="G1746">
        <v>2</v>
      </c>
      <c r="H1746" s="133">
        <v>45840</v>
      </c>
      <c r="I1746" s="2">
        <v>0.58569444444444441</v>
      </c>
      <c r="J1746">
        <v>14</v>
      </c>
      <c r="R1746" t="s">
        <v>30</v>
      </c>
      <c r="W1746">
        <v>1</v>
      </c>
      <c r="X1746" t="s">
        <v>30</v>
      </c>
      <c r="AC1746" t="s">
        <v>4102</v>
      </c>
      <c r="AE1746" s="135"/>
    </row>
    <row r="1747" spans="1:31" ht="12.5" customHeight="1" x14ac:dyDescent="0.35">
      <c r="A1747" t="s">
        <v>396</v>
      </c>
      <c r="C1747" t="s">
        <v>4103</v>
      </c>
      <c r="D1747" t="s">
        <v>385</v>
      </c>
      <c r="E1747" s="133">
        <v>45841</v>
      </c>
      <c r="F1747" s="2">
        <v>8.5763888888888876E-2</v>
      </c>
      <c r="G1747">
        <v>2</v>
      </c>
      <c r="H1747" s="133">
        <v>45840</v>
      </c>
      <c r="I1747" s="2">
        <v>0.58576388888888886</v>
      </c>
      <c r="J1747">
        <v>14</v>
      </c>
      <c r="R1747" t="s">
        <v>30</v>
      </c>
      <c r="W1747">
        <v>1</v>
      </c>
      <c r="X1747" t="s">
        <v>30</v>
      </c>
      <c r="AC1747" t="s">
        <v>4104</v>
      </c>
      <c r="AE1747" s="135"/>
    </row>
    <row r="1748" spans="1:31" ht="12.5" customHeight="1" x14ac:dyDescent="0.35">
      <c r="A1748" t="s">
        <v>396</v>
      </c>
      <c r="C1748" t="s">
        <v>4105</v>
      </c>
      <c r="D1748" t="s">
        <v>385</v>
      </c>
      <c r="E1748" s="133">
        <v>45841</v>
      </c>
      <c r="F1748" s="2">
        <v>8.5856481481481492E-2</v>
      </c>
      <c r="G1748">
        <v>2</v>
      </c>
      <c r="H1748" s="133">
        <v>45840</v>
      </c>
      <c r="I1748" s="2">
        <v>0.58585648148148151</v>
      </c>
      <c r="J1748">
        <v>14</v>
      </c>
      <c r="R1748" t="s">
        <v>30</v>
      </c>
      <c r="W1748">
        <v>1</v>
      </c>
      <c r="X1748" t="s">
        <v>30</v>
      </c>
      <c r="AC1748" t="s">
        <v>4106</v>
      </c>
      <c r="AE1748" s="135"/>
    </row>
    <row r="1749" spans="1:31" ht="12.5" customHeight="1" x14ac:dyDescent="0.35">
      <c r="A1749" t="s">
        <v>396</v>
      </c>
      <c r="C1749" t="s">
        <v>4107</v>
      </c>
      <c r="D1749" t="s">
        <v>385</v>
      </c>
      <c r="E1749" s="133">
        <v>45841</v>
      </c>
      <c r="F1749" s="2">
        <v>8.5925925925925919E-2</v>
      </c>
      <c r="G1749">
        <v>2</v>
      </c>
      <c r="H1749" s="133">
        <v>45840</v>
      </c>
      <c r="I1749" s="2">
        <v>0.58592592592592596</v>
      </c>
      <c r="J1749">
        <v>14</v>
      </c>
      <c r="R1749" t="s">
        <v>30</v>
      </c>
      <c r="W1749">
        <v>1</v>
      </c>
      <c r="X1749" t="s">
        <v>30</v>
      </c>
      <c r="AC1749" t="s">
        <v>4108</v>
      </c>
      <c r="AE1749" s="135"/>
    </row>
    <row r="1750" spans="1:31" ht="12.5" customHeight="1" x14ac:dyDescent="0.35">
      <c r="A1750" t="s">
        <v>396</v>
      </c>
      <c r="C1750" t="s">
        <v>4109</v>
      </c>
      <c r="D1750" t="s">
        <v>385</v>
      </c>
      <c r="E1750" s="133">
        <v>45841</v>
      </c>
      <c r="F1750" s="2">
        <v>8.5995370370370375E-2</v>
      </c>
      <c r="G1750">
        <v>2</v>
      </c>
      <c r="H1750" s="133">
        <v>45840</v>
      </c>
      <c r="I1750" s="2">
        <v>0.58599537037037031</v>
      </c>
      <c r="J1750">
        <v>14</v>
      </c>
      <c r="R1750" t="s">
        <v>30</v>
      </c>
      <c r="W1750">
        <v>1</v>
      </c>
      <c r="X1750" t="s">
        <v>30</v>
      </c>
      <c r="AC1750" t="s">
        <v>4110</v>
      </c>
      <c r="AE1750" s="135"/>
    </row>
    <row r="1751" spans="1:31" ht="12.5" customHeight="1" x14ac:dyDescent="0.35">
      <c r="A1751" t="s">
        <v>396</v>
      </c>
      <c r="C1751" t="s">
        <v>4111</v>
      </c>
      <c r="D1751" t="s">
        <v>385</v>
      </c>
      <c r="E1751" s="133">
        <v>45841</v>
      </c>
      <c r="F1751" s="2">
        <v>8.6087962962962963E-2</v>
      </c>
      <c r="G1751">
        <v>2</v>
      </c>
      <c r="H1751" s="133">
        <v>45840</v>
      </c>
      <c r="I1751" s="2">
        <v>0.58608796296296295</v>
      </c>
      <c r="J1751">
        <v>14</v>
      </c>
      <c r="R1751" t="s">
        <v>30</v>
      </c>
      <c r="W1751">
        <v>1</v>
      </c>
      <c r="X1751" t="s">
        <v>30</v>
      </c>
      <c r="AC1751" t="s">
        <v>4112</v>
      </c>
      <c r="AE1751" s="135"/>
    </row>
    <row r="1752" spans="1:31" ht="12.5" customHeight="1" x14ac:dyDescent="0.35">
      <c r="A1752" t="s">
        <v>396</v>
      </c>
      <c r="C1752" t="s">
        <v>4113</v>
      </c>
      <c r="D1752" t="s">
        <v>385</v>
      </c>
      <c r="E1752" s="133">
        <v>45841</v>
      </c>
      <c r="F1752" s="2">
        <v>8.6157407407407405E-2</v>
      </c>
      <c r="G1752">
        <v>2</v>
      </c>
      <c r="H1752" s="133">
        <v>45840</v>
      </c>
      <c r="I1752" s="2">
        <v>0.5861574074074074</v>
      </c>
      <c r="J1752">
        <v>14</v>
      </c>
      <c r="R1752" t="s">
        <v>30</v>
      </c>
      <c r="W1752">
        <v>1</v>
      </c>
      <c r="X1752" t="s">
        <v>30</v>
      </c>
      <c r="AC1752" t="s">
        <v>4114</v>
      </c>
      <c r="AE1752" s="135"/>
    </row>
    <row r="1753" spans="1:31" ht="12.5" customHeight="1" x14ac:dyDescent="0.35">
      <c r="A1753" t="s">
        <v>396</v>
      </c>
      <c r="C1753" t="s">
        <v>4115</v>
      </c>
      <c r="D1753" t="s">
        <v>385</v>
      </c>
      <c r="E1753" s="133">
        <v>45841</v>
      </c>
      <c r="F1753" s="2">
        <v>8.6249999999999993E-2</v>
      </c>
      <c r="G1753">
        <v>2</v>
      </c>
      <c r="H1753" s="133">
        <v>45840</v>
      </c>
      <c r="I1753" s="2">
        <v>0.58625000000000005</v>
      </c>
      <c r="J1753">
        <v>14</v>
      </c>
      <c r="R1753" t="s">
        <v>30</v>
      </c>
      <c r="W1753">
        <v>1</v>
      </c>
      <c r="X1753" t="s">
        <v>30</v>
      </c>
      <c r="AC1753" t="s">
        <v>4116</v>
      </c>
      <c r="AE1753" s="135"/>
    </row>
    <row r="1754" spans="1:31" ht="12.5" customHeight="1" x14ac:dyDescent="0.35">
      <c r="A1754" t="s">
        <v>396</v>
      </c>
      <c r="C1754" t="s">
        <v>4117</v>
      </c>
      <c r="D1754" t="s">
        <v>385</v>
      </c>
      <c r="E1754" s="133">
        <v>45841</v>
      </c>
      <c r="F1754" s="2">
        <v>8.6319444444444449E-2</v>
      </c>
      <c r="G1754">
        <v>2</v>
      </c>
      <c r="H1754" s="133">
        <v>45840</v>
      </c>
      <c r="I1754" s="2">
        <v>0.5863194444444445</v>
      </c>
      <c r="J1754">
        <v>14</v>
      </c>
      <c r="R1754" t="s">
        <v>30</v>
      </c>
      <c r="W1754">
        <v>1</v>
      </c>
      <c r="X1754" t="s">
        <v>30</v>
      </c>
      <c r="AC1754" t="s">
        <v>4118</v>
      </c>
      <c r="AE1754" s="135"/>
    </row>
    <row r="1755" spans="1:31" ht="12.5" customHeight="1" x14ac:dyDescent="0.35">
      <c r="A1755" t="s">
        <v>396</v>
      </c>
      <c r="C1755" t="s">
        <v>4119</v>
      </c>
      <c r="D1755" t="s">
        <v>385</v>
      </c>
      <c r="E1755" s="133">
        <v>45841</v>
      </c>
      <c r="F1755" s="2">
        <v>8.6412037037037037E-2</v>
      </c>
      <c r="G1755">
        <v>2</v>
      </c>
      <c r="H1755" s="133">
        <v>45840</v>
      </c>
      <c r="I1755" s="2">
        <v>0.58641203703703704</v>
      </c>
      <c r="J1755">
        <v>14</v>
      </c>
      <c r="R1755" t="s">
        <v>30</v>
      </c>
      <c r="W1755">
        <v>1</v>
      </c>
      <c r="X1755" t="s">
        <v>30</v>
      </c>
      <c r="AC1755" t="s">
        <v>4120</v>
      </c>
      <c r="AE1755" s="135"/>
    </row>
    <row r="1756" spans="1:31" ht="12.5" customHeight="1" x14ac:dyDescent="0.35">
      <c r="A1756" t="s">
        <v>396</v>
      </c>
      <c r="C1756" t="s">
        <v>4121</v>
      </c>
      <c r="D1756" t="s">
        <v>385</v>
      </c>
      <c r="E1756" s="133">
        <v>45841</v>
      </c>
      <c r="F1756" s="2">
        <v>8.6481481481481479E-2</v>
      </c>
      <c r="G1756">
        <v>2</v>
      </c>
      <c r="H1756" s="133">
        <v>45840</v>
      </c>
      <c r="I1756" s="2">
        <v>0.58648148148148149</v>
      </c>
      <c r="J1756">
        <v>14</v>
      </c>
      <c r="R1756" t="s">
        <v>30</v>
      </c>
      <c r="W1756">
        <v>1</v>
      </c>
      <c r="X1756" t="s">
        <v>30</v>
      </c>
      <c r="AC1756" t="s">
        <v>4122</v>
      </c>
      <c r="AE1756" s="135"/>
    </row>
    <row r="1757" spans="1:31" ht="12.5" customHeight="1" x14ac:dyDescent="0.35">
      <c r="A1757" t="s">
        <v>396</v>
      </c>
      <c r="C1757" t="s">
        <v>4123</v>
      </c>
      <c r="D1757" t="s">
        <v>385</v>
      </c>
      <c r="E1757" s="133">
        <v>45841</v>
      </c>
      <c r="F1757" s="2">
        <v>8.6550925925925934E-2</v>
      </c>
      <c r="G1757">
        <v>2</v>
      </c>
      <c r="H1757" s="133">
        <v>45840</v>
      </c>
      <c r="I1757" s="2">
        <v>0.58655092592592595</v>
      </c>
      <c r="J1757">
        <v>14</v>
      </c>
      <c r="R1757" t="s">
        <v>30</v>
      </c>
      <c r="W1757">
        <v>1</v>
      </c>
      <c r="X1757" t="s">
        <v>30</v>
      </c>
      <c r="AC1757" t="s">
        <v>4124</v>
      </c>
      <c r="AE1757" s="135"/>
    </row>
    <row r="1758" spans="1:31" ht="12.5" customHeight="1" x14ac:dyDescent="0.35">
      <c r="A1758" t="s">
        <v>396</v>
      </c>
      <c r="C1758" t="s">
        <v>4125</v>
      </c>
      <c r="D1758" t="s">
        <v>385</v>
      </c>
      <c r="E1758" s="133">
        <v>45841</v>
      </c>
      <c r="F1758" s="2">
        <v>8.6643518518518522E-2</v>
      </c>
      <c r="G1758">
        <v>2</v>
      </c>
      <c r="H1758" s="133">
        <v>45840</v>
      </c>
      <c r="I1758" s="2">
        <v>0.58664351851851848</v>
      </c>
      <c r="J1758">
        <v>14</v>
      </c>
      <c r="R1758" t="s">
        <v>30</v>
      </c>
      <c r="W1758">
        <v>1</v>
      </c>
      <c r="X1758" t="s">
        <v>30</v>
      </c>
      <c r="AC1758" t="s">
        <v>4126</v>
      </c>
      <c r="AE1758" s="135"/>
    </row>
    <row r="1759" spans="1:31" ht="12.5" customHeight="1" x14ac:dyDescent="0.35">
      <c r="A1759" t="s">
        <v>396</v>
      </c>
      <c r="C1759" t="s">
        <v>4127</v>
      </c>
      <c r="D1759" t="s">
        <v>385</v>
      </c>
      <c r="E1759" s="133">
        <v>45841</v>
      </c>
      <c r="F1759" s="2">
        <v>8.671296296296295E-2</v>
      </c>
      <c r="G1759">
        <v>2</v>
      </c>
      <c r="H1759" s="133">
        <v>45840</v>
      </c>
      <c r="I1759" s="2">
        <v>0.58671296296296294</v>
      </c>
      <c r="J1759">
        <v>14</v>
      </c>
      <c r="R1759" t="s">
        <v>30</v>
      </c>
      <c r="W1759">
        <v>1</v>
      </c>
      <c r="X1759" t="s">
        <v>30</v>
      </c>
      <c r="AC1759" t="s">
        <v>4128</v>
      </c>
      <c r="AE1759" s="135"/>
    </row>
    <row r="1760" spans="1:31" ht="12.5" customHeight="1" x14ac:dyDescent="0.35">
      <c r="A1760" t="s">
        <v>396</v>
      </c>
      <c r="C1760" t="s">
        <v>4129</v>
      </c>
      <c r="D1760" t="s">
        <v>385</v>
      </c>
      <c r="E1760" s="133">
        <v>45841</v>
      </c>
      <c r="F1760" s="2">
        <v>8.6805555555555566E-2</v>
      </c>
      <c r="G1760">
        <v>2</v>
      </c>
      <c r="H1760" s="133">
        <v>45840</v>
      </c>
      <c r="I1760" s="2">
        <v>0.58680555555555558</v>
      </c>
      <c r="J1760">
        <v>14</v>
      </c>
      <c r="R1760" t="s">
        <v>30</v>
      </c>
      <c r="W1760">
        <v>1</v>
      </c>
      <c r="X1760" t="s">
        <v>30</v>
      </c>
      <c r="AC1760" t="s">
        <v>4130</v>
      </c>
      <c r="AE1760" s="135"/>
    </row>
    <row r="1761" spans="1:31" ht="12.5" customHeight="1" x14ac:dyDescent="0.35">
      <c r="A1761" t="s">
        <v>396</v>
      </c>
      <c r="C1761" t="s">
        <v>4131</v>
      </c>
      <c r="D1761" t="s">
        <v>385</v>
      </c>
      <c r="E1761" s="133">
        <v>45841</v>
      </c>
      <c r="F1761" s="2">
        <v>8.6874999999999994E-2</v>
      </c>
      <c r="G1761">
        <v>2</v>
      </c>
      <c r="H1761" s="133">
        <v>45840</v>
      </c>
      <c r="I1761" s="2">
        <v>0.58687500000000004</v>
      </c>
      <c r="J1761">
        <v>14</v>
      </c>
      <c r="R1761" t="s">
        <v>30</v>
      </c>
      <c r="W1761">
        <v>1</v>
      </c>
      <c r="X1761" t="s">
        <v>30</v>
      </c>
      <c r="AC1761" t="s">
        <v>4132</v>
      </c>
      <c r="AE1761" s="135"/>
    </row>
    <row r="1762" spans="1:31" ht="12.5" customHeight="1" x14ac:dyDescent="0.35">
      <c r="A1762" t="s">
        <v>396</v>
      </c>
      <c r="C1762" t="s">
        <v>4133</v>
      </c>
      <c r="D1762" t="s">
        <v>385</v>
      </c>
      <c r="E1762" s="133">
        <v>45841</v>
      </c>
      <c r="F1762" s="2">
        <v>8.6944444444444449E-2</v>
      </c>
      <c r="G1762">
        <v>2</v>
      </c>
      <c r="H1762" s="133">
        <v>45840</v>
      </c>
      <c r="I1762" s="2">
        <v>0.58694444444444438</v>
      </c>
      <c r="J1762">
        <v>14</v>
      </c>
      <c r="R1762" t="s">
        <v>30</v>
      </c>
      <c r="W1762">
        <v>1</v>
      </c>
      <c r="X1762" t="s">
        <v>30</v>
      </c>
      <c r="AC1762" t="s">
        <v>4134</v>
      </c>
      <c r="AE1762" s="135"/>
    </row>
    <row r="1763" spans="1:31" ht="12.5" customHeight="1" x14ac:dyDescent="0.35">
      <c r="A1763" t="s">
        <v>396</v>
      </c>
      <c r="C1763" t="s">
        <v>4135</v>
      </c>
      <c r="D1763" t="s">
        <v>385</v>
      </c>
      <c r="E1763" s="133">
        <v>45841</v>
      </c>
      <c r="F1763" s="2">
        <v>8.7037037037037038E-2</v>
      </c>
      <c r="G1763">
        <v>2</v>
      </c>
      <c r="H1763" s="133">
        <v>45840</v>
      </c>
      <c r="I1763" s="2">
        <v>0.58703703703703702</v>
      </c>
      <c r="J1763">
        <v>14</v>
      </c>
      <c r="R1763" t="s">
        <v>30</v>
      </c>
      <c r="W1763">
        <v>1</v>
      </c>
      <c r="X1763" t="s">
        <v>30</v>
      </c>
      <c r="AC1763" t="s">
        <v>4136</v>
      </c>
      <c r="AE1763" s="135"/>
    </row>
    <row r="1764" spans="1:31" ht="12.5" customHeight="1" x14ac:dyDescent="0.35">
      <c r="A1764" t="s">
        <v>396</v>
      </c>
      <c r="C1764" t="s">
        <v>4137</v>
      </c>
      <c r="D1764" t="s">
        <v>385</v>
      </c>
      <c r="E1764" s="133">
        <v>45841</v>
      </c>
      <c r="F1764" s="2">
        <v>8.7106481481481479E-2</v>
      </c>
      <c r="G1764">
        <v>2</v>
      </c>
      <c r="H1764" s="133">
        <v>45840</v>
      </c>
      <c r="I1764" s="2">
        <v>0.58710648148148148</v>
      </c>
      <c r="J1764">
        <v>14</v>
      </c>
      <c r="R1764" t="s">
        <v>30</v>
      </c>
      <c r="W1764">
        <v>1</v>
      </c>
      <c r="X1764" t="s">
        <v>30</v>
      </c>
      <c r="AC1764" t="s">
        <v>4138</v>
      </c>
      <c r="AE1764" s="135"/>
    </row>
    <row r="1765" spans="1:31" ht="12.5" customHeight="1" x14ac:dyDescent="0.35">
      <c r="A1765" t="s">
        <v>396</v>
      </c>
      <c r="C1765" t="s">
        <v>4139</v>
      </c>
      <c r="D1765" t="s">
        <v>385</v>
      </c>
      <c r="E1765" s="133">
        <v>45841</v>
      </c>
      <c r="F1765" s="2">
        <v>8.7199074074074068E-2</v>
      </c>
      <c r="G1765">
        <v>2</v>
      </c>
      <c r="H1765" s="133">
        <v>45840</v>
      </c>
      <c r="I1765" s="2">
        <v>0.58719907407407412</v>
      </c>
      <c r="J1765">
        <v>14</v>
      </c>
      <c r="R1765" t="s">
        <v>30</v>
      </c>
      <c r="W1765">
        <v>1</v>
      </c>
      <c r="X1765" t="s">
        <v>30</v>
      </c>
      <c r="AC1765" t="s">
        <v>4140</v>
      </c>
      <c r="AE1765" s="135"/>
    </row>
    <row r="1766" spans="1:31" ht="12.5" customHeight="1" x14ac:dyDescent="0.35">
      <c r="A1766" t="s">
        <v>396</v>
      </c>
      <c r="C1766" t="s">
        <v>4141</v>
      </c>
      <c r="D1766" t="s">
        <v>385</v>
      </c>
      <c r="E1766" s="133">
        <v>45841</v>
      </c>
      <c r="F1766" s="2">
        <v>8.729166666666667E-2</v>
      </c>
      <c r="G1766">
        <v>2</v>
      </c>
      <c r="H1766" s="133">
        <v>45840</v>
      </c>
      <c r="I1766" s="2">
        <v>0.58729166666666666</v>
      </c>
      <c r="J1766">
        <v>14</v>
      </c>
      <c r="R1766" t="s">
        <v>30</v>
      </c>
      <c r="W1766">
        <v>1</v>
      </c>
      <c r="X1766" t="s">
        <v>30</v>
      </c>
      <c r="AC1766" t="s">
        <v>4142</v>
      </c>
      <c r="AE1766" s="135"/>
    </row>
    <row r="1767" spans="1:31" ht="12.5" customHeight="1" x14ac:dyDescent="0.35">
      <c r="A1767" t="s">
        <v>396</v>
      </c>
      <c r="C1767" t="s">
        <v>4143</v>
      </c>
      <c r="D1767" t="s">
        <v>385</v>
      </c>
      <c r="E1767" s="133">
        <v>45841</v>
      </c>
      <c r="F1767" s="2">
        <v>8.7384259259259259E-2</v>
      </c>
      <c r="G1767">
        <v>2</v>
      </c>
      <c r="H1767" s="133">
        <v>45840</v>
      </c>
      <c r="I1767" s="2">
        <v>0.58738425925925919</v>
      </c>
      <c r="J1767">
        <v>14</v>
      </c>
      <c r="R1767" t="s">
        <v>30</v>
      </c>
      <c r="W1767">
        <v>1</v>
      </c>
      <c r="X1767" t="s">
        <v>30</v>
      </c>
      <c r="AC1767" t="s">
        <v>4144</v>
      </c>
      <c r="AE1767" s="135"/>
    </row>
    <row r="1768" spans="1:31" ht="12.5" customHeight="1" x14ac:dyDescent="0.35">
      <c r="A1768" t="s">
        <v>396</v>
      </c>
      <c r="C1768" t="s">
        <v>4145</v>
      </c>
      <c r="D1768" t="s">
        <v>385</v>
      </c>
      <c r="E1768" s="133">
        <v>45841</v>
      </c>
      <c r="F1768" s="2">
        <v>8.74537037037037E-2</v>
      </c>
      <c r="G1768">
        <v>2</v>
      </c>
      <c r="H1768" s="133">
        <v>45840</v>
      </c>
      <c r="I1768" s="2">
        <v>0.58745370370370364</v>
      </c>
      <c r="J1768">
        <v>14</v>
      </c>
      <c r="R1768" t="s">
        <v>30</v>
      </c>
      <c r="W1768">
        <v>1</v>
      </c>
      <c r="X1768" t="s">
        <v>30</v>
      </c>
      <c r="AC1768" t="s">
        <v>4146</v>
      </c>
      <c r="AE1768" s="135"/>
    </row>
    <row r="1769" spans="1:31" ht="12.5" customHeight="1" x14ac:dyDescent="0.35">
      <c r="A1769" t="s">
        <v>396</v>
      </c>
      <c r="C1769" t="s">
        <v>4147</v>
      </c>
      <c r="D1769" t="s">
        <v>385</v>
      </c>
      <c r="E1769" s="133">
        <v>45841</v>
      </c>
      <c r="F1769" s="2">
        <v>8.7546296296296289E-2</v>
      </c>
      <c r="G1769">
        <v>2</v>
      </c>
      <c r="H1769" s="133">
        <v>45840</v>
      </c>
      <c r="I1769" s="2">
        <v>0.58754629629629629</v>
      </c>
      <c r="J1769">
        <v>14</v>
      </c>
      <c r="R1769" t="s">
        <v>30</v>
      </c>
      <c r="W1769">
        <v>1</v>
      </c>
      <c r="X1769" t="s">
        <v>30</v>
      </c>
      <c r="AC1769" t="s">
        <v>4148</v>
      </c>
      <c r="AE1769" s="135"/>
    </row>
    <row r="1770" spans="1:31" ht="12.5" customHeight="1" x14ac:dyDescent="0.35">
      <c r="A1770" t="s">
        <v>396</v>
      </c>
      <c r="C1770" t="s">
        <v>4149</v>
      </c>
      <c r="D1770" t="s">
        <v>385</v>
      </c>
      <c r="E1770" s="133">
        <v>45841</v>
      </c>
      <c r="F1770" s="2">
        <v>8.7615740740740744E-2</v>
      </c>
      <c r="G1770">
        <v>2</v>
      </c>
      <c r="H1770" s="133">
        <v>45840</v>
      </c>
      <c r="I1770" s="2">
        <v>0.58761574074074074</v>
      </c>
      <c r="J1770">
        <v>14</v>
      </c>
      <c r="R1770" t="s">
        <v>30</v>
      </c>
      <c r="W1770">
        <v>1</v>
      </c>
      <c r="X1770" t="s">
        <v>30</v>
      </c>
      <c r="AC1770" t="s">
        <v>4150</v>
      </c>
      <c r="AE1770" s="135"/>
    </row>
    <row r="1771" spans="1:31" ht="12.5" customHeight="1" x14ac:dyDescent="0.35">
      <c r="A1771" t="s">
        <v>396</v>
      </c>
      <c r="C1771" t="s">
        <v>4151</v>
      </c>
      <c r="D1771" t="s">
        <v>385</v>
      </c>
      <c r="E1771" s="133">
        <v>45841</v>
      </c>
      <c r="F1771" s="2">
        <v>8.7708333333333333E-2</v>
      </c>
      <c r="G1771">
        <v>2</v>
      </c>
      <c r="H1771" s="133">
        <v>45840</v>
      </c>
      <c r="I1771" s="2">
        <v>0.58770833333333339</v>
      </c>
      <c r="J1771">
        <v>14</v>
      </c>
      <c r="R1771" t="s">
        <v>30</v>
      </c>
      <c r="W1771">
        <v>1</v>
      </c>
      <c r="X1771" t="s">
        <v>30</v>
      </c>
      <c r="AC1771" t="s">
        <v>4152</v>
      </c>
      <c r="AE1771" s="135"/>
    </row>
    <row r="1772" spans="1:31" ht="12.5" customHeight="1" x14ac:dyDescent="0.35">
      <c r="A1772" t="s">
        <v>396</v>
      </c>
      <c r="C1772" t="s">
        <v>4153</v>
      </c>
      <c r="D1772" t="s">
        <v>385</v>
      </c>
      <c r="E1772" s="133">
        <v>45841</v>
      </c>
      <c r="F1772" s="2">
        <v>8.7777777777777774E-2</v>
      </c>
      <c r="G1772">
        <v>2</v>
      </c>
      <c r="H1772" s="133">
        <v>45840</v>
      </c>
      <c r="I1772" s="2">
        <v>0.58777777777777784</v>
      </c>
      <c r="J1772">
        <v>14</v>
      </c>
      <c r="R1772" t="s">
        <v>30</v>
      </c>
      <c r="W1772">
        <v>1</v>
      </c>
      <c r="X1772" t="s">
        <v>30</v>
      </c>
      <c r="AC1772" t="s">
        <v>4154</v>
      </c>
      <c r="AE1772" s="135"/>
    </row>
    <row r="1773" spans="1:31" ht="12.5" customHeight="1" x14ac:dyDescent="0.35">
      <c r="A1773" t="s">
        <v>396</v>
      </c>
      <c r="C1773" t="s">
        <v>4155</v>
      </c>
      <c r="D1773" t="s">
        <v>385</v>
      </c>
      <c r="E1773" s="133">
        <v>45841</v>
      </c>
      <c r="F1773" s="2">
        <v>8.7870370370370376E-2</v>
      </c>
      <c r="G1773">
        <v>2</v>
      </c>
      <c r="H1773" s="133">
        <v>45840</v>
      </c>
      <c r="I1773" s="2">
        <v>0.58787037037037038</v>
      </c>
      <c r="J1773">
        <v>14</v>
      </c>
      <c r="R1773" t="s">
        <v>30</v>
      </c>
      <c r="W1773">
        <v>1</v>
      </c>
      <c r="X1773" t="s">
        <v>30</v>
      </c>
      <c r="AC1773" t="s">
        <v>4156</v>
      </c>
      <c r="AE1773" s="135"/>
    </row>
    <row r="1774" spans="1:31" ht="12.5" customHeight="1" x14ac:dyDescent="0.35">
      <c r="A1774" t="s">
        <v>396</v>
      </c>
      <c r="C1774" t="s">
        <v>4157</v>
      </c>
      <c r="D1774" t="s">
        <v>385</v>
      </c>
      <c r="E1774" s="133">
        <v>45841</v>
      </c>
      <c r="F1774" s="2">
        <v>8.7939814814814818E-2</v>
      </c>
      <c r="G1774">
        <v>2</v>
      </c>
      <c r="H1774" s="133">
        <v>45840</v>
      </c>
      <c r="I1774" s="2">
        <v>0.58793981481481483</v>
      </c>
      <c r="J1774">
        <v>14</v>
      </c>
      <c r="R1774" t="s">
        <v>30</v>
      </c>
      <c r="W1774">
        <v>1</v>
      </c>
      <c r="X1774" t="s">
        <v>30</v>
      </c>
      <c r="AC1774" t="s">
        <v>4158</v>
      </c>
      <c r="AE1774" s="135"/>
    </row>
    <row r="1775" spans="1:31" ht="12.5" customHeight="1" x14ac:dyDescent="0.35">
      <c r="A1775" t="s">
        <v>396</v>
      </c>
      <c r="C1775" t="s">
        <v>4159</v>
      </c>
      <c r="D1775" t="s">
        <v>385</v>
      </c>
      <c r="E1775" s="133">
        <v>45841</v>
      </c>
      <c r="F1775" s="2">
        <v>8.8032407407407406E-2</v>
      </c>
      <c r="G1775">
        <v>2</v>
      </c>
      <c r="H1775" s="133">
        <v>45840</v>
      </c>
      <c r="I1775" s="2">
        <v>0.58803240740740736</v>
      </c>
      <c r="J1775">
        <v>14</v>
      </c>
      <c r="R1775" t="s">
        <v>30</v>
      </c>
      <c r="W1775">
        <v>1</v>
      </c>
      <c r="X1775" t="s">
        <v>30</v>
      </c>
      <c r="AC1775" t="s">
        <v>4160</v>
      </c>
      <c r="AE1775" s="135"/>
    </row>
    <row r="1776" spans="1:31" ht="12.5" customHeight="1" x14ac:dyDescent="0.35">
      <c r="A1776" t="s">
        <v>396</v>
      </c>
      <c r="C1776" t="s">
        <v>4161</v>
      </c>
      <c r="D1776" t="s">
        <v>385</v>
      </c>
      <c r="E1776" s="133">
        <v>45841</v>
      </c>
      <c r="F1776" s="2">
        <v>8.8125000000000009E-2</v>
      </c>
      <c r="G1776">
        <v>2</v>
      </c>
      <c r="H1776" s="133">
        <v>45840</v>
      </c>
      <c r="I1776" s="2">
        <v>0.58812500000000001</v>
      </c>
      <c r="J1776">
        <v>14</v>
      </c>
      <c r="R1776" t="s">
        <v>30</v>
      </c>
      <c r="W1776">
        <v>1</v>
      </c>
      <c r="X1776" t="s">
        <v>30</v>
      </c>
      <c r="AC1776" t="s">
        <v>4162</v>
      </c>
      <c r="AE1776" s="135"/>
    </row>
    <row r="1777" spans="1:31" ht="12.5" customHeight="1" x14ac:dyDescent="0.35">
      <c r="A1777" t="s">
        <v>396</v>
      </c>
      <c r="C1777" t="s">
        <v>4163</v>
      </c>
      <c r="D1777" t="s">
        <v>385</v>
      </c>
      <c r="E1777" s="133">
        <v>45841</v>
      </c>
      <c r="F1777" s="2">
        <v>8.8217592592592597E-2</v>
      </c>
      <c r="G1777">
        <v>2</v>
      </c>
      <c r="H1777" s="133">
        <v>45840</v>
      </c>
      <c r="I1777" s="2">
        <v>0.58821759259259265</v>
      </c>
      <c r="J1777">
        <v>14</v>
      </c>
      <c r="R1777" t="s">
        <v>30</v>
      </c>
      <c r="W1777">
        <v>1</v>
      </c>
      <c r="X1777" t="s">
        <v>30</v>
      </c>
      <c r="AC1777" t="s">
        <v>4164</v>
      </c>
      <c r="AE1777" s="135"/>
    </row>
    <row r="1778" spans="1:31" ht="12.5" customHeight="1" x14ac:dyDescent="0.35">
      <c r="A1778" t="s">
        <v>396</v>
      </c>
      <c r="C1778" t="s">
        <v>4165</v>
      </c>
      <c r="D1778" t="s">
        <v>385</v>
      </c>
      <c r="E1778" s="133">
        <v>45841</v>
      </c>
      <c r="F1778" s="2">
        <v>8.8310185185185186E-2</v>
      </c>
      <c r="G1778">
        <v>2</v>
      </c>
      <c r="H1778" s="133">
        <v>45840</v>
      </c>
      <c r="I1778" s="2">
        <v>0.58831018518518519</v>
      </c>
      <c r="J1778">
        <v>14</v>
      </c>
      <c r="R1778" t="s">
        <v>30</v>
      </c>
      <c r="W1778">
        <v>1</v>
      </c>
      <c r="X1778" t="s">
        <v>30</v>
      </c>
      <c r="AC1778" t="s">
        <v>4166</v>
      </c>
      <c r="AE1778" s="135"/>
    </row>
    <row r="1779" spans="1:31" ht="12.5" customHeight="1" x14ac:dyDescent="0.35">
      <c r="A1779" t="s">
        <v>396</v>
      </c>
      <c r="C1779" t="s">
        <v>4167</v>
      </c>
      <c r="D1779" t="s">
        <v>385</v>
      </c>
      <c r="E1779" s="133">
        <v>45841</v>
      </c>
      <c r="F1779" s="2">
        <v>8.8379629629629627E-2</v>
      </c>
      <c r="G1779">
        <v>2</v>
      </c>
      <c r="H1779" s="133">
        <v>45840</v>
      </c>
      <c r="I1779" s="2">
        <v>0.58837962962962964</v>
      </c>
      <c r="J1779">
        <v>14</v>
      </c>
      <c r="R1779" t="s">
        <v>30</v>
      </c>
      <c r="W1779">
        <v>1</v>
      </c>
      <c r="X1779" t="s">
        <v>30</v>
      </c>
      <c r="AC1779" t="s">
        <v>4168</v>
      </c>
      <c r="AE1779" s="135"/>
    </row>
    <row r="1780" spans="1:31" ht="12.5" customHeight="1" x14ac:dyDescent="0.35">
      <c r="A1780" t="s">
        <v>396</v>
      </c>
      <c r="C1780" t="s">
        <v>4169</v>
      </c>
      <c r="D1780" t="s">
        <v>385</v>
      </c>
      <c r="E1780" s="133">
        <v>45841</v>
      </c>
      <c r="F1780" s="2">
        <v>8.847222222222223E-2</v>
      </c>
      <c r="G1780">
        <v>2</v>
      </c>
      <c r="H1780" s="133">
        <v>45840</v>
      </c>
      <c r="I1780" s="2">
        <v>0.58847222222222217</v>
      </c>
      <c r="J1780">
        <v>14</v>
      </c>
      <c r="R1780" t="s">
        <v>30</v>
      </c>
      <c r="W1780">
        <v>1</v>
      </c>
      <c r="X1780" t="s">
        <v>30</v>
      </c>
      <c r="AC1780" t="s">
        <v>4170</v>
      </c>
      <c r="AE1780" s="135"/>
    </row>
    <row r="1781" spans="1:31" ht="12.5" customHeight="1" x14ac:dyDescent="0.35">
      <c r="A1781" t="s">
        <v>396</v>
      </c>
      <c r="C1781" t="s">
        <v>4171</v>
      </c>
      <c r="D1781" t="s">
        <v>385</v>
      </c>
      <c r="E1781" s="133">
        <v>45841</v>
      </c>
      <c r="F1781" s="2">
        <v>8.8541666666666671E-2</v>
      </c>
      <c r="G1781">
        <v>2</v>
      </c>
      <c r="H1781" s="133">
        <v>45840</v>
      </c>
      <c r="I1781" s="2">
        <v>0.58854166666666663</v>
      </c>
      <c r="J1781">
        <v>14</v>
      </c>
      <c r="R1781" t="s">
        <v>30</v>
      </c>
      <c r="W1781">
        <v>1</v>
      </c>
      <c r="X1781" t="s">
        <v>30</v>
      </c>
      <c r="AC1781" t="s">
        <v>4172</v>
      </c>
      <c r="AE1781" s="135"/>
    </row>
    <row r="1782" spans="1:31" ht="12.5" customHeight="1" x14ac:dyDescent="0.35">
      <c r="A1782" t="s">
        <v>396</v>
      </c>
      <c r="C1782" t="s">
        <v>4173</v>
      </c>
      <c r="D1782" t="s">
        <v>385</v>
      </c>
      <c r="E1782" s="133">
        <v>45841</v>
      </c>
      <c r="F1782" s="2">
        <v>8.8611111111111099E-2</v>
      </c>
      <c r="G1782">
        <v>2</v>
      </c>
      <c r="H1782" s="133">
        <v>45840</v>
      </c>
      <c r="I1782" s="2">
        <v>0.58861111111111108</v>
      </c>
      <c r="J1782">
        <v>14</v>
      </c>
      <c r="R1782" t="s">
        <v>30</v>
      </c>
      <c r="W1782">
        <v>1</v>
      </c>
      <c r="X1782" t="s">
        <v>30</v>
      </c>
      <c r="AC1782" t="s">
        <v>4174</v>
      </c>
      <c r="AE1782" s="135"/>
    </row>
    <row r="1783" spans="1:31" ht="12.5" customHeight="1" x14ac:dyDescent="0.35">
      <c r="A1783" t="s">
        <v>396</v>
      </c>
      <c r="C1783" t="s">
        <v>4175</v>
      </c>
      <c r="D1783" t="s">
        <v>385</v>
      </c>
      <c r="E1783" s="133">
        <v>45841</v>
      </c>
      <c r="F1783" s="2">
        <v>8.8703703703703715E-2</v>
      </c>
      <c r="G1783">
        <v>2</v>
      </c>
      <c r="H1783" s="133">
        <v>45840</v>
      </c>
      <c r="I1783" s="2">
        <v>0.58870370370370373</v>
      </c>
      <c r="J1783">
        <v>14</v>
      </c>
      <c r="R1783" t="s">
        <v>30</v>
      </c>
      <c r="W1783">
        <v>1</v>
      </c>
      <c r="X1783" t="s">
        <v>30</v>
      </c>
      <c r="AC1783" t="s">
        <v>4176</v>
      </c>
      <c r="AE1783" s="135"/>
    </row>
    <row r="1784" spans="1:31" ht="12.5" customHeight="1" x14ac:dyDescent="0.35">
      <c r="A1784" t="s">
        <v>396</v>
      </c>
      <c r="C1784" t="s">
        <v>4177</v>
      </c>
      <c r="D1784" t="s">
        <v>385</v>
      </c>
      <c r="E1784" s="133">
        <v>45841</v>
      </c>
      <c r="F1784" s="2">
        <v>8.8773148148148143E-2</v>
      </c>
      <c r="G1784">
        <v>2</v>
      </c>
      <c r="H1784" s="133">
        <v>45840</v>
      </c>
      <c r="I1784" s="2">
        <v>0.58877314814814818</v>
      </c>
      <c r="J1784">
        <v>14</v>
      </c>
      <c r="R1784" t="s">
        <v>30</v>
      </c>
      <c r="W1784">
        <v>1</v>
      </c>
      <c r="X1784" t="s">
        <v>30</v>
      </c>
      <c r="AC1784" t="s">
        <v>4178</v>
      </c>
      <c r="AE1784" s="135"/>
    </row>
    <row r="1785" spans="1:31" ht="12.5" customHeight="1" x14ac:dyDescent="0.35">
      <c r="A1785" t="s">
        <v>396</v>
      </c>
      <c r="C1785" t="s">
        <v>4179</v>
      </c>
      <c r="D1785" t="s">
        <v>385</v>
      </c>
      <c r="E1785" s="133">
        <v>45841</v>
      </c>
      <c r="F1785" s="2">
        <v>8.8865740740740731E-2</v>
      </c>
      <c r="G1785">
        <v>2</v>
      </c>
      <c r="H1785" s="133">
        <v>45840</v>
      </c>
      <c r="I1785" s="2">
        <v>0.58886574074074072</v>
      </c>
      <c r="J1785">
        <v>14</v>
      </c>
      <c r="R1785" t="s">
        <v>30</v>
      </c>
      <c r="W1785">
        <v>1</v>
      </c>
      <c r="X1785" t="s">
        <v>30</v>
      </c>
      <c r="AC1785" t="s">
        <v>4180</v>
      </c>
      <c r="AE1785" s="135"/>
    </row>
    <row r="1786" spans="1:31" ht="12.5" customHeight="1" x14ac:dyDescent="0.35">
      <c r="A1786" t="s">
        <v>396</v>
      </c>
      <c r="C1786" t="s">
        <v>4181</v>
      </c>
      <c r="D1786" t="s">
        <v>385</v>
      </c>
      <c r="E1786" s="133">
        <v>45841</v>
      </c>
      <c r="F1786" s="2">
        <v>8.895833333333332E-2</v>
      </c>
      <c r="G1786">
        <v>2</v>
      </c>
      <c r="H1786" s="133">
        <v>45840</v>
      </c>
      <c r="I1786" s="2">
        <v>0.58895833333333336</v>
      </c>
      <c r="J1786">
        <v>14</v>
      </c>
      <c r="R1786" t="s">
        <v>30</v>
      </c>
      <c r="W1786">
        <v>1</v>
      </c>
      <c r="X1786" t="s">
        <v>30</v>
      </c>
      <c r="AC1786" t="s">
        <v>4182</v>
      </c>
      <c r="AE1786" s="135"/>
    </row>
    <row r="1787" spans="1:31" ht="12.5" customHeight="1" x14ac:dyDescent="0.35">
      <c r="A1787" t="s">
        <v>396</v>
      </c>
      <c r="C1787" t="s">
        <v>4183</v>
      </c>
      <c r="D1787" t="s">
        <v>385</v>
      </c>
      <c r="E1787" s="133">
        <v>45841</v>
      </c>
      <c r="F1787" s="2">
        <v>8.9050925925925936E-2</v>
      </c>
      <c r="G1787">
        <v>2</v>
      </c>
      <c r="H1787" s="133">
        <v>45840</v>
      </c>
      <c r="I1787" s="2">
        <v>0.58905092592592589</v>
      </c>
      <c r="J1787">
        <v>14</v>
      </c>
      <c r="R1787" t="s">
        <v>30</v>
      </c>
      <c r="W1787">
        <v>1</v>
      </c>
      <c r="X1787" t="s">
        <v>30</v>
      </c>
      <c r="AC1787" t="s">
        <v>4184</v>
      </c>
      <c r="AE1787" s="135"/>
    </row>
    <row r="1788" spans="1:31" ht="12.5" customHeight="1" x14ac:dyDescent="0.35">
      <c r="A1788" t="s">
        <v>396</v>
      </c>
      <c r="C1788" t="s">
        <v>4185</v>
      </c>
      <c r="D1788" t="s">
        <v>385</v>
      </c>
      <c r="E1788" s="133">
        <v>45841</v>
      </c>
      <c r="F1788" s="2">
        <v>8.9120370370370364E-2</v>
      </c>
      <c r="G1788">
        <v>2</v>
      </c>
      <c r="H1788" s="133">
        <v>45840</v>
      </c>
      <c r="I1788" s="2">
        <v>0.58912037037037035</v>
      </c>
      <c r="J1788">
        <v>14</v>
      </c>
      <c r="R1788" t="s">
        <v>30</v>
      </c>
      <c r="W1788">
        <v>1</v>
      </c>
      <c r="X1788" t="s">
        <v>30</v>
      </c>
      <c r="AC1788" t="s">
        <v>4186</v>
      </c>
      <c r="AE1788" s="135"/>
    </row>
    <row r="1789" spans="1:31" ht="12.5" customHeight="1" x14ac:dyDescent="0.35">
      <c r="A1789" t="s">
        <v>396</v>
      </c>
      <c r="C1789" t="s">
        <v>4187</v>
      </c>
      <c r="D1789" t="s">
        <v>385</v>
      </c>
      <c r="E1789" s="133">
        <v>45841</v>
      </c>
      <c r="F1789" s="2">
        <v>8.9212962962962952E-2</v>
      </c>
      <c r="G1789">
        <v>2</v>
      </c>
      <c r="H1789" s="133">
        <v>45840</v>
      </c>
      <c r="I1789" s="2">
        <v>0.58921296296296299</v>
      </c>
      <c r="J1789">
        <v>14</v>
      </c>
      <c r="R1789" t="s">
        <v>30</v>
      </c>
      <c r="W1789">
        <v>1</v>
      </c>
      <c r="X1789" t="s">
        <v>30</v>
      </c>
      <c r="AC1789" t="s">
        <v>4188</v>
      </c>
      <c r="AE1789" s="135"/>
    </row>
    <row r="1790" spans="1:31" ht="12.5" customHeight="1" x14ac:dyDescent="0.35">
      <c r="A1790" t="s">
        <v>396</v>
      </c>
      <c r="C1790" t="s">
        <v>4189</v>
      </c>
      <c r="D1790" t="s">
        <v>385</v>
      </c>
      <c r="E1790" s="133">
        <v>45841</v>
      </c>
      <c r="F1790" s="2">
        <v>8.9282407407407408E-2</v>
      </c>
      <c r="G1790">
        <v>2</v>
      </c>
      <c r="H1790" s="133">
        <v>45840</v>
      </c>
      <c r="I1790" s="2">
        <v>0.58928240740740734</v>
      </c>
      <c r="J1790">
        <v>14</v>
      </c>
      <c r="R1790" t="s">
        <v>30</v>
      </c>
      <c r="W1790">
        <v>1</v>
      </c>
      <c r="X1790" t="s">
        <v>30</v>
      </c>
      <c r="AC1790" t="s">
        <v>4190</v>
      </c>
      <c r="AE1790" s="135"/>
    </row>
    <row r="1791" spans="1:31" ht="12.5" customHeight="1" x14ac:dyDescent="0.35">
      <c r="A1791" t="s">
        <v>396</v>
      </c>
      <c r="C1791" t="s">
        <v>4191</v>
      </c>
      <c r="D1791" t="s">
        <v>385</v>
      </c>
      <c r="E1791" s="133">
        <v>45841</v>
      </c>
      <c r="F1791" s="2">
        <v>8.9351851851851849E-2</v>
      </c>
      <c r="G1791">
        <v>2</v>
      </c>
      <c r="H1791" s="133">
        <v>45840</v>
      </c>
      <c r="I1791" s="2">
        <v>0.58935185185185179</v>
      </c>
      <c r="J1791">
        <v>14</v>
      </c>
      <c r="R1791" t="s">
        <v>30</v>
      </c>
      <c r="W1791">
        <v>1</v>
      </c>
      <c r="X1791" t="s">
        <v>30</v>
      </c>
      <c r="AC1791" t="s">
        <v>4192</v>
      </c>
      <c r="AE1791" s="135"/>
    </row>
    <row r="1792" spans="1:31" ht="12.5" customHeight="1" x14ac:dyDescent="0.35">
      <c r="A1792" t="s">
        <v>396</v>
      </c>
      <c r="C1792" t="s">
        <v>4193</v>
      </c>
      <c r="D1792" t="s">
        <v>385</v>
      </c>
      <c r="E1792" s="133">
        <v>45841</v>
      </c>
      <c r="F1792" s="2">
        <v>8.9444444444444438E-2</v>
      </c>
      <c r="G1792">
        <v>2</v>
      </c>
      <c r="H1792" s="133">
        <v>45840</v>
      </c>
      <c r="I1792" s="2">
        <v>0.58944444444444444</v>
      </c>
      <c r="J1792">
        <v>14</v>
      </c>
      <c r="R1792" t="s">
        <v>30</v>
      </c>
      <c r="W1792">
        <v>1</v>
      </c>
      <c r="X1792" t="s">
        <v>30</v>
      </c>
      <c r="AC1792" t="s">
        <v>4194</v>
      </c>
      <c r="AE1792" s="135"/>
    </row>
    <row r="1793" spans="1:31" ht="12.5" customHeight="1" x14ac:dyDescent="0.35">
      <c r="A1793" t="s">
        <v>396</v>
      </c>
      <c r="C1793" t="s">
        <v>4195</v>
      </c>
      <c r="D1793" t="s">
        <v>385</v>
      </c>
      <c r="E1793" s="133">
        <v>45841</v>
      </c>
      <c r="F1793" s="2">
        <v>8.9513888888888893E-2</v>
      </c>
      <c r="G1793">
        <v>2</v>
      </c>
      <c r="H1793" s="133">
        <v>45840</v>
      </c>
      <c r="I1793" s="2">
        <v>0.58951388888888889</v>
      </c>
      <c r="J1793">
        <v>14</v>
      </c>
      <c r="R1793" t="s">
        <v>30</v>
      </c>
      <c r="W1793">
        <v>1</v>
      </c>
      <c r="X1793" t="s">
        <v>30</v>
      </c>
      <c r="AC1793" t="s">
        <v>4196</v>
      </c>
      <c r="AE1793" s="135"/>
    </row>
    <row r="1794" spans="1:31" ht="12.5" customHeight="1" x14ac:dyDescent="0.35">
      <c r="A1794" t="s">
        <v>396</v>
      </c>
      <c r="C1794" t="s">
        <v>4197</v>
      </c>
      <c r="D1794" t="s">
        <v>385</v>
      </c>
      <c r="E1794" s="133">
        <v>45841</v>
      </c>
      <c r="F1794" s="2">
        <v>8.9583333333333334E-2</v>
      </c>
      <c r="G1794">
        <v>2</v>
      </c>
      <c r="H1794" s="133">
        <v>45840</v>
      </c>
      <c r="I1794" s="2">
        <v>0.58958333333333335</v>
      </c>
      <c r="J1794">
        <v>14</v>
      </c>
      <c r="R1794" t="s">
        <v>30</v>
      </c>
      <c r="W1794">
        <v>1</v>
      </c>
      <c r="X1794" t="s">
        <v>30</v>
      </c>
      <c r="AC1794" t="s">
        <v>4198</v>
      </c>
      <c r="AE1794" s="135"/>
    </row>
    <row r="1795" spans="1:31" ht="12.5" customHeight="1" x14ac:dyDescent="0.35">
      <c r="A1795" t="s">
        <v>396</v>
      </c>
      <c r="C1795" t="s">
        <v>4199</v>
      </c>
      <c r="D1795" t="s">
        <v>385</v>
      </c>
      <c r="E1795" s="133">
        <v>45841</v>
      </c>
      <c r="F1795" s="2">
        <v>8.9675925925925923E-2</v>
      </c>
      <c r="G1795">
        <v>2</v>
      </c>
      <c r="H1795" s="133">
        <v>45840</v>
      </c>
      <c r="I1795" s="2">
        <v>0.58967592592592599</v>
      </c>
      <c r="J1795">
        <v>14</v>
      </c>
      <c r="R1795" t="s">
        <v>30</v>
      </c>
      <c r="W1795">
        <v>1</v>
      </c>
      <c r="X1795" t="s">
        <v>30</v>
      </c>
      <c r="AC1795" t="s">
        <v>4200</v>
      </c>
      <c r="AE1795" s="135"/>
    </row>
    <row r="1796" spans="1:31" ht="12.5" customHeight="1" x14ac:dyDescent="0.35">
      <c r="A1796" t="s">
        <v>396</v>
      </c>
      <c r="C1796" t="s">
        <v>4201</v>
      </c>
      <c r="D1796" t="s">
        <v>385</v>
      </c>
      <c r="E1796" s="133">
        <v>45841</v>
      </c>
      <c r="F1796" s="2">
        <v>8.9745370370370378E-2</v>
      </c>
      <c r="G1796">
        <v>2</v>
      </c>
      <c r="H1796" s="133">
        <v>45840</v>
      </c>
      <c r="I1796" s="2">
        <v>0.58974537037037034</v>
      </c>
      <c r="J1796">
        <v>14</v>
      </c>
      <c r="R1796" t="s">
        <v>30</v>
      </c>
      <c r="W1796">
        <v>1</v>
      </c>
      <c r="X1796" t="s">
        <v>30</v>
      </c>
      <c r="AC1796" t="s">
        <v>4202</v>
      </c>
      <c r="AE1796" s="135"/>
    </row>
    <row r="1797" spans="1:31" ht="12.5" customHeight="1" x14ac:dyDescent="0.35">
      <c r="A1797" t="s">
        <v>396</v>
      </c>
      <c r="C1797" t="s">
        <v>4203</v>
      </c>
      <c r="D1797" t="s">
        <v>385</v>
      </c>
      <c r="E1797" s="133">
        <v>45841</v>
      </c>
      <c r="F1797" s="2">
        <v>8.9814814814814806E-2</v>
      </c>
      <c r="G1797">
        <v>2</v>
      </c>
      <c r="H1797" s="133">
        <v>45840</v>
      </c>
      <c r="I1797" s="2">
        <v>0.58981481481481479</v>
      </c>
      <c r="J1797">
        <v>14</v>
      </c>
      <c r="R1797" t="s">
        <v>30</v>
      </c>
      <c r="W1797">
        <v>1</v>
      </c>
      <c r="X1797" t="s">
        <v>30</v>
      </c>
      <c r="AC1797" t="s">
        <v>4204</v>
      </c>
      <c r="AE1797" s="135"/>
    </row>
    <row r="1798" spans="1:31" ht="12.5" customHeight="1" x14ac:dyDescent="0.35">
      <c r="A1798" t="s">
        <v>396</v>
      </c>
      <c r="C1798" t="s">
        <v>4205</v>
      </c>
      <c r="D1798" t="s">
        <v>385</v>
      </c>
      <c r="E1798" s="133">
        <v>45841</v>
      </c>
      <c r="F1798" s="2">
        <v>8.9907407407407394E-2</v>
      </c>
      <c r="G1798">
        <v>2</v>
      </c>
      <c r="H1798" s="133">
        <v>45840</v>
      </c>
      <c r="I1798" s="2">
        <v>0.58990740740740744</v>
      </c>
      <c r="J1798">
        <v>14</v>
      </c>
      <c r="R1798" t="s">
        <v>30</v>
      </c>
      <c r="W1798">
        <v>1</v>
      </c>
      <c r="X1798" t="s">
        <v>30</v>
      </c>
      <c r="AC1798" t="s">
        <v>4206</v>
      </c>
      <c r="AE1798" s="135"/>
    </row>
    <row r="1799" spans="1:31" ht="12.5" customHeight="1" x14ac:dyDescent="0.35">
      <c r="A1799" t="s">
        <v>396</v>
      </c>
      <c r="C1799" t="s">
        <v>4207</v>
      </c>
      <c r="D1799" t="s">
        <v>385</v>
      </c>
      <c r="E1799" s="133">
        <v>45841</v>
      </c>
      <c r="F1799" s="2">
        <v>8.997685185185185E-2</v>
      </c>
      <c r="G1799">
        <v>2</v>
      </c>
      <c r="H1799" s="133">
        <v>45840</v>
      </c>
      <c r="I1799" s="2">
        <v>0.58997685185185189</v>
      </c>
      <c r="J1799">
        <v>14</v>
      </c>
      <c r="R1799" t="s">
        <v>30</v>
      </c>
      <c r="W1799">
        <v>1</v>
      </c>
      <c r="X1799" t="s">
        <v>30</v>
      </c>
      <c r="AC1799" t="s">
        <v>4208</v>
      </c>
      <c r="AE1799" s="135"/>
    </row>
    <row r="1800" spans="1:31" ht="12.5" customHeight="1" x14ac:dyDescent="0.35">
      <c r="A1800" t="s">
        <v>396</v>
      </c>
      <c r="C1800" t="s">
        <v>4209</v>
      </c>
      <c r="D1800" t="s">
        <v>385</v>
      </c>
      <c r="E1800" s="133">
        <v>45841</v>
      </c>
      <c r="F1800" s="2">
        <v>9.0069444444444438E-2</v>
      </c>
      <c r="G1800">
        <v>2</v>
      </c>
      <c r="H1800" s="133">
        <v>45840</v>
      </c>
      <c r="I1800" s="2">
        <v>0.59006944444444442</v>
      </c>
      <c r="J1800">
        <v>14</v>
      </c>
      <c r="R1800" t="s">
        <v>30</v>
      </c>
      <c r="W1800">
        <v>1</v>
      </c>
      <c r="X1800" t="s">
        <v>30</v>
      </c>
      <c r="AC1800" t="s">
        <v>4210</v>
      </c>
      <c r="AE1800" s="135"/>
    </row>
    <row r="1801" spans="1:31" ht="12.5" customHeight="1" x14ac:dyDescent="0.35">
      <c r="A1801" t="s">
        <v>396</v>
      </c>
      <c r="C1801" t="s">
        <v>4211</v>
      </c>
      <c r="D1801" t="s">
        <v>385</v>
      </c>
      <c r="E1801" s="133">
        <v>45841</v>
      </c>
      <c r="F1801" s="2">
        <v>9.0162037037037027E-2</v>
      </c>
      <c r="G1801">
        <v>2</v>
      </c>
      <c r="H1801" s="133">
        <v>45840</v>
      </c>
      <c r="I1801" s="2">
        <v>0.59016203703703707</v>
      </c>
      <c r="J1801">
        <v>14</v>
      </c>
      <c r="R1801" t="s">
        <v>30</v>
      </c>
      <c r="W1801">
        <v>1</v>
      </c>
      <c r="X1801" t="s">
        <v>30</v>
      </c>
      <c r="AC1801" t="s">
        <v>4212</v>
      </c>
      <c r="AE1801" s="135"/>
    </row>
    <row r="1802" spans="1:31" ht="12.5" customHeight="1" x14ac:dyDescent="0.35">
      <c r="A1802" t="s">
        <v>396</v>
      </c>
      <c r="C1802" t="s">
        <v>4213</v>
      </c>
      <c r="D1802" t="s">
        <v>385</v>
      </c>
      <c r="E1802" s="133">
        <v>45841</v>
      </c>
      <c r="F1802" s="2">
        <v>9.0231481481481482E-2</v>
      </c>
      <c r="G1802">
        <v>2</v>
      </c>
      <c r="H1802" s="133">
        <v>45840</v>
      </c>
      <c r="I1802" s="2">
        <v>0.59023148148148141</v>
      </c>
      <c r="J1802">
        <v>14</v>
      </c>
      <c r="R1802" t="s">
        <v>30</v>
      </c>
      <c r="W1802">
        <v>1</v>
      </c>
      <c r="X1802" t="s">
        <v>30</v>
      </c>
      <c r="AC1802" t="s">
        <v>4214</v>
      </c>
      <c r="AE1802" s="135"/>
    </row>
    <row r="1803" spans="1:31" ht="12.5" customHeight="1" x14ac:dyDescent="0.35">
      <c r="A1803" t="s">
        <v>396</v>
      </c>
      <c r="C1803" t="s">
        <v>4215</v>
      </c>
      <c r="D1803" t="s">
        <v>385</v>
      </c>
      <c r="E1803" s="133">
        <v>45841</v>
      </c>
      <c r="F1803" s="2">
        <v>9.0324074074074071E-2</v>
      </c>
      <c r="G1803">
        <v>2</v>
      </c>
      <c r="H1803" s="133">
        <v>45840</v>
      </c>
      <c r="I1803" s="2">
        <v>0.59032407407407406</v>
      </c>
      <c r="J1803">
        <v>14</v>
      </c>
      <c r="R1803" t="s">
        <v>30</v>
      </c>
      <c r="W1803">
        <v>1</v>
      </c>
      <c r="X1803" t="s">
        <v>30</v>
      </c>
      <c r="AC1803" t="s">
        <v>4216</v>
      </c>
      <c r="AE1803" s="135"/>
    </row>
    <row r="1804" spans="1:31" ht="12.5" customHeight="1" x14ac:dyDescent="0.35">
      <c r="A1804" t="s">
        <v>396</v>
      </c>
      <c r="C1804" t="s">
        <v>4217</v>
      </c>
      <c r="D1804" t="s">
        <v>385</v>
      </c>
      <c r="E1804" s="133">
        <v>45841</v>
      </c>
      <c r="F1804" s="2">
        <v>9.0393518518518512E-2</v>
      </c>
      <c r="G1804">
        <v>2</v>
      </c>
      <c r="H1804" s="133">
        <v>45840</v>
      </c>
      <c r="I1804" s="2">
        <v>0.59039351851851851</v>
      </c>
      <c r="J1804">
        <v>14</v>
      </c>
      <c r="R1804" t="s">
        <v>30</v>
      </c>
      <c r="W1804">
        <v>1</v>
      </c>
      <c r="X1804" t="s">
        <v>30</v>
      </c>
      <c r="AC1804" t="s">
        <v>4218</v>
      </c>
      <c r="AE1804" s="135"/>
    </row>
    <row r="1805" spans="1:31" ht="12.5" customHeight="1" x14ac:dyDescent="0.35">
      <c r="A1805" t="s">
        <v>396</v>
      </c>
      <c r="C1805" t="s">
        <v>4219</v>
      </c>
      <c r="D1805" t="s">
        <v>385</v>
      </c>
      <c r="E1805" s="133">
        <v>45841</v>
      </c>
      <c r="F1805" s="2">
        <v>9.0462962962962967E-2</v>
      </c>
      <c r="G1805">
        <v>2</v>
      </c>
      <c r="H1805" s="133">
        <v>45840</v>
      </c>
      <c r="I1805" s="2">
        <v>0.59046296296296297</v>
      </c>
      <c r="J1805">
        <v>14</v>
      </c>
      <c r="R1805" t="s">
        <v>30</v>
      </c>
      <c r="W1805">
        <v>1</v>
      </c>
      <c r="X1805" t="s">
        <v>30</v>
      </c>
      <c r="AC1805" t="s">
        <v>4220</v>
      </c>
      <c r="AE1805" s="135"/>
    </row>
    <row r="1806" spans="1:31" ht="12.5" customHeight="1" x14ac:dyDescent="0.35">
      <c r="A1806" t="s">
        <v>396</v>
      </c>
      <c r="C1806" t="s">
        <v>4221</v>
      </c>
      <c r="D1806" t="s">
        <v>385</v>
      </c>
      <c r="E1806" s="133">
        <v>45841</v>
      </c>
      <c r="F1806" s="2">
        <v>9.0555555555555556E-2</v>
      </c>
      <c r="G1806">
        <v>2</v>
      </c>
      <c r="H1806" s="133">
        <v>45840</v>
      </c>
      <c r="I1806" s="2">
        <v>0.59055555555555561</v>
      </c>
      <c r="J1806">
        <v>14</v>
      </c>
      <c r="R1806" t="s">
        <v>30</v>
      </c>
      <c r="W1806">
        <v>1</v>
      </c>
      <c r="X1806" t="s">
        <v>30</v>
      </c>
      <c r="AC1806" t="s">
        <v>4222</v>
      </c>
      <c r="AE1806" s="135"/>
    </row>
    <row r="1807" spans="1:31" ht="12.5" customHeight="1" x14ac:dyDescent="0.35">
      <c r="A1807" t="s">
        <v>396</v>
      </c>
      <c r="C1807" t="s">
        <v>4223</v>
      </c>
      <c r="D1807" t="s">
        <v>385</v>
      </c>
      <c r="E1807" s="133">
        <v>45841</v>
      </c>
      <c r="F1807" s="2">
        <v>9.0648148148148144E-2</v>
      </c>
      <c r="G1807">
        <v>2</v>
      </c>
      <c r="H1807" s="133">
        <v>45840</v>
      </c>
      <c r="I1807" s="2">
        <v>0.59064814814814814</v>
      </c>
      <c r="J1807">
        <v>14</v>
      </c>
      <c r="R1807" t="s">
        <v>30</v>
      </c>
      <c r="W1807">
        <v>1</v>
      </c>
      <c r="X1807" t="s">
        <v>30</v>
      </c>
      <c r="AC1807" t="s">
        <v>4224</v>
      </c>
      <c r="AE1807" s="135"/>
    </row>
    <row r="1808" spans="1:31" ht="12.5" customHeight="1" x14ac:dyDescent="0.35">
      <c r="A1808" t="s">
        <v>396</v>
      </c>
      <c r="C1808" t="s">
        <v>4225</v>
      </c>
      <c r="D1808" t="s">
        <v>385</v>
      </c>
      <c r="E1808" s="133">
        <v>45841</v>
      </c>
      <c r="F1808" s="2">
        <v>9.07175925925926E-2</v>
      </c>
      <c r="G1808">
        <v>2</v>
      </c>
      <c r="H1808" s="133">
        <v>45840</v>
      </c>
      <c r="I1808" s="2">
        <v>0.5907175925925926</v>
      </c>
      <c r="J1808">
        <v>14</v>
      </c>
      <c r="R1808" t="s">
        <v>30</v>
      </c>
      <c r="W1808">
        <v>1</v>
      </c>
      <c r="X1808" t="s">
        <v>30</v>
      </c>
      <c r="AC1808" t="s">
        <v>4226</v>
      </c>
      <c r="AE1808" s="135"/>
    </row>
    <row r="1809" spans="1:31" ht="12.5" customHeight="1" x14ac:dyDescent="0.35">
      <c r="A1809" t="s">
        <v>396</v>
      </c>
      <c r="C1809" t="s">
        <v>4227</v>
      </c>
      <c r="D1809" t="s">
        <v>385</v>
      </c>
      <c r="E1809" s="133">
        <v>45841</v>
      </c>
      <c r="F1809" s="2">
        <v>9.0810185185185188E-2</v>
      </c>
      <c r="G1809">
        <v>2</v>
      </c>
      <c r="H1809" s="133">
        <v>45840</v>
      </c>
      <c r="I1809" s="2">
        <v>0.59081018518518513</v>
      </c>
      <c r="J1809">
        <v>14</v>
      </c>
      <c r="R1809" t="s">
        <v>30</v>
      </c>
      <c r="W1809">
        <v>1</v>
      </c>
      <c r="X1809" t="s">
        <v>30</v>
      </c>
      <c r="AC1809" t="s">
        <v>4228</v>
      </c>
      <c r="AE1809" s="135"/>
    </row>
    <row r="1810" spans="1:31" ht="12.5" customHeight="1" x14ac:dyDescent="0.35">
      <c r="A1810" t="s">
        <v>396</v>
      </c>
      <c r="C1810" t="s">
        <v>4229</v>
      </c>
      <c r="D1810" t="s">
        <v>385</v>
      </c>
      <c r="E1810" s="133">
        <v>45841</v>
      </c>
      <c r="F1810" s="2">
        <v>9.0902777777777777E-2</v>
      </c>
      <c r="G1810">
        <v>2</v>
      </c>
      <c r="H1810" s="133">
        <v>45840</v>
      </c>
      <c r="I1810" s="2">
        <v>0.59090277777777778</v>
      </c>
      <c r="J1810">
        <v>14</v>
      </c>
      <c r="R1810" t="s">
        <v>30</v>
      </c>
      <c r="W1810">
        <v>1</v>
      </c>
      <c r="X1810" t="s">
        <v>30</v>
      </c>
      <c r="AC1810" t="s">
        <v>4230</v>
      </c>
      <c r="AE1810" s="135"/>
    </row>
    <row r="1811" spans="1:31" ht="12.5" customHeight="1" x14ac:dyDescent="0.35">
      <c r="A1811" t="s">
        <v>396</v>
      </c>
      <c r="C1811" t="s">
        <v>4231</v>
      </c>
      <c r="D1811" t="s">
        <v>385</v>
      </c>
      <c r="E1811" s="133">
        <v>45841</v>
      </c>
      <c r="F1811" s="2">
        <v>9.0995370370370365E-2</v>
      </c>
      <c r="G1811">
        <v>2</v>
      </c>
      <c r="H1811" s="133">
        <v>45840</v>
      </c>
      <c r="I1811" s="2">
        <v>0.59099537037037042</v>
      </c>
      <c r="J1811">
        <v>14</v>
      </c>
      <c r="R1811" t="s">
        <v>30</v>
      </c>
      <c r="W1811">
        <v>1</v>
      </c>
      <c r="X1811" t="s">
        <v>30</v>
      </c>
      <c r="AC1811" t="s">
        <v>4232</v>
      </c>
      <c r="AE1811" s="135"/>
    </row>
    <row r="1812" spans="1:31" ht="12.5" customHeight="1" x14ac:dyDescent="0.35">
      <c r="A1812" t="s">
        <v>396</v>
      </c>
      <c r="C1812" t="s">
        <v>4233</v>
      </c>
      <c r="D1812" t="s">
        <v>385</v>
      </c>
      <c r="E1812" s="133">
        <v>45841</v>
      </c>
      <c r="F1812" s="2">
        <v>9.1087962962962954E-2</v>
      </c>
      <c r="G1812">
        <v>2</v>
      </c>
      <c r="H1812" s="133">
        <v>45840</v>
      </c>
      <c r="I1812" s="2">
        <v>0.59108796296296295</v>
      </c>
      <c r="J1812">
        <v>14</v>
      </c>
      <c r="R1812" t="s">
        <v>30</v>
      </c>
      <c r="W1812">
        <v>1</v>
      </c>
      <c r="X1812" t="s">
        <v>30</v>
      </c>
      <c r="AC1812" t="s">
        <v>4234</v>
      </c>
      <c r="AE1812" s="135"/>
    </row>
    <row r="1813" spans="1:31" ht="12.5" customHeight="1" x14ac:dyDescent="0.35">
      <c r="A1813" t="s">
        <v>396</v>
      </c>
      <c r="C1813" t="s">
        <v>4235</v>
      </c>
      <c r="D1813" t="s">
        <v>385</v>
      </c>
      <c r="E1813" s="133">
        <v>45841</v>
      </c>
      <c r="F1813" s="2">
        <v>9.1180555555555556E-2</v>
      </c>
      <c r="G1813">
        <v>2</v>
      </c>
      <c r="H1813" s="133">
        <v>45840</v>
      </c>
      <c r="I1813" s="2">
        <v>0.59118055555555549</v>
      </c>
      <c r="J1813">
        <v>14</v>
      </c>
      <c r="R1813" t="s">
        <v>30</v>
      </c>
      <c r="W1813">
        <v>1</v>
      </c>
      <c r="X1813" t="s">
        <v>30</v>
      </c>
      <c r="AC1813" t="s">
        <v>4236</v>
      </c>
      <c r="AE1813" s="135"/>
    </row>
    <row r="1814" spans="1:31" ht="12.5" customHeight="1" x14ac:dyDescent="0.35">
      <c r="A1814" t="s">
        <v>396</v>
      </c>
      <c r="C1814" t="s">
        <v>4237</v>
      </c>
      <c r="D1814" t="s">
        <v>385</v>
      </c>
      <c r="E1814" s="133">
        <v>45841</v>
      </c>
      <c r="F1814" s="2">
        <v>9.1273148148148145E-2</v>
      </c>
      <c r="G1814">
        <v>2</v>
      </c>
      <c r="H1814" s="133">
        <v>45840</v>
      </c>
      <c r="I1814" s="2">
        <v>0.59127314814814813</v>
      </c>
      <c r="J1814">
        <v>14</v>
      </c>
      <c r="R1814" t="s">
        <v>30</v>
      </c>
      <c r="W1814">
        <v>1</v>
      </c>
      <c r="X1814" t="s">
        <v>30</v>
      </c>
      <c r="AC1814" t="s">
        <v>4238</v>
      </c>
      <c r="AE1814" s="135"/>
    </row>
    <row r="1815" spans="1:31" ht="12.5" customHeight="1" x14ac:dyDescent="0.35">
      <c r="A1815" t="s">
        <v>396</v>
      </c>
      <c r="C1815" t="s">
        <v>4239</v>
      </c>
      <c r="D1815" t="s">
        <v>385</v>
      </c>
      <c r="E1815" s="133">
        <v>45841</v>
      </c>
      <c r="F1815" s="2">
        <v>9.1365740740740733E-2</v>
      </c>
      <c r="G1815">
        <v>2</v>
      </c>
      <c r="H1815" s="133">
        <v>45840</v>
      </c>
      <c r="I1815" s="2">
        <v>0.59136574074074078</v>
      </c>
      <c r="J1815">
        <v>14</v>
      </c>
      <c r="R1815" t="s">
        <v>30</v>
      </c>
      <c r="W1815">
        <v>1</v>
      </c>
      <c r="X1815" t="s">
        <v>30</v>
      </c>
      <c r="AC1815" t="s">
        <v>4240</v>
      </c>
      <c r="AE1815" s="135"/>
    </row>
    <row r="1816" spans="1:31" ht="12.5" customHeight="1" x14ac:dyDescent="0.35">
      <c r="A1816" t="s">
        <v>396</v>
      </c>
      <c r="C1816" t="s">
        <v>4241</v>
      </c>
      <c r="D1816" t="s">
        <v>385</v>
      </c>
      <c r="E1816" s="133">
        <v>45841</v>
      </c>
      <c r="F1816" s="2">
        <v>9.1435185185185189E-2</v>
      </c>
      <c r="G1816">
        <v>2</v>
      </c>
      <c r="H1816" s="133">
        <v>45840</v>
      </c>
      <c r="I1816" s="2">
        <v>0.59143518518518523</v>
      </c>
      <c r="J1816">
        <v>14</v>
      </c>
      <c r="R1816" t="s">
        <v>30</v>
      </c>
      <c r="W1816">
        <v>1</v>
      </c>
      <c r="X1816" t="s">
        <v>30</v>
      </c>
      <c r="AC1816" t="s">
        <v>4242</v>
      </c>
      <c r="AE1816" s="135"/>
    </row>
    <row r="1817" spans="1:31" ht="12.5" customHeight="1" x14ac:dyDescent="0.35">
      <c r="A1817" t="s">
        <v>396</v>
      </c>
      <c r="C1817" t="s">
        <v>4243</v>
      </c>
      <c r="D1817" t="s">
        <v>385</v>
      </c>
      <c r="E1817" s="133">
        <v>45841</v>
      </c>
      <c r="F1817" s="2">
        <v>9.1527777777777777E-2</v>
      </c>
      <c r="G1817">
        <v>2</v>
      </c>
      <c r="H1817" s="133">
        <v>45840</v>
      </c>
      <c r="I1817" s="2">
        <v>0.59152777777777776</v>
      </c>
      <c r="J1817">
        <v>14</v>
      </c>
      <c r="R1817" t="s">
        <v>30</v>
      </c>
      <c r="W1817">
        <v>1</v>
      </c>
      <c r="X1817" t="s">
        <v>30</v>
      </c>
      <c r="AC1817" t="s">
        <v>4244</v>
      </c>
      <c r="AE1817" s="135"/>
    </row>
    <row r="1818" spans="1:31" ht="12.5" customHeight="1" x14ac:dyDescent="0.35">
      <c r="A1818" t="s">
        <v>396</v>
      </c>
      <c r="C1818" t="s">
        <v>4245</v>
      </c>
      <c r="D1818" t="s">
        <v>385</v>
      </c>
      <c r="E1818" s="133">
        <v>45841</v>
      </c>
      <c r="F1818" s="2">
        <v>9.1620370370370366E-2</v>
      </c>
      <c r="G1818">
        <v>2</v>
      </c>
      <c r="H1818" s="133">
        <v>45840</v>
      </c>
      <c r="I1818" s="2">
        <v>0.5916203703703703</v>
      </c>
      <c r="J1818">
        <v>14</v>
      </c>
      <c r="R1818" t="s">
        <v>30</v>
      </c>
      <c r="W1818">
        <v>1</v>
      </c>
      <c r="X1818" t="s">
        <v>30</v>
      </c>
      <c r="AC1818" t="s">
        <v>4246</v>
      </c>
      <c r="AE1818" s="135"/>
    </row>
    <row r="1819" spans="1:31" ht="12.5" customHeight="1" x14ac:dyDescent="0.35">
      <c r="A1819" t="s">
        <v>396</v>
      </c>
      <c r="C1819" t="s">
        <v>4247</v>
      </c>
      <c r="D1819" t="s">
        <v>385</v>
      </c>
      <c r="E1819" s="133">
        <v>45841</v>
      </c>
      <c r="F1819" s="2">
        <v>9.1689814814814807E-2</v>
      </c>
      <c r="G1819">
        <v>2</v>
      </c>
      <c r="H1819" s="133">
        <v>45840</v>
      </c>
      <c r="I1819" s="2">
        <v>0.59168981481481475</v>
      </c>
      <c r="J1819">
        <v>14</v>
      </c>
      <c r="R1819" t="s">
        <v>30</v>
      </c>
      <c r="W1819">
        <v>1</v>
      </c>
      <c r="X1819" t="s">
        <v>30</v>
      </c>
      <c r="AC1819" t="s">
        <v>4248</v>
      </c>
      <c r="AE1819" s="135"/>
    </row>
    <row r="1820" spans="1:31" ht="12.5" customHeight="1" x14ac:dyDescent="0.35">
      <c r="A1820" t="s">
        <v>396</v>
      </c>
      <c r="C1820" t="s">
        <v>4249</v>
      </c>
      <c r="D1820" t="s">
        <v>385</v>
      </c>
      <c r="E1820" s="133">
        <v>45841</v>
      </c>
      <c r="F1820" s="2">
        <v>9.1759259259259263E-2</v>
      </c>
      <c r="G1820">
        <v>2</v>
      </c>
      <c r="H1820" s="133">
        <v>45840</v>
      </c>
      <c r="I1820" s="2">
        <v>0.59175925925925921</v>
      </c>
      <c r="J1820">
        <v>14</v>
      </c>
      <c r="R1820" t="s">
        <v>30</v>
      </c>
      <c r="W1820">
        <v>1</v>
      </c>
      <c r="X1820" t="s">
        <v>30</v>
      </c>
      <c r="AC1820" t="s">
        <v>4250</v>
      </c>
      <c r="AE1820" s="135"/>
    </row>
    <row r="1821" spans="1:31" ht="12.5" customHeight="1" x14ac:dyDescent="0.35">
      <c r="A1821" t="s">
        <v>396</v>
      </c>
      <c r="C1821" t="s">
        <v>4251</v>
      </c>
      <c r="D1821" t="s">
        <v>385</v>
      </c>
      <c r="E1821" s="133">
        <v>45841</v>
      </c>
      <c r="F1821" s="2">
        <v>9.1851851851851851E-2</v>
      </c>
      <c r="G1821">
        <v>2</v>
      </c>
      <c r="H1821" s="133">
        <v>45840</v>
      </c>
      <c r="I1821" s="2">
        <v>0.59185185185185185</v>
      </c>
      <c r="J1821">
        <v>14</v>
      </c>
      <c r="R1821" t="s">
        <v>30</v>
      </c>
      <c r="W1821">
        <v>1</v>
      </c>
      <c r="X1821" t="s">
        <v>30</v>
      </c>
      <c r="AC1821" t="s">
        <v>4252</v>
      </c>
      <c r="AE1821" s="135"/>
    </row>
    <row r="1822" spans="1:31" ht="12.5" customHeight="1" x14ac:dyDescent="0.35">
      <c r="A1822" t="s">
        <v>396</v>
      </c>
      <c r="C1822" t="s">
        <v>4253</v>
      </c>
      <c r="D1822" t="s">
        <v>385</v>
      </c>
      <c r="E1822" s="133">
        <v>45841</v>
      </c>
      <c r="F1822" s="2">
        <v>9.194444444444444E-2</v>
      </c>
      <c r="G1822">
        <v>2</v>
      </c>
      <c r="H1822" s="133">
        <v>45840</v>
      </c>
      <c r="I1822" s="2">
        <v>0.5919444444444445</v>
      </c>
      <c r="J1822">
        <v>14</v>
      </c>
      <c r="R1822" t="s">
        <v>30</v>
      </c>
      <c r="W1822">
        <v>1</v>
      </c>
      <c r="X1822" t="s">
        <v>30</v>
      </c>
      <c r="AC1822" t="s">
        <v>4254</v>
      </c>
      <c r="AE1822" s="135"/>
    </row>
    <row r="1823" spans="1:31" ht="12.5" customHeight="1" x14ac:dyDescent="0.35">
      <c r="A1823" t="s">
        <v>396</v>
      </c>
      <c r="C1823" t="s">
        <v>4255</v>
      </c>
      <c r="D1823" t="s">
        <v>385</v>
      </c>
      <c r="E1823" s="133">
        <v>45841</v>
      </c>
      <c r="F1823" s="2">
        <v>9.2013888888888895E-2</v>
      </c>
      <c r="G1823">
        <v>2</v>
      </c>
      <c r="H1823" s="133">
        <v>45840</v>
      </c>
      <c r="I1823" s="2">
        <v>0.59201388888888895</v>
      </c>
      <c r="J1823">
        <v>14</v>
      </c>
      <c r="R1823" t="s">
        <v>30</v>
      </c>
      <c r="W1823">
        <v>1</v>
      </c>
      <c r="X1823" t="s">
        <v>30</v>
      </c>
      <c r="AC1823" t="s">
        <v>4256</v>
      </c>
      <c r="AE1823" s="135"/>
    </row>
    <row r="1824" spans="1:31" ht="12.5" customHeight="1" x14ac:dyDescent="0.35">
      <c r="A1824" t="s">
        <v>396</v>
      </c>
      <c r="C1824" t="s">
        <v>4257</v>
      </c>
      <c r="D1824" t="s">
        <v>385</v>
      </c>
      <c r="E1824" s="133">
        <v>45841</v>
      </c>
      <c r="F1824" s="2">
        <v>9.2106481481481484E-2</v>
      </c>
      <c r="G1824">
        <v>2</v>
      </c>
      <c r="H1824" s="133">
        <v>45840</v>
      </c>
      <c r="I1824" s="2">
        <v>0.59210648148148148</v>
      </c>
      <c r="J1824">
        <v>14</v>
      </c>
      <c r="R1824" t="s">
        <v>30</v>
      </c>
      <c r="W1824">
        <v>1</v>
      </c>
      <c r="X1824" t="s">
        <v>30</v>
      </c>
      <c r="AC1824" t="s">
        <v>4258</v>
      </c>
      <c r="AE1824" s="135"/>
    </row>
    <row r="1825" spans="1:31" ht="12.5" customHeight="1" x14ac:dyDescent="0.35">
      <c r="A1825" t="s">
        <v>396</v>
      </c>
      <c r="C1825" t="s">
        <v>4259</v>
      </c>
      <c r="D1825" t="s">
        <v>385</v>
      </c>
      <c r="E1825" s="133">
        <v>45841</v>
      </c>
      <c r="F1825" s="2">
        <v>9.2175925925925925E-2</v>
      </c>
      <c r="G1825">
        <v>2</v>
      </c>
      <c r="H1825" s="133">
        <v>45840</v>
      </c>
      <c r="I1825" s="2">
        <v>0.59217592592592594</v>
      </c>
      <c r="J1825">
        <v>14</v>
      </c>
      <c r="R1825" t="s">
        <v>30</v>
      </c>
      <c r="W1825">
        <v>1</v>
      </c>
      <c r="X1825" t="s">
        <v>30</v>
      </c>
      <c r="AC1825" t="s">
        <v>4260</v>
      </c>
      <c r="AE1825" s="135"/>
    </row>
    <row r="1826" spans="1:31" ht="12.5" customHeight="1" x14ac:dyDescent="0.35">
      <c r="A1826" t="s">
        <v>396</v>
      </c>
      <c r="C1826" t="s">
        <v>4261</v>
      </c>
      <c r="D1826" t="s">
        <v>385</v>
      </c>
      <c r="E1826" s="133">
        <v>45841</v>
      </c>
      <c r="F1826" s="2">
        <v>9.2268518518518527E-2</v>
      </c>
      <c r="G1826">
        <v>2</v>
      </c>
      <c r="H1826" s="133">
        <v>45840</v>
      </c>
      <c r="I1826" s="2">
        <v>0.59226851851851847</v>
      </c>
      <c r="J1826">
        <v>14</v>
      </c>
      <c r="R1826" t="s">
        <v>30</v>
      </c>
      <c r="W1826">
        <v>1</v>
      </c>
      <c r="X1826" t="s">
        <v>30</v>
      </c>
      <c r="AC1826" t="s">
        <v>4262</v>
      </c>
      <c r="AE1826" s="135"/>
    </row>
    <row r="1827" spans="1:31" ht="12.5" customHeight="1" x14ac:dyDescent="0.35">
      <c r="A1827" t="s">
        <v>396</v>
      </c>
      <c r="C1827" t="s">
        <v>4263</v>
      </c>
      <c r="D1827" t="s">
        <v>385</v>
      </c>
      <c r="E1827" s="133">
        <v>45841</v>
      </c>
      <c r="F1827" s="2">
        <v>9.2337962962962969E-2</v>
      </c>
      <c r="G1827">
        <v>2</v>
      </c>
      <c r="H1827" s="133">
        <v>45840</v>
      </c>
      <c r="I1827" s="2">
        <v>0.59233796296296293</v>
      </c>
      <c r="J1827">
        <v>14</v>
      </c>
      <c r="R1827" t="s">
        <v>30</v>
      </c>
      <c r="W1827">
        <v>1</v>
      </c>
      <c r="X1827" t="s">
        <v>30</v>
      </c>
      <c r="AC1827" t="s">
        <v>4264</v>
      </c>
      <c r="AE1827" s="135"/>
    </row>
    <row r="1828" spans="1:31" ht="12.5" customHeight="1" x14ac:dyDescent="0.35">
      <c r="A1828" t="s">
        <v>396</v>
      </c>
      <c r="C1828" t="s">
        <v>4265</v>
      </c>
      <c r="D1828" t="s">
        <v>385</v>
      </c>
      <c r="E1828" s="133">
        <v>45841</v>
      </c>
      <c r="F1828" s="2">
        <v>9.2407407407407396E-2</v>
      </c>
      <c r="G1828">
        <v>2</v>
      </c>
      <c r="H1828" s="133">
        <v>45840</v>
      </c>
      <c r="I1828" s="2">
        <v>0.59240740740740738</v>
      </c>
      <c r="J1828">
        <v>14</v>
      </c>
      <c r="R1828" t="s">
        <v>30</v>
      </c>
      <c r="W1828">
        <v>1</v>
      </c>
      <c r="X1828" t="s">
        <v>30</v>
      </c>
      <c r="AC1828" t="s">
        <v>4266</v>
      </c>
      <c r="AE1828" s="135"/>
    </row>
    <row r="1829" spans="1:31" ht="12.5" customHeight="1" x14ac:dyDescent="0.35">
      <c r="A1829" t="s">
        <v>396</v>
      </c>
      <c r="C1829" t="s">
        <v>4267</v>
      </c>
      <c r="D1829" t="s">
        <v>385</v>
      </c>
      <c r="E1829" s="133">
        <v>45841</v>
      </c>
      <c r="F1829" s="2">
        <v>9.2500000000000013E-2</v>
      </c>
      <c r="G1829">
        <v>2</v>
      </c>
      <c r="H1829" s="133">
        <v>45840</v>
      </c>
      <c r="I1829" s="2">
        <v>0.59250000000000003</v>
      </c>
      <c r="J1829">
        <v>14</v>
      </c>
      <c r="R1829" t="s">
        <v>30</v>
      </c>
      <c r="W1829">
        <v>1</v>
      </c>
      <c r="X1829" t="s">
        <v>30</v>
      </c>
      <c r="AC1829" t="s">
        <v>4268</v>
      </c>
      <c r="AE1829" s="135"/>
    </row>
    <row r="1830" spans="1:31" ht="12.5" customHeight="1" x14ac:dyDescent="0.35">
      <c r="A1830" t="s">
        <v>396</v>
      </c>
      <c r="C1830" t="s">
        <v>4269</v>
      </c>
      <c r="D1830" t="s">
        <v>385</v>
      </c>
      <c r="E1830" s="133">
        <v>45841</v>
      </c>
      <c r="F1830" s="2">
        <v>9.256944444444444E-2</v>
      </c>
      <c r="G1830">
        <v>2</v>
      </c>
      <c r="H1830" s="133">
        <v>45840</v>
      </c>
      <c r="I1830" s="2">
        <v>0.59256944444444448</v>
      </c>
      <c r="J1830">
        <v>14</v>
      </c>
      <c r="R1830" t="s">
        <v>30</v>
      </c>
      <c r="W1830">
        <v>1</v>
      </c>
      <c r="X1830" t="s">
        <v>30</v>
      </c>
      <c r="AC1830" t="s">
        <v>4270</v>
      </c>
      <c r="AE1830" s="135"/>
    </row>
    <row r="1831" spans="1:31" ht="12.5" customHeight="1" x14ac:dyDescent="0.35">
      <c r="A1831" t="s">
        <v>396</v>
      </c>
      <c r="C1831" t="s">
        <v>4271</v>
      </c>
      <c r="D1831" t="s">
        <v>385</v>
      </c>
      <c r="E1831" s="133">
        <v>45841</v>
      </c>
      <c r="F1831" s="2">
        <v>9.2662037037037029E-2</v>
      </c>
      <c r="G1831">
        <v>2</v>
      </c>
      <c r="H1831" s="133">
        <v>45840</v>
      </c>
      <c r="I1831" s="2">
        <v>0.59266203703703701</v>
      </c>
      <c r="J1831">
        <v>14</v>
      </c>
      <c r="R1831" t="s">
        <v>30</v>
      </c>
      <c r="W1831">
        <v>1</v>
      </c>
      <c r="X1831" t="s">
        <v>30</v>
      </c>
      <c r="AC1831" t="s">
        <v>4272</v>
      </c>
      <c r="AE1831" s="135"/>
    </row>
    <row r="1832" spans="1:31" ht="12.5" customHeight="1" x14ac:dyDescent="0.35">
      <c r="A1832" t="s">
        <v>396</v>
      </c>
      <c r="C1832" t="s">
        <v>4273</v>
      </c>
      <c r="D1832" t="s">
        <v>385</v>
      </c>
      <c r="E1832" s="133">
        <v>45841</v>
      </c>
      <c r="F1832" s="2">
        <v>9.2731481481481484E-2</v>
      </c>
      <c r="G1832">
        <v>2</v>
      </c>
      <c r="H1832" s="133">
        <v>45840</v>
      </c>
      <c r="I1832" s="2">
        <v>0.59273148148148147</v>
      </c>
      <c r="J1832">
        <v>14</v>
      </c>
      <c r="R1832" t="s">
        <v>30</v>
      </c>
      <c r="W1832">
        <v>1</v>
      </c>
      <c r="X1832" t="s">
        <v>30</v>
      </c>
      <c r="AC1832" t="s">
        <v>4274</v>
      </c>
      <c r="AE1832" s="135"/>
    </row>
    <row r="1833" spans="1:31" ht="12.5" customHeight="1" x14ac:dyDescent="0.35">
      <c r="A1833" t="s">
        <v>396</v>
      </c>
      <c r="C1833" t="s">
        <v>4275</v>
      </c>
      <c r="D1833" t="s">
        <v>385</v>
      </c>
      <c r="E1833" s="133">
        <v>45841</v>
      </c>
      <c r="F1833" s="2">
        <v>9.2824074074074073E-2</v>
      </c>
      <c r="G1833">
        <v>2</v>
      </c>
      <c r="H1833" s="133">
        <v>45840</v>
      </c>
      <c r="I1833" s="2">
        <v>0.59282407407407411</v>
      </c>
      <c r="J1833">
        <v>14</v>
      </c>
      <c r="R1833" t="s">
        <v>30</v>
      </c>
      <c r="W1833">
        <v>1</v>
      </c>
      <c r="X1833" t="s">
        <v>30</v>
      </c>
      <c r="AC1833" t="s">
        <v>4276</v>
      </c>
      <c r="AE1833" s="135"/>
    </row>
    <row r="1834" spans="1:31" ht="12.5" customHeight="1" x14ac:dyDescent="0.35">
      <c r="A1834" t="s">
        <v>396</v>
      </c>
      <c r="C1834" t="s">
        <v>4277</v>
      </c>
      <c r="D1834" t="s">
        <v>385</v>
      </c>
      <c r="E1834" s="133">
        <v>45841</v>
      </c>
      <c r="F1834" s="2">
        <v>9.2893518518518514E-2</v>
      </c>
      <c r="G1834">
        <v>2</v>
      </c>
      <c r="H1834" s="133">
        <v>45840</v>
      </c>
      <c r="I1834" s="2">
        <v>0.59289351851851857</v>
      </c>
      <c r="J1834">
        <v>14</v>
      </c>
      <c r="R1834" t="s">
        <v>30</v>
      </c>
      <c r="W1834">
        <v>1</v>
      </c>
      <c r="X1834" t="s">
        <v>30</v>
      </c>
      <c r="AC1834" t="s">
        <v>4278</v>
      </c>
      <c r="AE1834" s="135"/>
    </row>
    <row r="1835" spans="1:31" ht="12.5" customHeight="1" x14ac:dyDescent="0.35">
      <c r="A1835" t="s">
        <v>396</v>
      </c>
      <c r="C1835" t="s">
        <v>4279</v>
      </c>
      <c r="D1835" t="s">
        <v>385</v>
      </c>
      <c r="E1835" s="133">
        <v>45841</v>
      </c>
      <c r="F1835" s="2">
        <v>9.2986111111111103E-2</v>
      </c>
      <c r="G1835">
        <v>2</v>
      </c>
      <c r="H1835" s="133">
        <v>45840</v>
      </c>
      <c r="I1835" s="2">
        <v>0.5929861111111111</v>
      </c>
      <c r="J1835">
        <v>14</v>
      </c>
      <c r="R1835" t="s">
        <v>30</v>
      </c>
      <c r="W1835">
        <v>1</v>
      </c>
      <c r="X1835" t="s">
        <v>30</v>
      </c>
      <c r="AC1835" t="s">
        <v>4280</v>
      </c>
      <c r="AE1835" s="135"/>
    </row>
    <row r="1836" spans="1:31" ht="12.5" customHeight="1" x14ac:dyDescent="0.35">
      <c r="A1836" t="s">
        <v>396</v>
      </c>
      <c r="C1836" t="s">
        <v>4281</v>
      </c>
      <c r="D1836" t="s">
        <v>385</v>
      </c>
      <c r="E1836" s="133">
        <v>45841</v>
      </c>
      <c r="F1836" s="2">
        <v>9.3055555555555558E-2</v>
      </c>
      <c r="G1836">
        <v>2</v>
      </c>
      <c r="H1836" s="133">
        <v>45840</v>
      </c>
      <c r="I1836" s="2">
        <v>0.59305555555555556</v>
      </c>
      <c r="J1836">
        <v>14</v>
      </c>
      <c r="R1836" t="s">
        <v>30</v>
      </c>
      <c r="W1836">
        <v>1</v>
      </c>
      <c r="X1836" t="s">
        <v>30</v>
      </c>
      <c r="AC1836" t="s">
        <v>4282</v>
      </c>
      <c r="AE1836" s="135"/>
    </row>
    <row r="1837" spans="1:31" ht="12.5" customHeight="1" x14ac:dyDescent="0.35">
      <c r="A1837" t="s">
        <v>396</v>
      </c>
      <c r="C1837" t="s">
        <v>4283</v>
      </c>
      <c r="D1837" t="s">
        <v>385</v>
      </c>
      <c r="E1837" s="133">
        <v>45841</v>
      </c>
      <c r="F1837" s="2">
        <v>9.3124999999999999E-2</v>
      </c>
      <c r="G1837">
        <v>2</v>
      </c>
      <c r="H1837" s="133">
        <v>45840</v>
      </c>
      <c r="I1837" s="2">
        <v>0.59312500000000001</v>
      </c>
      <c r="J1837">
        <v>14</v>
      </c>
      <c r="R1837" t="s">
        <v>30</v>
      </c>
      <c r="W1837">
        <v>1</v>
      </c>
      <c r="X1837" t="s">
        <v>30</v>
      </c>
      <c r="AC1837" t="s">
        <v>4284</v>
      </c>
      <c r="AE1837" s="135"/>
    </row>
    <row r="1838" spans="1:31" ht="12.5" customHeight="1" x14ac:dyDescent="0.35">
      <c r="A1838" t="s">
        <v>396</v>
      </c>
      <c r="C1838" t="s">
        <v>4285</v>
      </c>
      <c r="D1838" t="s">
        <v>385</v>
      </c>
      <c r="E1838" s="133">
        <v>45841</v>
      </c>
      <c r="F1838" s="2">
        <v>9.3217592592592588E-2</v>
      </c>
      <c r="G1838">
        <v>2</v>
      </c>
      <c r="H1838" s="133">
        <v>45840</v>
      </c>
      <c r="I1838" s="2">
        <v>0.59321759259259255</v>
      </c>
      <c r="J1838">
        <v>14</v>
      </c>
      <c r="R1838" t="s">
        <v>30</v>
      </c>
      <c r="W1838">
        <v>1</v>
      </c>
      <c r="X1838" t="s">
        <v>30</v>
      </c>
      <c r="AC1838" t="s">
        <v>4286</v>
      </c>
      <c r="AE1838" s="135"/>
    </row>
    <row r="1839" spans="1:31" ht="12.5" customHeight="1" x14ac:dyDescent="0.35">
      <c r="A1839" t="s">
        <v>396</v>
      </c>
      <c r="C1839" t="s">
        <v>4287</v>
      </c>
      <c r="D1839" t="s">
        <v>385</v>
      </c>
      <c r="E1839" s="133">
        <v>45841</v>
      </c>
      <c r="F1839" s="2">
        <v>9.3287037037037043E-2</v>
      </c>
      <c r="G1839">
        <v>2</v>
      </c>
      <c r="H1839" s="133">
        <v>45840</v>
      </c>
      <c r="I1839" s="2">
        <v>0.593287037037037</v>
      </c>
      <c r="J1839">
        <v>14</v>
      </c>
      <c r="R1839" t="s">
        <v>30</v>
      </c>
      <c r="W1839">
        <v>1</v>
      </c>
      <c r="X1839" t="s">
        <v>30</v>
      </c>
      <c r="AC1839" t="s">
        <v>4288</v>
      </c>
      <c r="AE1839" s="135"/>
    </row>
    <row r="1840" spans="1:31" ht="12.5" customHeight="1" x14ac:dyDescent="0.35">
      <c r="A1840" t="s">
        <v>396</v>
      </c>
      <c r="C1840" t="s">
        <v>4289</v>
      </c>
      <c r="D1840" t="s">
        <v>385</v>
      </c>
      <c r="E1840" s="133">
        <v>45841</v>
      </c>
      <c r="F1840" s="2">
        <v>9.3379629629629632E-2</v>
      </c>
      <c r="G1840">
        <v>2</v>
      </c>
      <c r="H1840" s="133">
        <v>45840</v>
      </c>
      <c r="I1840" s="2">
        <v>0.59337962962962965</v>
      </c>
      <c r="J1840">
        <v>14</v>
      </c>
      <c r="R1840" t="s">
        <v>30</v>
      </c>
      <c r="W1840">
        <v>1</v>
      </c>
      <c r="X1840" t="s">
        <v>30</v>
      </c>
      <c r="AC1840" t="s">
        <v>4290</v>
      </c>
      <c r="AE1840" s="135"/>
    </row>
    <row r="1841" spans="1:31" ht="12.5" customHeight="1" x14ac:dyDescent="0.35">
      <c r="A1841" t="s">
        <v>396</v>
      </c>
      <c r="C1841" t="s">
        <v>4291</v>
      </c>
      <c r="D1841" t="s">
        <v>385</v>
      </c>
      <c r="E1841" s="133">
        <v>45841</v>
      </c>
      <c r="F1841" s="2">
        <v>9.3449074074074087E-2</v>
      </c>
      <c r="G1841">
        <v>2</v>
      </c>
      <c r="H1841" s="133">
        <v>45840</v>
      </c>
      <c r="I1841" s="2">
        <v>0.5934490740740741</v>
      </c>
      <c r="J1841">
        <v>14</v>
      </c>
      <c r="R1841" t="s">
        <v>30</v>
      </c>
      <c r="W1841">
        <v>1</v>
      </c>
      <c r="X1841" t="s">
        <v>30</v>
      </c>
      <c r="AC1841" t="s">
        <v>4292</v>
      </c>
      <c r="AE1841" s="135"/>
    </row>
    <row r="1842" spans="1:31" ht="12.5" customHeight="1" x14ac:dyDescent="0.35">
      <c r="A1842" t="s">
        <v>396</v>
      </c>
      <c r="C1842" t="s">
        <v>4293</v>
      </c>
      <c r="D1842" t="s">
        <v>385</v>
      </c>
      <c r="E1842" s="133">
        <v>45841</v>
      </c>
      <c r="F1842" s="2">
        <v>9.3518518518518515E-2</v>
      </c>
      <c r="G1842">
        <v>2</v>
      </c>
      <c r="H1842" s="133">
        <v>45840</v>
      </c>
      <c r="I1842" s="2">
        <v>0.59351851851851845</v>
      </c>
      <c r="J1842">
        <v>14</v>
      </c>
      <c r="R1842" t="s">
        <v>30</v>
      </c>
      <c r="W1842">
        <v>1</v>
      </c>
      <c r="X1842" t="s">
        <v>30</v>
      </c>
      <c r="AC1842" t="s">
        <v>4294</v>
      </c>
      <c r="AE1842" s="135"/>
    </row>
    <row r="1843" spans="1:31" ht="12.5" customHeight="1" x14ac:dyDescent="0.35">
      <c r="A1843" t="s">
        <v>396</v>
      </c>
      <c r="C1843" t="s">
        <v>4295</v>
      </c>
      <c r="D1843" t="s">
        <v>385</v>
      </c>
      <c r="E1843" s="133">
        <v>45841</v>
      </c>
      <c r="F1843" s="2">
        <v>9.3611111111111103E-2</v>
      </c>
      <c r="G1843">
        <v>2</v>
      </c>
      <c r="H1843" s="133">
        <v>45840</v>
      </c>
      <c r="I1843" s="2">
        <v>0.59361111111111109</v>
      </c>
      <c r="J1843">
        <v>14</v>
      </c>
      <c r="R1843" t="s">
        <v>30</v>
      </c>
      <c r="W1843">
        <v>1</v>
      </c>
      <c r="X1843" t="s">
        <v>30</v>
      </c>
      <c r="AC1843" t="s">
        <v>4296</v>
      </c>
      <c r="AE1843" s="135"/>
    </row>
    <row r="1844" spans="1:31" ht="12.5" customHeight="1" x14ac:dyDescent="0.35">
      <c r="A1844" t="s">
        <v>396</v>
      </c>
      <c r="C1844" t="s">
        <v>4297</v>
      </c>
      <c r="D1844" t="s">
        <v>385</v>
      </c>
      <c r="E1844" s="133">
        <v>45841</v>
      </c>
      <c r="F1844" s="2">
        <v>9.3703703703703692E-2</v>
      </c>
      <c r="G1844">
        <v>2</v>
      </c>
      <c r="H1844" s="133">
        <v>45840</v>
      </c>
      <c r="I1844" s="2">
        <v>0.59370370370370373</v>
      </c>
      <c r="J1844">
        <v>14</v>
      </c>
      <c r="R1844" t="s">
        <v>30</v>
      </c>
      <c r="W1844">
        <v>1</v>
      </c>
      <c r="X1844" t="s">
        <v>30</v>
      </c>
      <c r="AC1844" t="s">
        <v>4298</v>
      </c>
      <c r="AE1844" s="135"/>
    </row>
    <row r="1845" spans="1:31" ht="12.5" customHeight="1" x14ac:dyDescent="0.35">
      <c r="A1845" t="s">
        <v>396</v>
      </c>
      <c r="C1845" t="s">
        <v>4299</v>
      </c>
      <c r="D1845" t="s">
        <v>385</v>
      </c>
      <c r="E1845" s="133">
        <v>45841</v>
      </c>
      <c r="F1845" s="2">
        <v>9.3773148148148147E-2</v>
      </c>
      <c r="G1845">
        <v>2</v>
      </c>
      <c r="H1845" s="133">
        <v>45840</v>
      </c>
      <c r="I1845" s="2">
        <v>0.59377314814814819</v>
      </c>
      <c r="J1845">
        <v>14</v>
      </c>
      <c r="R1845" t="s">
        <v>30</v>
      </c>
      <c r="W1845">
        <v>1</v>
      </c>
      <c r="X1845" t="s">
        <v>30</v>
      </c>
      <c r="AC1845" t="s">
        <v>4300</v>
      </c>
      <c r="AE1845" s="135"/>
    </row>
    <row r="1846" spans="1:31" ht="12.5" customHeight="1" x14ac:dyDescent="0.35">
      <c r="A1846" t="s">
        <v>396</v>
      </c>
      <c r="C1846" t="s">
        <v>4301</v>
      </c>
      <c r="D1846" t="s">
        <v>385</v>
      </c>
      <c r="E1846" s="133">
        <v>45841</v>
      </c>
      <c r="F1846" s="2">
        <v>9.3865740740740736E-2</v>
      </c>
      <c r="G1846">
        <v>2</v>
      </c>
      <c r="H1846" s="133">
        <v>45840</v>
      </c>
      <c r="I1846" s="2">
        <v>0.59386574074074072</v>
      </c>
      <c r="J1846">
        <v>14</v>
      </c>
      <c r="R1846" t="s">
        <v>30</v>
      </c>
      <c r="W1846">
        <v>1</v>
      </c>
      <c r="X1846" t="s">
        <v>30</v>
      </c>
      <c r="AC1846" t="s">
        <v>4302</v>
      </c>
      <c r="AE1846" s="135"/>
    </row>
    <row r="1847" spans="1:31" ht="12.5" customHeight="1" x14ac:dyDescent="0.35">
      <c r="A1847" t="s">
        <v>396</v>
      </c>
      <c r="C1847" t="s">
        <v>4303</v>
      </c>
      <c r="D1847" t="s">
        <v>385</v>
      </c>
      <c r="E1847" s="133">
        <v>45841</v>
      </c>
      <c r="F1847" s="2">
        <v>9.3935185185185177E-2</v>
      </c>
      <c r="G1847">
        <v>2</v>
      </c>
      <c r="H1847" s="133">
        <v>45840</v>
      </c>
      <c r="I1847" s="2">
        <v>0.59393518518518518</v>
      </c>
      <c r="J1847">
        <v>14</v>
      </c>
      <c r="R1847" t="s">
        <v>30</v>
      </c>
      <c r="W1847">
        <v>1</v>
      </c>
      <c r="X1847" t="s">
        <v>30</v>
      </c>
      <c r="AC1847" t="s">
        <v>4304</v>
      </c>
      <c r="AE1847" s="135"/>
    </row>
    <row r="1848" spans="1:31" ht="12.5" customHeight="1" x14ac:dyDescent="0.35">
      <c r="A1848" t="s">
        <v>396</v>
      </c>
      <c r="C1848" t="s">
        <v>4305</v>
      </c>
      <c r="D1848" t="s">
        <v>385</v>
      </c>
      <c r="E1848" s="133">
        <v>45841</v>
      </c>
      <c r="F1848" s="2">
        <v>9.402777777777778E-2</v>
      </c>
      <c r="G1848">
        <v>2</v>
      </c>
      <c r="H1848" s="133">
        <v>45840</v>
      </c>
      <c r="I1848" s="2">
        <v>0.59402777777777771</v>
      </c>
      <c r="J1848">
        <v>14</v>
      </c>
      <c r="R1848" t="s">
        <v>30</v>
      </c>
      <c r="W1848">
        <v>1</v>
      </c>
      <c r="X1848" t="s">
        <v>30</v>
      </c>
      <c r="AC1848" t="s">
        <v>4306</v>
      </c>
      <c r="AE1848" s="135"/>
    </row>
    <row r="1849" spans="1:31" ht="12.5" customHeight="1" x14ac:dyDescent="0.35">
      <c r="A1849" t="s">
        <v>396</v>
      </c>
      <c r="C1849" t="s">
        <v>4307</v>
      </c>
      <c r="D1849" t="s">
        <v>385</v>
      </c>
      <c r="E1849" s="133">
        <v>45841</v>
      </c>
      <c r="F1849" s="2">
        <v>9.4120370370370368E-2</v>
      </c>
      <c r="G1849">
        <v>2</v>
      </c>
      <c r="H1849" s="133">
        <v>45840</v>
      </c>
      <c r="I1849" s="2">
        <v>0.59412037037037035</v>
      </c>
      <c r="J1849">
        <v>14</v>
      </c>
      <c r="R1849" t="s">
        <v>30</v>
      </c>
      <c r="W1849">
        <v>1</v>
      </c>
      <c r="X1849" t="s">
        <v>30</v>
      </c>
      <c r="AC1849" t="s">
        <v>4308</v>
      </c>
      <c r="AE1849" s="135"/>
    </row>
    <row r="1850" spans="1:31" ht="12.5" customHeight="1" x14ac:dyDescent="0.35">
      <c r="A1850" t="s">
        <v>396</v>
      </c>
      <c r="C1850" t="s">
        <v>4309</v>
      </c>
      <c r="D1850" t="s">
        <v>385</v>
      </c>
      <c r="E1850" s="133">
        <v>45841</v>
      </c>
      <c r="F1850" s="2">
        <v>9.418981481481481E-2</v>
      </c>
      <c r="G1850">
        <v>2</v>
      </c>
      <c r="H1850" s="133">
        <v>45840</v>
      </c>
      <c r="I1850" s="2">
        <v>0.59418981481481481</v>
      </c>
      <c r="J1850">
        <v>14</v>
      </c>
      <c r="R1850" t="s">
        <v>30</v>
      </c>
      <c r="W1850">
        <v>1</v>
      </c>
      <c r="X1850" t="s">
        <v>30</v>
      </c>
      <c r="AC1850" t="s">
        <v>4310</v>
      </c>
      <c r="AE1850" s="135"/>
    </row>
    <row r="1851" spans="1:31" ht="12.5" customHeight="1" x14ac:dyDescent="0.35">
      <c r="A1851" t="s">
        <v>396</v>
      </c>
      <c r="C1851" t="s">
        <v>4311</v>
      </c>
      <c r="D1851" t="s">
        <v>385</v>
      </c>
      <c r="E1851" s="133">
        <v>45841</v>
      </c>
      <c r="F1851" s="2">
        <v>9.4282407407407412E-2</v>
      </c>
      <c r="G1851">
        <v>2</v>
      </c>
      <c r="H1851" s="133">
        <v>45840</v>
      </c>
      <c r="I1851" s="2">
        <v>0.59428240740740745</v>
      </c>
      <c r="J1851">
        <v>14</v>
      </c>
      <c r="R1851" t="s">
        <v>30</v>
      </c>
      <c r="W1851">
        <v>1</v>
      </c>
      <c r="X1851" t="s">
        <v>30</v>
      </c>
      <c r="AC1851" t="s">
        <v>4312</v>
      </c>
      <c r="AE1851" s="135"/>
    </row>
    <row r="1852" spans="1:31" ht="12.5" customHeight="1" x14ac:dyDescent="0.35">
      <c r="A1852" t="s">
        <v>396</v>
      </c>
      <c r="C1852" t="s">
        <v>4313</v>
      </c>
      <c r="D1852" t="s">
        <v>385</v>
      </c>
      <c r="E1852" s="133">
        <v>45841</v>
      </c>
      <c r="F1852" s="2">
        <v>9.4375000000000001E-2</v>
      </c>
      <c r="G1852">
        <v>2</v>
      </c>
      <c r="H1852" s="133">
        <v>45840</v>
      </c>
      <c r="I1852" s="2">
        <v>0.59437499999999999</v>
      </c>
      <c r="J1852">
        <v>14</v>
      </c>
      <c r="R1852" t="s">
        <v>30</v>
      </c>
      <c r="W1852">
        <v>1</v>
      </c>
      <c r="X1852" t="s">
        <v>30</v>
      </c>
      <c r="AC1852" t="s">
        <v>4314</v>
      </c>
      <c r="AE1852" s="135"/>
    </row>
    <row r="1853" spans="1:31" ht="12.5" customHeight="1" x14ac:dyDescent="0.35">
      <c r="A1853" t="s">
        <v>396</v>
      </c>
      <c r="C1853" t="s">
        <v>4315</v>
      </c>
      <c r="D1853" t="s">
        <v>385</v>
      </c>
      <c r="E1853" s="133">
        <v>45841</v>
      </c>
      <c r="F1853" s="2">
        <v>9.4467592592592589E-2</v>
      </c>
      <c r="G1853">
        <v>2</v>
      </c>
      <c r="H1853" s="133">
        <v>45840</v>
      </c>
      <c r="I1853" s="2">
        <v>0.59446759259259263</v>
      </c>
      <c r="J1853">
        <v>14</v>
      </c>
      <c r="R1853" t="s">
        <v>30</v>
      </c>
      <c r="W1853">
        <v>1</v>
      </c>
      <c r="X1853" t="s">
        <v>30</v>
      </c>
      <c r="AC1853" t="s">
        <v>4316</v>
      </c>
      <c r="AE1853" s="135"/>
    </row>
    <row r="1854" spans="1:31" ht="12.5" customHeight="1" x14ac:dyDescent="0.35">
      <c r="A1854" t="s">
        <v>396</v>
      </c>
      <c r="C1854" t="s">
        <v>4317</v>
      </c>
      <c r="D1854" t="s">
        <v>385</v>
      </c>
      <c r="E1854" s="133">
        <v>45841</v>
      </c>
      <c r="F1854" s="2">
        <v>9.4537037037037031E-2</v>
      </c>
      <c r="G1854">
        <v>2</v>
      </c>
      <c r="H1854" s="133">
        <v>45840</v>
      </c>
      <c r="I1854" s="2">
        <v>0.59453703703703698</v>
      </c>
      <c r="J1854">
        <v>14</v>
      </c>
      <c r="R1854" t="s">
        <v>30</v>
      </c>
      <c r="W1854">
        <v>1</v>
      </c>
      <c r="X1854" t="s">
        <v>30</v>
      </c>
      <c r="AC1854" t="s">
        <v>4318</v>
      </c>
      <c r="AE1854" s="135"/>
    </row>
    <row r="1855" spans="1:31" ht="12.5" customHeight="1" x14ac:dyDescent="0.35">
      <c r="A1855" t="s">
        <v>396</v>
      </c>
      <c r="C1855" t="s">
        <v>4319</v>
      </c>
      <c r="D1855" t="s">
        <v>385</v>
      </c>
      <c r="E1855" s="133">
        <v>45841</v>
      </c>
      <c r="F1855" s="2">
        <v>9.4606481481481486E-2</v>
      </c>
      <c r="G1855">
        <v>2</v>
      </c>
      <c r="H1855" s="133">
        <v>45840</v>
      </c>
      <c r="I1855" s="2">
        <v>0.59460648148148143</v>
      </c>
      <c r="J1855">
        <v>14</v>
      </c>
      <c r="R1855" t="s">
        <v>30</v>
      </c>
      <c r="W1855">
        <v>1</v>
      </c>
      <c r="X1855" t="s">
        <v>30</v>
      </c>
      <c r="AC1855" t="s">
        <v>4320</v>
      </c>
      <c r="AE1855" s="135"/>
    </row>
    <row r="1856" spans="1:31" ht="12.5" customHeight="1" x14ac:dyDescent="0.35">
      <c r="A1856" t="s">
        <v>396</v>
      </c>
      <c r="C1856" t="s">
        <v>4321</v>
      </c>
      <c r="D1856" t="s">
        <v>385</v>
      </c>
      <c r="E1856" s="133">
        <v>45841</v>
      </c>
      <c r="F1856" s="2">
        <v>9.4722222222222222E-2</v>
      </c>
      <c r="G1856">
        <v>2</v>
      </c>
      <c r="H1856" s="133">
        <v>45840</v>
      </c>
      <c r="I1856" s="2">
        <v>0.59472222222222226</v>
      </c>
      <c r="J1856">
        <v>14</v>
      </c>
      <c r="R1856" t="s">
        <v>30</v>
      </c>
      <c r="W1856">
        <v>1</v>
      </c>
      <c r="X1856" t="s">
        <v>30</v>
      </c>
      <c r="AC1856" t="s">
        <v>4322</v>
      </c>
      <c r="AE1856" s="135"/>
    </row>
    <row r="1857" spans="1:31" ht="12.5" customHeight="1" x14ac:dyDescent="0.35">
      <c r="A1857" t="s">
        <v>396</v>
      </c>
      <c r="C1857" t="s">
        <v>4323</v>
      </c>
      <c r="D1857" t="s">
        <v>385</v>
      </c>
      <c r="E1857" s="133">
        <v>45841</v>
      </c>
      <c r="F1857" s="2">
        <v>9.481481481481481E-2</v>
      </c>
      <c r="G1857">
        <v>2</v>
      </c>
      <c r="H1857" s="133">
        <v>45840</v>
      </c>
      <c r="I1857" s="2">
        <v>0.5948148148148148</v>
      </c>
      <c r="J1857">
        <v>14</v>
      </c>
      <c r="R1857" t="s">
        <v>30</v>
      </c>
      <c r="W1857">
        <v>1</v>
      </c>
      <c r="X1857" t="s">
        <v>30</v>
      </c>
      <c r="AC1857" t="s">
        <v>4324</v>
      </c>
      <c r="AE1857" s="135"/>
    </row>
    <row r="1858" spans="1:31" ht="12.5" customHeight="1" x14ac:dyDescent="0.35">
      <c r="A1858" t="s">
        <v>396</v>
      </c>
      <c r="C1858" t="s">
        <v>4325</v>
      </c>
      <c r="D1858" t="s">
        <v>385</v>
      </c>
      <c r="E1858" s="133">
        <v>45841</v>
      </c>
      <c r="F1858" s="2">
        <v>9.4907407407407399E-2</v>
      </c>
      <c r="G1858">
        <v>2</v>
      </c>
      <c r="H1858" s="133">
        <v>45840</v>
      </c>
      <c r="I1858" s="2">
        <v>0.59490740740740744</v>
      </c>
      <c r="J1858">
        <v>14</v>
      </c>
      <c r="R1858" t="s">
        <v>30</v>
      </c>
      <c r="W1858">
        <v>1</v>
      </c>
      <c r="X1858" t="s">
        <v>30</v>
      </c>
      <c r="AC1858" t="s">
        <v>4326</v>
      </c>
      <c r="AE1858" s="135"/>
    </row>
    <row r="1859" spans="1:31" ht="12.5" customHeight="1" x14ac:dyDescent="0.35">
      <c r="A1859" t="s">
        <v>396</v>
      </c>
      <c r="C1859" t="s">
        <v>4327</v>
      </c>
      <c r="D1859" t="s">
        <v>385</v>
      </c>
      <c r="E1859" s="133">
        <v>45841</v>
      </c>
      <c r="F1859" s="2">
        <v>9.4976851851851854E-2</v>
      </c>
      <c r="G1859">
        <v>2</v>
      </c>
      <c r="H1859" s="133">
        <v>45840</v>
      </c>
      <c r="I1859" s="2">
        <v>0.59497685185185178</v>
      </c>
      <c r="J1859">
        <v>14</v>
      </c>
      <c r="R1859" t="s">
        <v>30</v>
      </c>
      <c r="W1859">
        <v>1</v>
      </c>
      <c r="X1859" t="s">
        <v>30</v>
      </c>
      <c r="AC1859" t="s">
        <v>4328</v>
      </c>
      <c r="AE1859" s="135"/>
    </row>
    <row r="1860" spans="1:31" ht="12.5" customHeight="1" x14ac:dyDescent="0.35">
      <c r="A1860" t="s">
        <v>396</v>
      </c>
      <c r="C1860" t="s">
        <v>4329</v>
      </c>
      <c r="D1860" t="s">
        <v>385</v>
      </c>
      <c r="E1860" s="133">
        <v>45841</v>
      </c>
      <c r="F1860" s="2">
        <v>9.5069444444444443E-2</v>
      </c>
      <c r="G1860">
        <v>2</v>
      </c>
      <c r="H1860" s="133">
        <v>45840</v>
      </c>
      <c r="I1860" s="2">
        <v>0.59506944444444443</v>
      </c>
      <c r="J1860">
        <v>14</v>
      </c>
      <c r="R1860" t="s">
        <v>30</v>
      </c>
      <c r="W1860">
        <v>1</v>
      </c>
      <c r="X1860" t="s">
        <v>30</v>
      </c>
      <c r="AC1860" t="s">
        <v>4330</v>
      </c>
      <c r="AE1860" s="135"/>
    </row>
    <row r="1861" spans="1:31" ht="12.5" customHeight="1" x14ac:dyDescent="0.35">
      <c r="A1861" t="s">
        <v>396</v>
      </c>
      <c r="C1861" t="s">
        <v>4331</v>
      </c>
      <c r="D1861" t="s">
        <v>385</v>
      </c>
      <c r="E1861" s="133">
        <v>45841</v>
      </c>
      <c r="F1861" s="2">
        <v>9.5162037037037031E-2</v>
      </c>
      <c r="G1861">
        <v>2</v>
      </c>
      <c r="H1861" s="133">
        <v>45840</v>
      </c>
      <c r="I1861" s="2">
        <v>0.59516203703703707</v>
      </c>
      <c r="J1861">
        <v>14</v>
      </c>
      <c r="R1861" t="s">
        <v>30</v>
      </c>
      <c r="W1861">
        <v>1</v>
      </c>
      <c r="X1861" t="s">
        <v>30</v>
      </c>
      <c r="AC1861" t="s">
        <v>4332</v>
      </c>
      <c r="AE1861" s="135"/>
    </row>
    <row r="1862" spans="1:31" ht="12.5" customHeight="1" x14ac:dyDescent="0.35">
      <c r="A1862" t="s">
        <v>396</v>
      </c>
      <c r="C1862" t="s">
        <v>4333</v>
      </c>
      <c r="D1862" t="s">
        <v>385</v>
      </c>
      <c r="E1862" s="133">
        <v>45841</v>
      </c>
      <c r="F1862" s="2">
        <v>9.5231481481481486E-2</v>
      </c>
      <c r="G1862">
        <v>2</v>
      </c>
      <c r="H1862" s="133">
        <v>45840</v>
      </c>
      <c r="I1862" s="2">
        <v>0.59523148148148153</v>
      </c>
      <c r="J1862">
        <v>14</v>
      </c>
      <c r="R1862" t="s">
        <v>30</v>
      </c>
      <c r="W1862">
        <v>1</v>
      </c>
      <c r="X1862" t="s">
        <v>30</v>
      </c>
      <c r="AC1862" t="s">
        <v>4334</v>
      </c>
      <c r="AE1862" s="135"/>
    </row>
    <row r="1863" spans="1:31" ht="12.5" customHeight="1" x14ac:dyDescent="0.35">
      <c r="A1863" t="s">
        <v>396</v>
      </c>
      <c r="C1863" t="s">
        <v>4335</v>
      </c>
      <c r="D1863" t="s">
        <v>385</v>
      </c>
      <c r="E1863" s="133">
        <v>45841</v>
      </c>
      <c r="F1863" s="2">
        <v>9.5324074074074075E-2</v>
      </c>
      <c r="G1863">
        <v>2</v>
      </c>
      <c r="H1863" s="133">
        <v>45840</v>
      </c>
      <c r="I1863" s="2">
        <v>0.59532407407407406</v>
      </c>
      <c r="J1863">
        <v>14</v>
      </c>
      <c r="R1863" t="s">
        <v>30</v>
      </c>
      <c r="W1863">
        <v>1</v>
      </c>
      <c r="X1863" t="s">
        <v>30</v>
      </c>
      <c r="AC1863" t="s">
        <v>4336</v>
      </c>
      <c r="AE1863" s="135"/>
    </row>
    <row r="1864" spans="1:31" ht="12.5" customHeight="1" x14ac:dyDescent="0.35">
      <c r="A1864" t="s">
        <v>396</v>
      </c>
      <c r="C1864" t="s">
        <v>4337</v>
      </c>
      <c r="D1864" t="s">
        <v>385</v>
      </c>
      <c r="E1864" s="133">
        <v>45841</v>
      </c>
      <c r="F1864" s="2">
        <v>9.5416666666666664E-2</v>
      </c>
      <c r="G1864">
        <v>2</v>
      </c>
      <c r="H1864" s="133">
        <v>45840</v>
      </c>
      <c r="I1864" s="2">
        <v>0.59541666666666659</v>
      </c>
      <c r="J1864">
        <v>14</v>
      </c>
      <c r="R1864" t="s">
        <v>30</v>
      </c>
      <c r="W1864">
        <v>1</v>
      </c>
      <c r="X1864" t="s">
        <v>30</v>
      </c>
      <c r="AC1864" t="s">
        <v>4338</v>
      </c>
      <c r="AE1864" s="135"/>
    </row>
    <row r="1865" spans="1:31" ht="12.5" customHeight="1" x14ac:dyDescent="0.35">
      <c r="A1865" t="s">
        <v>396</v>
      </c>
      <c r="C1865" t="s">
        <v>4339</v>
      </c>
      <c r="D1865" t="s">
        <v>385</v>
      </c>
      <c r="E1865" s="133">
        <v>45841</v>
      </c>
      <c r="F1865" s="2">
        <v>9.5509259259259252E-2</v>
      </c>
      <c r="G1865">
        <v>2</v>
      </c>
      <c r="H1865" s="133">
        <v>45840</v>
      </c>
      <c r="I1865" s="2">
        <v>0.59550925925925924</v>
      </c>
      <c r="J1865">
        <v>14</v>
      </c>
      <c r="R1865" t="s">
        <v>30</v>
      </c>
      <c r="W1865">
        <v>1</v>
      </c>
      <c r="X1865" t="s">
        <v>30</v>
      </c>
      <c r="AC1865" t="s">
        <v>4340</v>
      </c>
      <c r="AE1865" s="135"/>
    </row>
    <row r="1866" spans="1:31" ht="12.5" customHeight="1" x14ac:dyDescent="0.35">
      <c r="A1866" t="s">
        <v>396</v>
      </c>
      <c r="C1866" t="s">
        <v>4341</v>
      </c>
      <c r="D1866" t="s">
        <v>385</v>
      </c>
      <c r="E1866" s="133">
        <v>45841</v>
      </c>
      <c r="F1866" s="2">
        <v>9.5578703703703694E-2</v>
      </c>
      <c r="G1866">
        <v>2</v>
      </c>
      <c r="H1866" s="133">
        <v>45840</v>
      </c>
      <c r="I1866" s="2">
        <v>0.59557870370370369</v>
      </c>
      <c r="J1866">
        <v>14</v>
      </c>
      <c r="R1866" t="s">
        <v>30</v>
      </c>
      <c r="W1866">
        <v>1</v>
      </c>
      <c r="X1866" t="s">
        <v>30</v>
      </c>
      <c r="AC1866" t="s">
        <v>4342</v>
      </c>
      <c r="AE1866" s="135"/>
    </row>
    <row r="1867" spans="1:31" ht="12.5" customHeight="1" x14ac:dyDescent="0.35">
      <c r="A1867" t="s">
        <v>396</v>
      </c>
      <c r="C1867" t="s">
        <v>4343</v>
      </c>
      <c r="D1867" t="s">
        <v>385</v>
      </c>
      <c r="E1867" s="133">
        <v>45841</v>
      </c>
      <c r="F1867" s="2">
        <v>9.5671296296296296E-2</v>
      </c>
      <c r="G1867">
        <v>2</v>
      </c>
      <c r="H1867" s="133">
        <v>45840</v>
      </c>
      <c r="I1867" s="2">
        <v>0.59567129629629634</v>
      </c>
      <c r="J1867">
        <v>14</v>
      </c>
      <c r="R1867" t="s">
        <v>30</v>
      </c>
      <c r="W1867">
        <v>1</v>
      </c>
      <c r="X1867" t="s">
        <v>30</v>
      </c>
      <c r="AC1867" t="s">
        <v>4344</v>
      </c>
      <c r="AE1867" s="135"/>
    </row>
    <row r="1868" spans="1:31" ht="12.5" customHeight="1" x14ac:dyDescent="0.35">
      <c r="A1868" t="s">
        <v>396</v>
      </c>
      <c r="C1868" t="s">
        <v>4345</v>
      </c>
      <c r="D1868" t="s">
        <v>385</v>
      </c>
      <c r="E1868" s="133">
        <v>45841</v>
      </c>
      <c r="F1868" s="2">
        <v>9.5740740740740737E-2</v>
      </c>
      <c r="G1868">
        <v>2</v>
      </c>
      <c r="H1868" s="133">
        <v>45840</v>
      </c>
      <c r="I1868" s="2">
        <v>0.59574074074074079</v>
      </c>
      <c r="J1868">
        <v>14</v>
      </c>
      <c r="R1868" t="s">
        <v>30</v>
      </c>
      <c r="W1868">
        <v>1</v>
      </c>
      <c r="X1868" t="s">
        <v>30</v>
      </c>
      <c r="AC1868" t="s">
        <v>4346</v>
      </c>
      <c r="AE1868" s="135"/>
    </row>
    <row r="1869" spans="1:31" ht="12.5" customHeight="1" x14ac:dyDescent="0.35">
      <c r="A1869" t="s">
        <v>396</v>
      </c>
      <c r="C1869" t="s">
        <v>4347</v>
      </c>
      <c r="D1869" t="s">
        <v>385</v>
      </c>
      <c r="E1869" s="133">
        <v>45841</v>
      </c>
      <c r="F1869" s="2">
        <v>9.5833333333333326E-2</v>
      </c>
      <c r="G1869">
        <v>2</v>
      </c>
      <c r="H1869" s="133">
        <v>45840</v>
      </c>
      <c r="I1869" s="2">
        <v>0.59583333333333333</v>
      </c>
      <c r="J1869">
        <v>14</v>
      </c>
      <c r="R1869" t="s">
        <v>30</v>
      </c>
      <c r="W1869">
        <v>1</v>
      </c>
      <c r="X1869" t="s">
        <v>30</v>
      </c>
      <c r="AC1869" t="s">
        <v>4348</v>
      </c>
      <c r="AE1869" s="135"/>
    </row>
    <row r="1870" spans="1:31" ht="12.5" customHeight="1" x14ac:dyDescent="0.35">
      <c r="A1870" t="s">
        <v>396</v>
      </c>
      <c r="C1870" t="s">
        <v>4349</v>
      </c>
      <c r="D1870" t="s">
        <v>385</v>
      </c>
      <c r="E1870" s="133">
        <v>45841</v>
      </c>
      <c r="F1870" s="2">
        <v>9.5925925925925928E-2</v>
      </c>
      <c r="G1870">
        <v>2</v>
      </c>
      <c r="H1870" s="133">
        <v>45840</v>
      </c>
      <c r="I1870" s="2">
        <v>0.59592592592592586</v>
      </c>
      <c r="J1870">
        <v>14</v>
      </c>
      <c r="R1870" t="s">
        <v>30</v>
      </c>
      <c r="W1870">
        <v>1</v>
      </c>
      <c r="X1870" t="s">
        <v>30</v>
      </c>
      <c r="AC1870" t="s">
        <v>4350</v>
      </c>
      <c r="AE1870" s="135"/>
    </row>
    <row r="1871" spans="1:31" ht="12.5" customHeight="1" x14ac:dyDescent="0.35">
      <c r="A1871" t="s">
        <v>396</v>
      </c>
      <c r="C1871" t="s">
        <v>4351</v>
      </c>
      <c r="D1871" t="s">
        <v>385</v>
      </c>
      <c r="E1871" s="133">
        <v>45841</v>
      </c>
      <c r="F1871" s="2">
        <v>9.6018518518518517E-2</v>
      </c>
      <c r="G1871">
        <v>2</v>
      </c>
      <c r="H1871" s="133">
        <v>45840</v>
      </c>
      <c r="I1871" s="2">
        <v>0.5960185185185185</v>
      </c>
      <c r="J1871">
        <v>14</v>
      </c>
      <c r="R1871" t="s">
        <v>30</v>
      </c>
      <c r="W1871">
        <v>1</v>
      </c>
      <c r="X1871" t="s">
        <v>30</v>
      </c>
      <c r="AC1871" t="s">
        <v>4352</v>
      </c>
      <c r="AE1871" s="135"/>
    </row>
    <row r="1872" spans="1:31" ht="12.5" customHeight="1" x14ac:dyDescent="0.35">
      <c r="A1872" t="s">
        <v>396</v>
      </c>
      <c r="C1872" t="s">
        <v>4353</v>
      </c>
      <c r="D1872" t="s">
        <v>385</v>
      </c>
      <c r="E1872" s="133">
        <v>45841</v>
      </c>
      <c r="F1872" s="2">
        <v>9.6087962962962958E-2</v>
      </c>
      <c r="G1872">
        <v>2</v>
      </c>
      <c r="H1872" s="133">
        <v>45840</v>
      </c>
      <c r="I1872" s="2">
        <v>0.59608796296296296</v>
      </c>
      <c r="J1872">
        <v>14</v>
      </c>
      <c r="R1872" t="s">
        <v>30</v>
      </c>
      <c r="W1872">
        <v>1</v>
      </c>
      <c r="X1872" t="s">
        <v>30</v>
      </c>
      <c r="AC1872" t="s">
        <v>4354</v>
      </c>
      <c r="AE1872" s="135"/>
    </row>
    <row r="1873" spans="1:31" ht="12.5" customHeight="1" x14ac:dyDescent="0.35">
      <c r="A1873" t="s">
        <v>396</v>
      </c>
      <c r="C1873" t="s">
        <v>4355</v>
      </c>
      <c r="D1873" t="s">
        <v>385</v>
      </c>
      <c r="E1873" s="133">
        <v>45841</v>
      </c>
      <c r="F1873" s="2">
        <v>9.6180555555555561E-2</v>
      </c>
      <c r="G1873">
        <v>2</v>
      </c>
      <c r="H1873" s="133">
        <v>45840</v>
      </c>
      <c r="I1873" s="2">
        <v>0.5961805555555556</v>
      </c>
      <c r="J1873">
        <v>14</v>
      </c>
      <c r="R1873" t="s">
        <v>30</v>
      </c>
      <c r="W1873">
        <v>1</v>
      </c>
      <c r="X1873" t="s">
        <v>30</v>
      </c>
      <c r="AC1873" t="s">
        <v>4356</v>
      </c>
      <c r="AE1873" s="135"/>
    </row>
    <row r="1874" spans="1:31" ht="12.5" customHeight="1" x14ac:dyDescent="0.35">
      <c r="A1874" t="s">
        <v>396</v>
      </c>
      <c r="C1874" t="s">
        <v>4357</v>
      </c>
      <c r="D1874" t="s">
        <v>385</v>
      </c>
      <c r="E1874" s="133">
        <v>45841</v>
      </c>
      <c r="F1874" s="2">
        <v>9.6250000000000002E-2</v>
      </c>
      <c r="G1874">
        <v>2</v>
      </c>
      <c r="H1874" s="133">
        <v>45840</v>
      </c>
      <c r="I1874" s="2">
        <v>0.59625000000000006</v>
      </c>
      <c r="J1874">
        <v>14</v>
      </c>
      <c r="R1874" t="s">
        <v>30</v>
      </c>
      <c r="W1874">
        <v>1</v>
      </c>
      <c r="X1874" t="s">
        <v>30</v>
      </c>
      <c r="AC1874" t="s">
        <v>4358</v>
      </c>
      <c r="AE1874" s="135"/>
    </row>
    <row r="1875" spans="1:31" ht="12.5" customHeight="1" x14ac:dyDescent="0.35">
      <c r="A1875" t="s">
        <v>396</v>
      </c>
      <c r="C1875" t="s">
        <v>4359</v>
      </c>
      <c r="D1875" t="s">
        <v>385</v>
      </c>
      <c r="E1875" s="133">
        <v>45841</v>
      </c>
      <c r="F1875" s="2">
        <v>9.6342592592592591E-2</v>
      </c>
      <c r="G1875">
        <v>2</v>
      </c>
      <c r="H1875" s="133">
        <v>45840</v>
      </c>
      <c r="I1875" s="2">
        <v>0.59634259259259259</v>
      </c>
      <c r="J1875">
        <v>14</v>
      </c>
      <c r="R1875" t="s">
        <v>30</v>
      </c>
      <c r="W1875">
        <v>1</v>
      </c>
      <c r="X1875" t="s">
        <v>30</v>
      </c>
      <c r="AC1875" t="s">
        <v>4360</v>
      </c>
      <c r="AE1875" s="135"/>
    </row>
    <row r="1876" spans="1:31" ht="12.5" customHeight="1" x14ac:dyDescent="0.35">
      <c r="A1876" t="s">
        <v>396</v>
      </c>
      <c r="C1876" t="s">
        <v>4361</v>
      </c>
      <c r="D1876" t="s">
        <v>385</v>
      </c>
      <c r="E1876" s="133">
        <v>45841</v>
      </c>
      <c r="F1876" s="2">
        <v>9.6412037037037046E-2</v>
      </c>
      <c r="G1876">
        <v>2</v>
      </c>
      <c r="H1876" s="133">
        <v>45840</v>
      </c>
      <c r="I1876" s="2">
        <v>0.59641203703703705</v>
      </c>
      <c r="J1876">
        <v>14</v>
      </c>
      <c r="R1876" t="s">
        <v>30</v>
      </c>
      <c r="W1876">
        <v>1</v>
      </c>
      <c r="X1876" t="s">
        <v>30</v>
      </c>
      <c r="AC1876" t="s">
        <v>4362</v>
      </c>
      <c r="AE1876" s="135"/>
    </row>
    <row r="1877" spans="1:31" ht="12.5" customHeight="1" x14ac:dyDescent="0.35">
      <c r="A1877" t="s">
        <v>396</v>
      </c>
      <c r="C1877" t="s">
        <v>4363</v>
      </c>
      <c r="D1877" t="s">
        <v>385</v>
      </c>
      <c r="E1877" s="133">
        <v>45841</v>
      </c>
      <c r="F1877" s="2">
        <v>9.6481481481481488E-2</v>
      </c>
      <c r="G1877">
        <v>2</v>
      </c>
      <c r="H1877" s="133">
        <v>45840</v>
      </c>
      <c r="I1877" s="2">
        <v>0.5964814814814815</v>
      </c>
      <c r="J1877">
        <v>14</v>
      </c>
      <c r="R1877" t="s">
        <v>30</v>
      </c>
      <c r="W1877">
        <v>1</v>
      </c>
      <c r="X1877" t="s">
        <v>30</v>
      </c>
      <c r="AC1877" t="s">
        <v>4364</v>
      </c>
      <c r="AE1877" s="135"/>
    </row>
    <row r="1878" spans="1:31" ht="12.5" customHeight="1" x14ac:dyDescent="0.35">
      <c r="A1878" t="s">
        <v>396</v>
      </c>
      <c r="C1878" t="s">
        <v>4365</v>
      </c>
      <c r="D1878" t="s">
        <v>385</v>
      </c>
      <c r="E1878" s="133">
        <v>45841</v>
      </c>
      <c r="F1878" s="2">
        <v>9.6574074074074076E-2</v>
      </c>
      <c r="G1878">
        <v>2</v>
      </c>
      <c r="H1878" s="133">
        <v>45840</v>
      </c>
      <c r="I1878" s="2">
        <v>0.59657407407407403</v>
      </c>
      <c r="J1878">
        <v>14</v>
      </c>
      <c r="R1878" t="s">
        <v>30</v>
      </c>
      <c r="W1878">
        <v>1</v>
      </c>
      <c r="X1878" t="s">
        <v>30</v>
      </c>
      <c r="AC1878" t="s">
        <v>4366</v>
      </c>
      <c r="AE1878" s="135"/>
    </row>
    <row r="1879" spans="1:31" ht="12.5" customHeight="1" x14ac:dyDescent="0.35">
      <c r="A1879" t="s">
        <v>396</v>
      </c>
      <c r="C1879" t="s">
        <v>4367</v>
      </c>
      <c r="D1879" t="s">
        <v>385</v>
      </c>
      <c r="E1879" s="133">
        <v>45841</v>
      </c>
      <c r="F1879" s="2">
        <v>9.6666666666666665E-2</v>
      </c>
      <c r="G1879">
        <v>2</v>
      </c>
      <c r="H1879" s="133">
        <v>45840</v>
      </c>
      <c r="I1879" s="2">
        <v>0.59666666666666668</v>
      </c>
      <c r="J1879">
        <v>14</v>
      </c>
      <c r="R1879" t="s">
        <v>30</v>
      </c>
      <c r="W1879">
        <v>1</v>
      </c>
      <c r="X1879" t="s">
        <v>30</v>
      </c>
      <c r="AC1879" t="s">
        <v>4368</v>
      </c>
      <c r="AE1879" s="135"/>
    </row>
    <row r="1880" spans="1:31" ht="12.5" customHeight="1" x14ac:dyDescent="0.35">
      <c r="A1880" t="s">
        <v>396</v>
      </c>
      <c r="C1880" t="s">
        <v>4369</v>
      </c>
      <c r="D1880" t="s">
        <v>385</v>
      </c>
      <c r="E1880" s="133">
        <v>45841</v>
      </c>
      <c r="F1880" s="2">
        <v>9.673611111111112E-2</v>
      </c>
      <c r="G1880">
        <v>2</v>
      </c>
      <c r="H1880" s="133">
        <v>45840</v>
      </c>
      <c r="I1880" s="2">
        <v>0.59673611111111113</v>
      </c>
      <c r="J1880">
        <v>14</v>
      </c>
      <c r="R1880" t="s">
        <v>30</v>
      </c>
      <c r="W1880">
        <v>1</v>
      </c>
      <c r="X1880" t="s">
        <v>30</v>
      </c>
      <c r="AC1880" t="s">
        <v>4370</v>
      </c>
      <c r="AE1880" s="135"/>
    </row>
    <row r="1881" spans="1:31" ht="12.5" customHeight="1" x14ac:dyDescent="0.35">
      <c r="A1881" t="s">
        <v>396</v>
      </c>
      <c r="C1881" t="s">
        <v>4371</v>
      </c>
      <c r="D1881" t="s">
        <v>385</v>
      </c>
      <c r="E1881" s="133">
        <v>45841</v>
      </c>
      <c r="F1881" s="2">
        <v>9.6805555555555547E-2</v>
      </c>
      <c r="G1881">
        <v>2</v>
      </c>
      <c r="H1881" s="133">
        <v>45840</v>
      </c>
      <c r="I1881" s="2">
        <v>0.59680555555555559</v>
      </c>
      <c r="J1881">
        <v>14</v>
      </c>
      <c r="R1881" t="s">
        <v>30</v>
      </c>
      <c r="W1881">
        <v>1</v>
      </c>
      <c r="X1881" t="s">
        <v>30</v>
      </c>
      <c r="AC1881" t="s">
        <v>4372</v>
      </c>
      <c r="AE1881" s="135"/>
    </row>
    <row r="1882" spans="1:31" ht="12.5" customHeight="1" x14ac:dyDescent="0.35">
      <c r="A1882" t="s">
        <v>396</v>
      </c>
      <c r="C1882" t="s">
        <v>4373</v>
      </c>
      <c r="D1882" t="s">
        <v>385</v>
      </c>
      <c r="E1882" s="133">
        <v>45841</v>
      </c>
      <c r="F1882" s="2">
        <v>9.6921296296296297E-2</v>
      </c>
      <c r="G1882">
        <v>2</v>
      </c>
      <c r="H1882" s="133">
        <v>45840</v>
      </c>
      <c r="I1882" s="2">
        <v>0.59692129629629631</v>
      </c>
      <c r="J1882">
        <v>14</v>
      </c>
      <c r="R1882" t="s">
        <v>30</v>
      </c>
      <c r="W1882">
        <v>1</v>
      </c>
      <c r="X1882" t="s">
        <v>30</v>
      </c>
      <c r="AC1882" t="s">
        <v>4374</v>
      </c>
      <c r="AE1882" s="135"/>
    </row>
    <row r="1883" spans="1:31" ht="12.5" customHeight="1" x14ac:dyDescent="0.35">
      <c r="A1883" t="s">
        <v>396</v>
      </c>
      <c r="C1883" t="s">
        <v>4375</v>
      </c>
      <c r="D1883" t="s">
        <v>385</v>
      </c>
      <c r="E1883" s="133">
        <v>45841</v>
      </c>
      <c r="F1883" s="2">
        <v>9.6990740740740752E-2</v>
      </c>
      <c r="G1883">
        <v>2</v>
      </c>
      <c r="H1883" s="133">
        <v>45840</v>
      </c>
      <c r="I1883" s="2">
        <v>0.59699074074074077</v>
      </c>
      <c r="J1883">
        <v>14</v>
      </c>
      <c r="R1883" t="s">
        <v>30</v>
      </c>
      <c r="W1883">
        <v>1</v>
      </c>
      <c r="X1883" t="s">
        <v>30</v>
      </c>
      <c r="AC1883" t="s">
        <v>4376</v>
      </c>
      <c r="AE1883" s="135"/>
    </row>
    <row r="1884" spans="1:31" ht="12.5" customHeight="1" x14ac:dyDescent="0.35">
      <c r="A1884" t="s">
        <v>396</v>
      </c>
      <c r="C1884" t="s">
        <v>4377</v>
      </c>
      <c r="D1884" t="s">
        <v>385</v>
      </c>
      <c r="E1884" s="133">
        <v>45841</v>
      </c>
      <c r="F1884" s="2">
        <v>9.706018518518518E-2</v>
      </c>
      <c r="G1884">
        <v>2</v>
      </c>
      <c r="H1884" s="133">
        <v>45840</v>
      </c>
      <c r="I1884" s="2">
        <v>0.59706018518518522</v>
      </c>
      <c r="J1884">
        <v>14</v>
      </c>
      <c r="R1884" t="s">
        <v>30</v>
      </c>
      <c r="W1884">
        <v>1</v>
      </c>
      <c r="X1884" t="s">
        <v>30</v>
      </c>
      <c r="AC1884" t="s">
        <v>4378</v>
      </c>
      <c r="AE1884" s="135"/>
    </row>
    <row r="1885" spans="1:31" ht="12.5" customHeight="1" x14ac:dyDescent="0.35">
      <c r="A1885" t="s">
        <v>396</v>
      </c>
      <c r="C1885" t="s">
        <v>4379</v>
      </c>
      <c r="D1885" t="s">
        <v>385</v>
      </c>
      <c r="E1885" s="133">
        <v>45841</v>
      </c>
      <c r="F1885" s="2">
        <v>9.7152777777777768E-2</v>
      </c>
      <c r="G1885">
        <v>2</v>
      </c>
      <c r="H1885" s="133">
        <v>45840</v>
      </c>
      <c r="I1885" s="2">
        <v>0.59715277777777775</v>
      </c>
      <c r="J1885">
        <v>14</v>
      </c>
      <c r="R1885" t="s">
        <v>30</v>
      </c>
      <c r="W1885">
        <v>1</v>
      </c>
      <c r="X1885" t="s">
        <v>30</v>
      </c>
      <c r="AC1885" t="s">
        <v>4380</v>
      </c>
      <c r="AE1885" s="135"/>
    </row>
    <row r="1886" spans="1:31" ht="12.5" customHeight="1" x14ac:dyDescent="0.35">
      <c r="A1886" t="s">
        <v>396</v>
      </c>
      <c r="C1886" t="s">
        <v>4381</v>
      </c>
      <c r="D1886" t="s">
        <v>385</v>
      </c>
      <c r="E1886" s="133">
        <v>45841</v>
      </c>
      <c r="F1886" s="2">
        <v>9.7222222222222224E-2</v>
      </c>
      <c r="G1886">
        <v>2</v>
      </c>
      <c r="H1886" s="133">
        <v>45840</v>
      </c>
      <c r="I1886" s="2">
        <v>0.59722222222222221</v>
      </c>
      <c r="J1886">
        <v>14</v>
      </c>
      <c r="R1886" t="s">
        <v>30</v>
      </c>
      <c r="W1886">
        <v>1</v>
      </c>
      <c r="X1886" t="s">
        <v>30</v>
      </c>
      <c r="AC1886" t="s">
        <v>4382</v>
      </c>
      <c r="AE1886" s="135"/>
    </row>
    <row r="1887" spans="1:31" ht="12.5" customHeight="1" x14ac:dyDescent="0.35">
      <c r="A1887" t="s">
        <v>396</v>
      </c>
      <c r="C1887" t="s">
        <v>4383</v>
      </c>
      <c r="D1887" t="s">
        <v>385</v>
      </c>
      <c r="E1887" s="133">
        <v>45841</v>
      </c>
      <c r="F1887" s="2">
        <v>9.7291666666666665E-2</v>
      </c>
      <c r="G1887">
        <v>2</v>
      </c>
      <c r="H1887" s="133">
        <v>45840</v>
      </c>
      <c r="I1887" s="2">
        <v>0.59729166666666667</v>
      </c>
      <c r="J1887">
        <v>14</v>
      </c>
      <c r="R1887" t="s">
        <v>30</v>
      </c>
      <c r="W1887">
        <v>1</v>
      </c>
      <c r="X1887" t="s">
        <v>30</v>
      </c>
      <c r="AC1887" t="s">
        <v>4384</v>
      </c>
      <c r="AE1887" s="135"/>
    </row>
    <row r="1888" spans="1:31" ht="12.5" customHeight="1" x14ac:dyDescent="0.35">
      <c r="A1888" t="s">
        <v>396</v>
      </c>
      <c r="C1888" t="s">
        <v>4385</v>
      </c>
      <c r="D1888" t="s">
        <v>385</v>
      </c>
      <c r="E1888" s="133">
        <v>45841</v>
      </c>
      <c r="F1888" s="2">
        <v>9.7384259259259254E-2</v>
      </c>
      <c r="G1888">
        <v>2</v>
      </c>
      <c r="H1888" s="133">
        <v>45840</v>
      </c>
      <c r="I1888" s="2">
        <v>0.5973842592592592</v>
      </c>
      <c r="J1888">
        <v>14</v>
      </c>
      <c r="R1888" t="s">
        <v>30</v>
      </c>
      <c r="W1888">
        <v>1</v>
      </c>
      <c r="X1888" t="s">
        <v>30</v>
      </c>
      <c r="AC1888" t="s">
        <v>4386</v>
      </c>
      <c r="AE1888" s="135"/>
    </row>
    <row r="1889" spans="1:31" ht="12.5" customHeight="1" x14ac:dyDescent="0.35">
      <c r="A1889" t="s">
        <v>396</v>
      </c>
      <c r="C1889" t="s">
        <v>4387</v>
      </c>
      <c r="D1889" t="s">
        <v>385</v>
      </c>
      <c r="E1889" s="133">
        <v>45841</v>
      </c>
      <c r="F1889" s="2">
        <v>9.7453703703703709E-2</v>
      </c>
      <c r="G1889">
        <v>2</v>
      </c>
      <c r="H1889" s="133">
        <v>45840</v>
      </c>
      <c r="I1889" s="2">
        <v>0.59745370370370365</v>
      </c>
      <c r="J1889">
        <v>14</v>
      </c>
      <c r="R1889" t="s">
        <v>30</v>
      </c>
      <c r="W1889">
        <v>1</v>
      </c>
      <c r="X1889" t="s">
        <v>30</v>
      </c>
      <c r="AC1889" t="s">
        <v>4388</v>
      </c>
      <c r="AE1889" s="135"/>
    </row>
    <row r="1890" spans="1:31" ht="12.5" customHeight="1" x14ac:dyDescent="0.35">
      <c r="A1890" t="s">
        <v>396</v>
      </c>
      <c r="C1890" t="s">
        <v>4389</v>
      </c>
      <c r="D1890" t="s">
        <v>385</v>
      </c>
      <c r="E1890" s="133">
        <v>45841</v>
      </c>
      <c r="F1890" s="2">
        <v>9.752314814814815E-2</v>
      </c>
      <c r="G1890">
        <v>2</v>
      </c>
      <c r="H1890" s="133">
        <v>45840</v>
      </c>
      <c r="I1890" s="2">
        <v>0.59752314814814811</v>
      </c>
      <c r="J1890">
        <v>14</v>
      </c>
      <c r="R1890" t="s">
        <v>30</v>
      </c>
      <c r="W1890">
        <v>1</v>
      </c>
      <c r="X1890" t="s">
        <v>30</v>
      </c>
      <c r="AC1890" t="s">
        <v>4390</v>
      </c>
      <c r="AE1890" s="135"/>
    </row>
    <row r="1891" spans="1:31" ht="12.5" customHeight="1" x14ac:dyDescent="0.35">
      <c r="A1891" t="s">
        <v>396</v>
      </c>
      <c r="C1891" t="s">
        <v>4391</v>
      </c>
      <c r="D1891" t="s">
        <v>385</v>
      </c>
      <c r="E1891" s="133">
        <v>45841</v>
      </c>
      <c r="F1891" s="2">
        <v>9.7615740740740739E-2</v>
      </c>
      <c r="G1891">
        <v>2</v>
      </c>
      <c r="H1891" s="133">
        <v>45840</v>
      </c>
      <c r="I1891" s="2">
        <v>0.59761574074074075</v>
      </c>
      <c r="J1891">
        <v>14</v>
      </c>
      <c r="R1891" t="s">
        <v>30</v>
      </c>
      <c r="W1891">
        <v>1</v>
      </c>
      <c r="X1891" t="s">
        <v>30</v>
      </c>
      <c r="AC1891" t="s">
        <v>4392</v>
      </c>
      <c r="AE1891" s="135"/>
    </row>
    <row r="1892" spans="1:31" ht="12.5" customHeight="1" x14ac:dyDescent="0.35">
      <c r="A1892" t="s">
        <v>396</v>
      </c>
      <c r="C1892" t="s">
        <v>4393</v>
      </c>
      <c r="D1892" t="s">
        <v>385</v>
      </c>
      <c r="E1892" s="133">
        <v>45841</v>
      </c>
      <c r="F1892" s="2">
        <v>9.7708333333333328E-2</v>
      </c>
      <c r="G1892">
        <v>2</v>
      </c>
      <c r="H1892" s="133">
        <v>45840</v>
      </c>
      <c r="I1892" s="2">
        <v>0.5977083333333334</v>
      </c>
      <c r="J1892">
        <v>14</v>
      </c>
      <c r="R1892" t="s">
        <v>30</v>
      </c>
      <c r="W1892">
        <v>1</v>
      </c>
      <c r="X1892" t="s">
        <v>30</v>
      </c>
      <c r="AC1892" t="s">
        <v>4394</v>
      </c>
      <c r="AE1892" s="135"/>
    </row>
    <row r="1893" spans="1:31" ht="12.5" customHeight="1" x14ac:dyDescent="0.35">
      <c r="A1893" t="s">
        <v>396</v>
      </c>
      <c r="C1893" t="s">
        <v>4395</v>
      </c>
      <c r="D1893" t="s">
        <v>385</v>
      </c>
      <c r="E1893" s="133">
        <v>45841</v>
      </c>
      <c r="F1893" s="2">
        <v>9.7777777777777783E-2</v>
      </c>
      <c r="G1893">
        <v>2</v>
      </c>
      <c r="H1893" s="133">
        <v>45840</v>
      </c>
      <c r="I1893" s="2">
        <v>0.59777777777777785</v>
      </c>
      <c r="J1893">
        <v>14</v>
      </c>
      <c r="R1893" t="s">
        <v>30</v>
      </c>
      <c r="W1893">
        <v>1</v>
      </c>
      <c r="X1893" t="s">
        <v>30</v>
      </c>
      <c r="AC1893" t="s">
        <v>4396</v>
      </c>
      <c r="AE1893" s="135"/>
    </row>
    <row r="1894" spans="1:31" ht="12.5" customHeight="1" x14ac:dyDescent="0.35">
      <c r="A1894" t="s">
        <v>396</v>
      </c>
      <c r="C1894" t="s">
        <v>4397</v>
      </c>
      <c r="D1894" t="s">
        <v>385</v>
      </c>
      <c r="E1894" s="133">
        <v>45841</v>
      </c>
      <c r="F1894" s="2">
        <v>9.7870370370370371E-2</v>
      </c>
      <c r="G1894">
        <v>2</v>
      </c>
      <c r="H1894" s="133">
        <v>45840</v>
      </c>
      <c r="I1894" s="2">
        <v>0.59787037037037039</v>
      </c>
      <c r="J1894">
        <v>14</v>
      </c>
      <c r="R1894" t="s">
        <v>30</v>
      </c>
      <c r="W1894">
        <v>1</v>
      </c>
      <c r="X1894" t="s">
        <v>30</v>
      </c>
      <c r="AC1894" t="s">
        <v>4398</v>
      </c>
      <c r="AE1894" s="135"/>
    </row>
    <row r="1895" spans="1:31" ht="12.5" customHeight="1" x14ac:dyDescent="0.35">
      <c r="A1895" t="s">
        <v>396</v>
      </c>
      <c r="C1895" t="s">
        <v>4399</v>
      </c>
      <c r="D1895" t="s">
        <v>385</v>
      </c>
      <c r="E1895" s="133">
        <v>45841</v>
      </c>
      <c r="F1895" s="2">
        <v>9.796296296296296E-2</v>
      </c>
      <c r="G1895">
        <v>2</v>
      </c>
      <c r="H1895" s="133">
        <v>45840</v>
      </c>
      <c r="I1895" s="2">
        <v>0.59796296296296292</v>
      </c>
      <c r="J1895">
        <v>14</v>
      </c>
      <c r="R1895" t="s">
        <v>30</v>
      </c>
      <c r="W1895">
        <v>1</v>
      </c>
      <c r="X1895" t="s">
        <v>30</v>
      </c>
      <c r="AC1895" t="s">
        <v>4400</v>
      </c>
      <c r="AE1895" s="135"/>
    </row>
    <row r="1896" spans="1:31" ht="12.5" customHeight="1" x14ac:dyDescent="0.35">
      <c r="A1896" t="s">
        <v>396</v>
      </c>
      <c r="C1896" t="s">
        <v>4401</v>
      </c>
      <c r="D1896" t="s">
        <v>385</v>
      </c>
      <c r="E1896" s="133">
        <v>45841</v>
      </c>
      <c r="F1896" s="2">
        <v>9.8032407407407415E-2</v>
      </c>
      <c r="G1896">
        <v>2</v>
      </c>
      <c r="H1896" s="133">
        <v>45840</v>
      </c>
      <c r="I1896" s="2">
        <v>0.59803240740740737</v>
      </c>
      <c r="J1896">
        <v>14</v>
      </c>
      <c r="R1896" t="s">
        <v>30</v>
      </c>
      <c r="W1896">
        <v>1</v>
      </c>
      <c r="X1896" t="s">
        <v>30</v>
      </c>
      <c r="AC1896" t="s">
        <v>4402</v>
      </c>
      <c r="AE1896" s="135"/>
    </row>
    <row r="1897" spans="1:31" ht="12.5" customHeight="1" x14ac:dyDescent="0.35">
      <c r="A1897" t="s">
        <v>396</v>
      </c>
      <c r="C1897" t="s">
        <v>4403</v>
      </c>
      <c r="D1897" t="s">
        <v>385</v>
      </c>
      <c r="E1897" s="133">
        <v>45841</v>
      </c>
      <c r="F1897" s="2">
        <v>9.8125000000000004E-2</v>
      </c>
      <c r="G1897">
        <v>2</v>
      </c>
      <c r="H1897" s="133">
        <v>45840</v>
      </c>
      <c r="I1897" s="2">
        <v>0.59812500000000002</v>
      </c>
      <c r="J1897">
        <v>14</v>
      </c>
      <c r="R1897" t="s">
        <v>30</v>
      </c>
      <c r="W1897">
        <v>1</v>
      </c>
      <c r="X1897" t="s">
        <v>30</v>
      </c>
      <c r="AC1897" t="s">
        <v>4404</v>
      </c>
      <c r="AE1897" s="135"/>
    </row>
    <row r="1898" spans="1:31" ht="12.5" customHeight="1" x14ac:dyDescent="0.35">
      <c r="A1898" t="s">
        <v>396</v>
      </c>
      <c r="C1898" t="s">
        <v>4405</v>
      </c>
      <c r="D1898" t="s">
        <v>385</v>
      </c>
      <c r="E1898" s="133">
        <v>45841</v>
      </c>
      <c r="F1898" s="2">
        <v>9.8194444444444431E-2</v>
      </c>
      <c r="G1898">
        <v>2</v>
      </c>
      <c r="H1898" s="133">
        <v>45840</v>
      </c>
      <c r="I1898" s="2">
        <v>0.59819444444444447</v>
      </c>
      <c r="J1898">
        <v>14</v>
      </c>
      <c r="R1898" t="s">
        <v>30</v>
      </c>
      <c r="W1898">
        <v>1</v>
      </c>
      <c r="X1898" t="s">
        <v>30</v>
      </c>
      <c r="AC1898" t="s">
        <v>4406</v>
      </c>
      <c r="AE1898" s="135"/>
    </row>
    <row r="1899" spans="1:31" ht="12.5" customHeight="1" x14ac:dyDescent="0.35">
      <c r="A1899" t="s">
        <v>396</v>
      </c>
      <c r="C1899" t="s">
        <v>4407</v>
      </c>
      <c r="D1899" t="s">
        <v>385</v>
      </c>
      <c r="E1899" s="133">
        <v>45841</v>
      </c>
      <c r="F1899" s="2">
        <v>9.8287037037037048E-2</v>
      </c>
      <c r="G1899">
        <v>2</v>
      </c>
      <c r="H1899" s="133">
        <v>45840</v>
      </c>
      <c r="I1899" s="2">
        <v>0.59828703703703701</v>
      </c>
      <c r="J1899">
        <v>14</v>
      </c>
      <c r="R1899" t="s">
        <v>30</v>
      </c>
      <c r="W1899">
        <v>1</v>
      </c>
      <c r="X1899" t="s">
        <v>30</v>
      </c>
      <c r="AC1899" t="s">
        <v>4408</v>
      </c>
      <c r="AE1899" s="135"/>
    </row>
    <row r="1900" spans="1:31" ht="12.5" customHeight="1" x14ac:dyDescent="0.35">
      <c r="A1900" t="s">
        <v>396</v>
      </c>
      <c r="C1900" t="s">
        <v>4409</v>
      </c>
      <c r="D1900" t="s">
        <v>385</v>
      </c>
      <c r="E1900" s="133">
        <v>45841</v>
      </c>
      <c r="F1900" s="2">
        <v>9.8356481481481475E-2</v>
      </c>
      <c r="G1900">
        <v>2</v>
      </c>
      <c r="H1900" s="133">
        <v>45840</v>
      </c>
      <c r="I1900" s="2">
        <v>0.59835648148148146</v>
      </c>
      <c r="J1900">
        <v>14</v>
      </c>
      <c r="R1900" t="s">
        <v>30</v>
      </c>
      <c r="W1900">
        <v>1</v>
      </c>
      <c r="X1900" t="s">
        <v>30</v>
      </c>
      <c r="AC1900" t="s">
        <v>4410</v>
      </c>
      <c r="AE1900" s="135"/>
    </row>
    <row r="1901" spans="1:31" ht="12.5" customHeight="1" x14ac:dyDescent="0.35">
      <c r="A1901" t="s">
        <v>396</v>
      </c>
      <c r="C1901" t="s">
        <v>4411</v>
      </c>
      <c r="D1901" t="s">
        <v>385</v>
      </c>
      <c r="E1901" s="133">
        <v>45841</v>
      </c>
      <c r="F1901" s="2">
        <v>9.8449074074074064E-2</v>
      </c>
      <c r="G1901">
        <v>2</v>
      </c>
      <c r="H1901" s="133">
        <v>45840</v>
      </c>
      <c r="I1901" s="2">
        <v>0.59844907407407411</v>
      </c>
      <c r="J1901">
        <v>14</v>
      </c>
      <c r="R1901" t="s">
        <v>30</v>
      </c>
      <c r="W1901">
        <v>1</v>
      </c>
      <c r="X1901" t="s">
        <v>30</v>
      </c>
      <c r="AC1901" t="s">
        <v>4412</v>
      </c>
      <c r="AE1901" s="135"/>
    </row>
    <row r="1902" spans="1:31" ht="12.5" customHeight="1" x14ac:dyDescent="0.35">
      <c r="A1902" t="s">
        <v>396</v>
      </c>
      <c r="C1902" t="s">
        <v>4413</v>
      </c>
      <c r="D1902" t="s">
        <v>385</v>
      </c>
      <c r="E1902" s="133">
        <v>45841</v>
      </c>
      <c r="F1902" s="2">
        <v>9.854166666666668E-2</v>
      </c>
      <c r="G1902">
        <v>2</v>
      </c>
      <c r="H1902" s="133">
        <v>45840</v>
      </c>
      <c r="I1902" s="2">
        <v>0.59854166666666664</v>
      </c>
      <c r="J1902">
        <v>14</v>
      </c>
      <c r="R1902" t="s">
        <v>30</v>
      </c>
      <c r="W1902">
        <v>1</v>
      </c>
      <c r="X1902" t="s">
        <v>30</v>
      </c>
      <c r="AC1902" t="s">
        <v>4414</v>
      </c>
      <c r="AE1902" s="135"/>
    </row>
    <row r="1903" spans="1:31" ht="12.5" customHeight="1" x14ac:dyDescent="0.35">
      <c r="A1903" t="s">
        <v>396</v>
      </c>
      <c r="C1903" t="s">
        <v>4415</v>
      </c>
      <c r="D1903" t="s">
        <v>385</v>
      </c>
      <c r="E1903" s="133">
        <v>45841</v>
      </c>
      <c r="F1903" s="2">
        <v>9.8634259259259269E-2</v>
      </c>
      <c r="G1903">
        <v>2</v>
      </c>
      <c r="H1903" s="133">
        <v>45840</v>
      </c>
      <c r="I1903" s="2">
        <v>0.59863425925925928</v>
      </c>
      <c r="J1903">
        <v>14</v>
      </c>
      <c r="R1903" t="s">
        <v>30</v>
      </c>
      <c r="W1903">
        <v>1</v>
      </c>
      <c r="X1903" t="s">
        <v>30</v>
      </c>
      <c r="AC1903" t="s">
        <v>4416</v>
      </c>
      <c r="AE1903" s="135"/>
    </row>
    <row r="1904" spans="1:31" ht="12.5" customHeight="1" x14ac:dyDescent="0.35">
      <c r="A1904" t="s">
        <v>396</v>
      </c>
      <c r="C1904" t="s">
        <v>4417</v>
      </c>
      <c r="D1904" t="s">
        <v>385</v>
      </c>
      <c r="E1904" s="133">
        <v>45841</v>
      </c>
      <c r="F1904" s="2">
        <v>9.8703703703703696E-2</v>
      </c>
      <c r="G1904">
        <v>2</v>
      </c>
      <c r="H1904" s="133">
        <v>45840</v>
      </c>
      <c r="I1904" s="2">
        <v>0.59870370370370374</v>
      </c>
      <c r="J1904">
        <v>14</v>
      </c>
      <c r="R1904" t="s">
        <v>30</v>
      </c>
      <c r="W1904">
        <v>1</v>
      </c>
      <c r="X1904" t="s">
        <v>30</v>
      </c>
      <c r="AC1904" t="s">
        <v>4418</v>
      </c>
      <c r="AE1904" s="135"/>
    </row>
    <row r="1905" spans="1:31" ht="12.5" customHeight="1" x14ac:dyDescent="0.35">
      <c r="A1905" t="s">
        <v>396</v>
      </c>
      <c r="C1905" t="s">
        <v>4419</v>
      </c>
      <c r="D1905" t="s">
        <v>385</v>
      </c>
      <c r="E1905" s="133">
        <v>45841</v>
      </c>
      <c r="F1905" s="2">
        <v>9.8796296296296285E-2</v>
      </c>
      <c r="G1905">
        <v>2</v>
      </c>
      <c r="H1905" s="133">
        <v>45840</v>
      </c>
      <c r="I1905" s="2">
        <v>0.59879629629629627</v>
      </c>
      <c r="J1905">
        <v>14</v>
      </c>
      <c r="R1905" t="s">
        <v>30</v>
      </c>
      <c r="W1905">
        <v>1</v>
      </c>
      <c r="X1905" t="s">
        <v>30</v>
      </c>
      <c r="AC1905" t="s">
        <v>4420</v>
      </c>
      <c r="AE1905" s="135"/>
    </row>
    <row r="1906" spans="1:31" ht="12.5" customHeight="1" x14ac:dyDescent="0.35">
      <c r="A1906" t="s">
        <v>396</v>
      </c>
      <c r="C1906" t="s">
        <v>4421</v>
      </c>
      <c r="D1906" t="s">
        <v>385</v>
      </c>
      <c r="E1906" s="133">
        <v>45841</v>
      </c>
      <c r="F1906" s="2">
        <v>9.8888888888888873E-2</v>
      </c>
      <c r="G1906">
        <v>2</v>
      </c>
      <c r="H1906" s="133">
        <v>45840</v>
      </c>
      <c r="I1906" s="2">
        <v>0.59888888888888892</v>
      </c>
      <c r="J1906">
        <v>14</v>
      </c>
      <c r="R1906" t="s">
        <v>30</v>
      </c>
      <c r="W1906">
        <v>1</v>
      </c>
      <c r="X1906" t="s">
        <v>30</v>
      </c>
      <c r="AC1906" t="s">
        <v>4422</v>
      </c>
      <c r="AE1906" s="135"/>
    </row>
    <row r="1907" spans="1:31" ht="12.5" customHeight="1" x14ac:dyDescent="0.35">
      <c r="A1907" t="s">
        <v>396</v>
      </c>
      <c r="C1907" t="s">
        <v>4423</v>
      </c>
      <c r="D1907" t="s">
        <v>385</v>
      </c>
      <c r="E1907" s="133">
        <v>45841</v>
      </c>
      <c r="F1907" s="2">
        <v>9.8958333333333329E-2</v>
      </c>
      <c r="G1907">
        <v>2</v>
      </c>
      <c r="H1907" s="133">
        <v>45840</v>
      </c>
      <c r="I1907" s="2">
        <v>0.59895833333333337</v>
      </c>
      <c r="J1907">
        <v>14</v>
      </c>
      <c r="R1907" t="s">
        <v>30</v>
      </c>
      <c r="W1907">
        <v>1</v>
      </c>
      <c r="X1907" t="s">
        <v>30</v>
      </c>
      <c r="AC1907" t="s">
        <v>4424</v>
      </c>
      <c r="AE1907" s="135"/>
    </row>
    <row r="1908" spans="1:31" ht="12.5" customHeight="1" x14ac:dyDescent="0.35">
      <c r="A1908" t="s">
        <v>396</v>
      </c>
      <c r="C1908" t="s">
        <v>4425</v>
      </c>
      <c r="D1908" t="s">
        <v>385</v>
      </c>
      <c r="E1908" s="133">
        <v>45841</v>
      </c>
      <c r="F1908" s="2">
        <v>9.9050925925925917E-2</v>
      </c>
      <c r="G1908">
        <v>2</v>
      </c>
      <c r="H1908" s="133">
        <v>45840</v>
      </c>
      <c r="I1908" s="2">
        <v>0.5990509259259259</v>
      </c>
      <c r="J1908">
        <v>14</v>
      </c>
      <c r="R1908" t="s">
        <v>30</v>
      </c>
      <c r="W1908">
        <v>1</v>
      </c>
      <c r="X1908" t="s">
        <v>30</v>
      </c>
      <c r="AC1908" t="s">
        <v>4426</v>
      </c>
      <c r="AE1908" s="135"/>
    </row>
    <row r="1909" spans="1:31" ht="12.5" customHeight="1" x14ac:dyDescent="0.35">
      <c r="A1909" t="s">
        <v>396</v>
      </c>
      <c r="C1909" t="s">
        <v>4427</v>
      </c>
      <c r="D1909" t="s">
        <v>385</v>
      </c>
      <c r="E1909" s="133">
        <v>45841</v>
      </c>
      <c r="F1909" s="2">
        <v>9.9120370370370373E-2</v>
      </c>
      <c r="G1909">
        <v>2</v>
      </c>
      <c r="H1909" s="133">
        <v>45840</v>
      </c>
      <c r="I1909" s="2">
        <v>0.59912037037037036</v>
      </c>
      <c r="J1909">
        <v>14</v>
      </c>
      <c r="R1909" t="s">
        <v>30</v>
      </c>
      <c r="W1909">
        <v>1</v>
      </c>
      <c r="X1909" t="s">
        <v>30</v>
      </c>
      <c r="AC1909" t="s">
        <v>4428</v>
      </c>
      <c r="AE1909" s="135"/>
    </row>
    <row r="1910" spans="1:31" ht="12.5" customHeight="1" x14ac:dyDescent="0.35">
      <c r="A1910" t="s">
        <v>396</v>
      </c>
      <c r="C1910" t="s">
        <v>4429</v>
      </c>
      <c r="D1910" t="s">
        <v>385</v>
      </c>
      <c r="E1910" s="133">
        <v>45841</v>
      </c>
      <c r="F1910" s="2">
        <v>9.9212962962962961E-2</v>
      </c>
      <c r="G1910">
        <v>2</v>
      </c>
      <c r="H1910" s="133">
        <v>45840</v>
      </c>
      <c r="I1910" s="2">
        <v>0.59921296296296289</v>
      </c>
      <c r="J1910">
        <v>14</v>
      </c>
      <c r="R1910" t="s">
        <v>30</v>
      </c>
      <c r="W1910">
        <v>1</v>
      </c>
      <c r="X1910" t="s">
        <v>30</v>
      </c>
      <c r="AC1910" t="s">
        <v>4430</v>
      </c>
      <c r="AE1910" s="135"/>
    </row>
    <row r="1911" spans="1:31" ht="12.5" customHeight="1" x14ac:dyDescent="0.35">
      <c r="A1911" t="s">
        <v>396</v>
      </c>
      <c r="C1911" t="s">
        <v>4431</v>
      </c>
      <c r="D1911" t="s">
        <v>385</v>
      </c>
      <c r="E1911" s="133">
        <v>45841</v>
      </c>
      <c r="F1911" s="2">
        <v>9.9282407407407403E-2</v>
      </c>
      <c r="G1911">
        <v>2</v>
      </c>
      <c r="H1911" s="133">
        <v>45840</v>
      </c>
      <c r="I1911" s="2">
        <v>0.59928240740740735</v>
      </c>
      <c r="J1911">
        <v>14</v>
      </c>
      <c r="R1911" t="s">
        <v>30</v>
      </c>
      <c r="W1911">
        <v>1</v>
      </c>
      <c r="X1911" t="s">
        <v>30</v>
      </c>
      <c r="AC1911" t="s">
        <v>4432</v>
      </c>
      <c r="AE1911" s="135"/>
    </row>
    <row r="1912" spans="1:31" ht="12.5" customHeight="1" x14ac:dyDescent="0.35">
      <c r="A1912" t="s">
        <v>396</v>
      </c>
      <c r="C1912" t="s">
        <v>4433</v>
      </c>
      <c r="D1912" t="s">
        <v>385</v>
      </c>
      <c r="E1912" s="133">
        <v>45841</v>
      </c>
      <c r="F1912" s="2">
        <v>9.9374999999999991E-2</v>
      </c>
      <c r="G1912">
        <v>2</v>
      </c>
      <c r="H1912" s="133">
        <v>45840</v>
      </c>
      <c r="I1912" s="2">
        <v>0.59937499999999999</v>
      </c>
      <c r="J1912">
        <v>14</v>
      </c>
      <c r="R1912" t="s">
        <v>30</v>
      </c>
      <c r="W1912">
        <v>1</v>
      </c>
      <c r="X1912" t="s">
        <v>30</v>
      </c>
      <c r="AC1912" t="s">
        <v>4434</v>
      </c>
      <c r="AE1912" s="135"/>
    </row>
    <row r="1913" spans="1:31" ht="12.5" customHeight="1" x14ac:dyDescent="0.35">
      <c r="A1913" t="s">
        <v>396</v>
      </c>
      <c r="C1913" t="s">
        <v>4435</v>
      </c>
      <c r="D1913" t="s">
        <v>385</v>
      </c>
      <c r="E1913" s="133">
        <v>45841</v>
      </c>
      <c r="F1913" s="2">
        <v>9.9467592592592594E-2</v>
      </c>
      <c r="G1913">
        <v>2</v>
      </c>
      <c r="H1913" s="133">
        <v>45840</v>
      </c>
      <c r="I1913" s="2">
        <v>0.59946759259259264</v>
      </c>
      <c r="J1913">
        <v>14</v>
      </c>
      <c r="R1913" t="s">
        <v>30</v>
      </c>
      <c r="W1913">
        <v>1</v>
      </c>
      <c r="X1913" t="s">
        <v>30</v>
      </c>
      <c r="AC1913" t="s">
        <v>4436</v>
      </c>
      <c r="AE1913" s="135"/>
    </row>
    <row r="1914" spans="1:31" ht="12.5" customHeight="1" x14ac:dyDescent="0.35">
      <c r="A1914" t="s">
        <v>396</v>
      </c>
      <c r="C1914" t="s">
        <v>4437</v>
      </c>
      <c r="D1914" t="s">
        <v>385</v>
      </c>
      <c r="E1914" s="133">
        <v>45841</v>
      </c>
      <c r="F1914" s="2">
        <v>9.9560185185185182E-2</v>
      </c>
      <c r="G1914">
        <v>2</v>
      </c>
      <c r="H1914" s="133">
        <v>45840</v>
      </c>
      <c r="I1914" s="2">
        <v>0.59956018518518517</v>
      </c>
      <c r="J1914">
        <v>14</v>
      </c>
      <c r="R1914" t="s">
        <v>30</v>
      </c>
      <c r="W1914">
        <v>1</v>
      </c>
      <c r="X1914" t="s">
        <v>30</v>
      </c>
      <c r="AC1914" t="s">
        <v>4438</v>
      </c>
      <c r="AE1914" s="135"/>
    </row>
    <row r="1915" spans="1:31" ht="12.5" customHeight="1" x14ac:dyDescent="0.35">
      <c r="A1915" t="s">
        <v>396</v>
      </c>
      <c r="C1915" t="s">
        <v>4439</v>
      </c>
      <c r="D1915" t="s">
        <v>385</v>
      </c>
      <c r="E1915" s="133">
        <v>45841</v>
      </c>
      <c r="F1915" s="2">
        <v>9.9629629629629624E-2</v>
      </c>
      <c r="G1915">
        <v>2</v>
      </c>
      <c r="H1915" s="133">
        <v>45840</v>
      </c>
      <c r="I1915" s="2">
        <v>0.59962962962962962</v>
      </c>
      <c r="J1915">
        <v>14</v>
      </c>
      <c r="R1915" t="s">
        <v>30</v>
      </c>
      <c r="W1915">
        <v>1</v>
      </c>
      <c r="X1915" t="s">
        <v>30</v>
      </c>
      <c r="AC1915" t="s">
        <v>4440</v>
      </c>
      <c r="AE1915" s="135"/>
    </row>
    <row r="1916" spans="1:31" ht="12.5" customHeight="1" x14ac:dyDescent="0.35">
      <c r="A1916" t="s">
        <v>396</v>
      </c>
      <c r="C1916" t="s">
        <v>4441</v>
      </c>
      <c r="D1916" t="s">
        <v>385</v>
      </c>
      <c r="E1916" s="133">
        <v>45841</v>
      </c>
      <c r="F1916" s="2">
        <v>9.9722222222222226E-2</v>
      </c>
      <c r="G1916">
        <v>2</v>
      </c>
      <c r="H1916" s="133">
        <v>45840</v>
      </c>
      <c r="I1916" s="2">
        <v>0.59972222222222216</v>
      </c>
      <c r="J1916">
        <v>14</v>
      </c>
      <c r="R1916" t="s">
        <v>30</v>
      </c>
      <c r="W1916">
        <v>1</v>
      </c>
      <c r="X1916" t="s">
        <v>30</v>
      </c>
      <c r="AC1916" t="s">
        <v>4442</v>
      </c>
      <c r="AE1916" s="135"/>
    </row>
    <row r="1917" spans="1:31" ht="12.5" customHeight="1" x14ac:dyDescent="0.35">
      <c r="A1917" t="s">
        <v>396</v>
      </c>
      <c r="C1917" t="s">
        <v>4443</v>
      </c>
      <c r="D1917" t="s">
        <v>385</v>
      </c>
      <c r="E1917" s="133">
        <v>45841</v>
      </c>
      <c r="F1917" s="2">
        <v>9.9791666666666667E-2</v>
      </c>
      <c r="G1917">
        <v>2</v>
      </c>
      <c r="H1917" s="133">
        <v>45840</v>
      </c>
      <c r="I1917" s="2">
        <v>0.59979166666666661</v>
      </c>
      <c r="J1917">
        <v>14</v>
      </c>
      <c r="R1917" t="s">
        <v>30</v>
      </c>
      <c r="W1917">
        <v>1</v>
      </c>
      <c r="X1917" t="s">
        <v>30</v>
      </c>
      <c r="AC1917" t="s">
        <v>4444</v>
      </c>
      <c r="AE1917" s="135"/>
    </row>
    <row r="1918" spans="1:31" ht="12.5" customHeight="1" x14ac:dyDescent="0.35">
      <c r="A1918" t="s">
        <v>396</v>
      </c>
      <c r="C1918" t="s">
        <v>4445</v>
      </c>
      <c r="D1918" t="s">
        <v>385</v>
      </c>
      <c r="E1918" s="133">
        <v>45841</v>
      </c>
      <c r="F1918" s="2">
        <v>9.9861111111111109E-2</v>
      </c>
      <c r="G1918">
        <v>2</v>
      </c>
      <c r="H1918" s="133">
        <v>45840</v>
      </c>
      <c r="I1918" s="2">
        <v>0.59986111111111107</v>
      </c>
      <c r="J1918">
        <v>14</v>
      </c>
      <c r="R1918" t="s">
        <v>30</v>
      </c>
      <c r="W1918">
        <v>1</v>
      </c>
      <c r="X1918" t="s">
        <v>30</v>
      </c>
      <c r="AC1918" t="s">
        <v>4446</v>
      </c>
      <c r="AE1918" s="135"/>
    </row>
    <row r="1919" spans="1:31" ht="12.5" customHeight="1" x14ac:dyDescent="0.35">
      <c r="A1919" t="s">
        <v>396</v>
      </c>
      <c r="C1919" t="s">
        <v>4447</v>
      </c>
      <c r="D1919" t="s">
        <v>385</v>
      </c>
      <c r="E1919" s="133">
        <v>45841</v>
      </c>
      <c r="F1919" s="2">
        <v>9.9953703703703711E-2</v>
      </c>
      <c r="G1919">
        <v>2</v>
      </c>
      <c r="H1919" s="133">
        <v>45840</v>
      </c>
      <c r="I1919" s="2">
        <v>0.59995370370370371</v>
      </c>
      <c r="J1919">
        <v>14</v>
      </c>
      <c r="R1919" t="s">
        <v>30</v>
      </c>
      <c r="W1919">
        <v>1</v>
      </c>
      <c r="X1919" t="s">
        <v>30</v>
      </c>
      <c r="AC1919" t="s">
        <v>4448</v>
      </c>
      <c r="AE1919" s="135"/>
    </row>
    <row r="1920" spans="1:31" ht="12.5" customHeight="1" x14ac:dyDescent="0.35">
      <c r="A1920" t="s">
        <v>396</v>
      </c>
      <c r="C1920" t="s">
        <v>4449</v>
      </c>
      <c r="D1920" t="s">
        <v>385</v>
      </c>
      <c r="E1920" s="133">
        <v>45841</v>
      </c>
      <c r="F1920" s="2">
        <v>0.1000462962962963</v>
      </c>
      <c r="G1920">
        <v>2</v>
      </c>
      <c r="H1920" s="133">
        <v>45840</v>
      </c>
      <c r="I1920" s="2">
        <v>0.60004629629629636</v>
      </c>
      <c r="J1920">
        <v>14</v>
      </c>
      <c r="R1920" t="s">
        <v>30</v>
      </c>
      <c r="W1920">
        <v>1</v>
      </c>
      <c r="X1920" t="s">
        <v>30</v>
      </c>
      <c r="AC1920" t="s">
        <v>4450</v>
      </c>
      <c r="AE1920" s="135"/>
    </row>
    <row r="1921" spans="1:31" ht="12.5" customHeight="1" x14ac:dyDescent="0.35">
      <c r="A1921" t="s">
        <v>396</v>
      </c>
      <c r="C1921" t="s">
        <v>4451</v>
      </c>
      <c r="D1921" t="s">
        <v>385</v>
      </c>
      <c r="E1921" s="133">
        <v>45841</v>
      </c>
      <c r="F1921" s="2">
        <v>0.10011574074074074</v>
      </c>
      <c r="G1921">
        <v>2</v>
      </c>
      <c r="H1921" s="133">
        <v>45840</v>
      </c>
      <c r="I1921" s="2">
        <v>0.60011574074074081</v>
      </c>
      <c r="J1921">
        <v>14</v>
      </c>
      <c r="R1921" t="s">
        <v>30</v>
      </c>
      <c r="W1921">
        <v>1</v>
      </c>
      <c r="X1921" t="s">
        <v>30</v>
      </c>
      <c r="AC1921" t="s">
        <v>4452</v>
      </c>
      <c r="AE1921" s="135"/>
    </row>
    <row r="1922" spans="1:31" ht="12.5" customHeight="1" x14ac:dyDescent="0.35">
      <c r="A1922" t="s">
        <v>396</v>
      </c>
      <c r="C1922" t="s">
        <v>4453</v>
      </c>
      <c r="D1922" t="s">
        <v>385</v>
      </c>
      <c r="E1922" s="133">
        <v>45841</v>
      </c>
      <c r="F1922" s="2">
        <v>0.1001851851851852</v>
      </c>
      <c r="G1922">
        <v>2</v>
      </c>
      <c r="H1922" s="133">
        <v>45840</v>
      </c>
      <c r="I1922" s="2">
        <v>0.60018518518518515</v>
      </c>
      <c r="J1922">
        <v>14</v>
      </c>
      <c r="R1922" t="s">
        <v>30</v>
      </c>
      <c r="W1922">
        <v>1</v>
      </c>
      <c r="X1922" t="s">
        <v>30</v>
      </c>
      <c r="AC1922" t="s">
        <v>4454</v>
      </c>
      <c r="AE1922" s="135"/>
    </row>
    <row r="1923" spans="1:31" ht="12.5" customHeight="1" x14ac:dyDescent="0.35">
      <c r="A1923" t="s">
        <v>396</v>
      </c>
      <c r="C1923" t="s">
        <v>4455</v>
      </c>
      <c r="D1923" t="s">
        <v>385</v>
      </c>
      <c r="E1923" s="133">
        <v>45841</v>
      </c>
      <c r="F1923" s="2">
        <v>0.10027777777777779</v>
      </c>
      <c r="G1923">
        <v>2</v>
      </c>
      <c r="H1923" s="133">
        <v>45840</v>
      </c>
      <c r="I1923" s="2">
        <v>0.6002777777777778</v>
      </c>
      <c r="J1923">
        <v>14</v>
      </c>
      <c r="R1923" t="s">
        <v>30</v>
      </c>
      <c r="W1923">
        <v>1</v>
      </c>
      <c r="X1923" t="s">
        <v>30</v>
      </c>
      <c r="AC1923" t="s">
        <v>4456</v>
      </c>
      <c r="AE1923" s="135"/>
    </row>
    <row r="1924" spans="1:31" ht="12.5" customHeight="1" x14ac:dyDescent="0.35">
      <c r="A1924" t="s">
        <v>396</v>
      </c>
      <c r="C1924" t="s">
        <v>4457</v>
      </c>
      <c r="D1924" t="s">
        <v>385</v>
      </c>
      <c r="E1924" s="133">
        <v>45841</v>
      </c>
      <c r="F1924" s="2">
        <v>0.10039351851851852</v>
      </c>
      <c r="G1924">
        <v>2</v>
      </c>
      <c r="H1924" s="133">
        <v>45840</v>
      </c>
      <c r="I1924" s="2">
        <v>0.60039351851851852</v>
      </c>
      <c r="J1924">
        <v>14</v>
      </c>
      <c r="R1924" t="s">
        <v>30</v>
      </c>
      <c r="W1924">
        <v>1</v>
      </c>
      <c r="X1924" t="s">
        <v>30</v>
      </c>
      <c r="AC1924" t="s">
        <v>4458</v>
      </c>
      <c r="AE1924" s="135"/>
    </row>
    <row r="1925" spans="1:31" ht="12.5" customHeight="1" x14ac:dyDescent="0.35">
      <c r="A1925" t="s">
        <v>396</v>
      </c>
      <c r="C1925" t="s">
        <v>4459</v>
      </c>
      <c r="D1925" t="s">
        <v>385</v>
      </c>
      <c r="E1925" s="133">
        <v>45841</v>
      </c>
      <c r="F1925" s="2">
        <v>0.10050925925925926</v>
      </c>
      <c r="G1925">
        <v>2</v>
      </c>
      <c r="H1925" s="133">
        <v>45840</v>
      </c>
      <c r="I1925" s="2">
        <v>0.60050925925925924</v>
      </c>
      <c r="J1925">
        <v>14</v>
      </c>
      <c r="R1925" t="s">
        <v>30</v>
      </c>
      <c r="W1925">
        <v>1</v>
      </c>
      <c r="X1925" t="s">
        <v>30</v>
      </c>
      <c r="AC1925" t="s">
        <v>4460</v>
      </c>
      <c r="AE1925" s="135"/>
    </row>
    <row r="1926" spans="1:31" ht="12.5" customHeight="1" x14ac:dyDescent="0.35">
      <c r="A1926" t="s">
        <v>396</v>
      </c>
      <c r="C1926" t="s">
        <v>4461</v>
      </c>
      <c r="D1926" t="s">
        <v>385</v>
      </c>
      <c r="E1926" s="133">
        <v>45841</v>
      </c>
      <c r="F1926" s="2">
        <v>0.10060185185185185</v>
      </c>
      <c r="G1926">
        <v>2</v>
      </c>
      <c r="H1926" s="133">
        <v>45840</v>
      </c>
      <c r="I1926" s="2">
        <v>0.60060185185185189</v>
      </c>
      <c r="J1926">
        <v>14</v>
      </c>
      <c r="R1926" t="s">
        <v>30</v>
      </c>
      <c r="W1926">
        <v>1</v>
      </c>
      <c r="X1926" t="s">
        <v>30</v>
      </c>
      <c r="AC1926" t="s">
        <v>4462</v>
      </c>
      <c r="AE1926" s="135"/>
    </row>
    <row r="1927" spans="1:31" ht="12.5" customHeight="1" x14ac:dyDescent="0.35">
      <c r="A1927" t="s">
        <v>396</v>
      </c>
      <c r="C1927" t="s">
        <v>4463</v>
      </c>
      <c r="D1927" t="s">
        <v>385</v>
      </c>
      <c r="E1927" s="133">
        <v>45841</v>
      </c>
      <c r="F1927" s="2">
        <v>0.10069444444444443</v>
      </c>
      <c r="G1927">
        <v>2</v>
      </c>
      <c r="H1927" s="133">
        <v>45840</v>
      </c>
      <c r="I1927" s="2">
        <v>0.60069444444444442</v>
      </c>
      <c r="J1927">
        <v>14</v>
      </c>
      <c r="R1927" t="s">
        <v>30</v>
      </c>
      <c r="W1927">
        <v>1</v>
      </c>
      <c r="X1927" t="s">
        <v>30</v>
      </c>
      <c r="AC1927" t="s">
        <v>4464</v>
      </c>
      <c r="AE1927" s="135"/>
    </row>
    <row r="1928" spans="1:31" ht="12.5" customHeight="1" x14ac:dyDescent="0.35">
      <c r="A1928" t="s">
        <v>396</v>
      </c>
      <c r="C1928" t="s">
        <v>4465</v>
      </c>
      <c r="D1928" t="s">
        <v>385</v>
      </c>
      <c r="E1928" s="133">
        <v>45841</v>
      </c>
      <c r="F1928" s="2">
        <v>0.10078703703703702</v>
      </c>
      <c r="G1928">
        <v>2</v>
      </c>
      <c r="H1928" s="133">
        <v>45840</v>
      </c>
      <c r="I1928" s="2">
        <v>0.60078703703703706</v>
      </c>
      <c r="J1928">
        <v>14</v>
      </c>
      <c r="R1928" t="s">
        <v>30</v>
      </c>
      <c r="W1928">
        <v>1</v>
      </c>
      <c r="X1928" t="s">
        <v>30</v>
      </c>
      <c r="AC1928" t="s">
        <v>4466</v>
      </c>
      <c r="AE1928" s="135"/>
    </row>
    <row r="1929" spans="1:31" ht="12.5" customHeight="1" x14ac:dyDescent="0.35">
      <c r="A1929" t="s">
        <v>396</v>
      </c>
      <c r="C1929" t="s">
        <v>4467</v>
      </c>
      <c r="D1929" t="s">
        <v>385</v>
      </c>
      <c r="E1929" s="133">
        <v>45841</v>
      </c>
      <c r="F1929" s="2">
        <v>0.10085648148148148</v>
      </c>
      <c r="G1929">
        <v>2</v>
      </c>
      <c r="H1929" s="133">
        <v>45840</v>
      </c>
      <c r="I1929" s="2">
        <v>0.60085648148148152</v>
      </c>
      <c r="J1929">
        <v>14</v>
      </c>
      <c r="R1929" t="s">
        <v>30</v>
      </c>
      <c r="W1929">
        <v>1</v>
      </c>
      <c r="X1929" t="s">
        <v>30</v>
      </c>
      <c r="AC1929" t="s">
        <v>4468</v>
      </c>
      <c r="AE1929" s="135"/>
    </row>
    <row r="1930" spans="1:31" ht="12.5" customHeight="1" x14ac:dyDescent="0.35">
      <c r="A1930" t="s">
        <v>396</v>
      </c>
      <c r="C1930" t="s">
        <v>4469</v>
      </c>
      <c r="D1930" t="s">
        <v>385</v>
      </c>
      <c r="E1930" s="133">
        <v>45841</v>
      </c>
      <c r="F1930" s="2">
        <v>0.10094907407407407</v>
      </c>
      <c r="G1930">
        <v>2</v>
      </c>
      <c r="H1930" s="133">
        <v>45840</v>
      </c>
      <c r="I1930" s="2">
        <v>0.60094907407407405</v>
      </c>
      <c r="J1930">
        <v>14</v>
      </c>
      <c r="R1930" t="s">
        <v>30</v>
      </c>
      <c r="W1930">
        <v>1</v>
      </c>
      <c r="X1930" t="s">
        <v>30</v>
      </c>
      <c r="AC1930" t="s">
        <v>4470</v>
      </c>
      <c r="AE1930" s="135"/>
    </row>
    <row r="1931" spans="1:31" ht="12.5" customHeight="1" x14ac:dyDescent="0.35">
      <c r="A1931" t="s">
        <v>396</v>
      </c>
      <c r="C1931" t="s">
        <v>4471</v>
      </c>
      <c r="D1931" t="s">
        <v>385</v>
      </c>
      <c r="E1931" s="133">
        <v>45841</v>
      </c>
      <c r="F1931" s="2">
        <v>0.10104166666666665</v>
      </c>
      <c r="G1931">
        <v>2</v>
      </c>
      <c r="H1931" s="133">
        <v>45840</v>
      </c>
      <c r="I1931" s="2">
        <v>0.6010416666666667</v>
      </c>
      <c r="J1931">
        <v>14</v>
      </c>
      <c r="R1931" t="s">
        <v>30</v>
      </c>
      <c r="W1931">
        <v>1</v>
      </c>
      <c r="X1931" t="s">
        <v>30</v>
      </c>
      <c r="AC1931" t="s">
        <v>4472</v>
      </c>
      <c r="AE1931" s="135"/>
    </row>
    <row r="1932" spans="1:31" ht="12.5" customHeight="1" x14ac:dyDescent="0.35">
      <c r="A1932" t="s">
        <v>396</v>
      </c>
      <c r="C1932" t="s">
        <v>4473</v>
      </c>
      <c r="D1932" t="s">
        <v>385</v>
      </c>
      <c r="E1932" s="133">
        <v>45841</v>
      </c>
      <c r="F1932" s="2">
        <v>0.10111111111111111</v>
      </c>
      <c r="G1932">
        <v>2</v>
      </c>
      <c r="H1932" s="133">
        <v>45840</v>
      </c>
      <c r="I1932" s="2">
        <v>0.60111111111111104</v>
      </c>
      <c r="J1932">
        <v>14</v>
      </c>
      <c r="R1932" t="s">
        <v>30</v>
      </c>
      <c r="W1932">
        <v>1</v>
      </c>
      <c r="X1932" t="s">
        <v>30</v>
      </c>
      <c r="AC1932" t="s">
        <v>4474</v>
      </c>
      <c r="AE1932" s="135"/>
    </row>
    <row r="1933" spans="1:31" ht="12.5" customHeight="1" x14ac:dyDescent="0.35">
      <c r="A1933" t="s">
        <v>396</v>
      </c>
      <c r="C1933" t="s">
        <v>4475</v>
      </c>
      <c r="D1933" t="s">
        <v>385</v>
      </c>
      <c r="E1933" s="133">
        <v>45841</v>
      </c>
      <c r="F1933" s="2">
        <v>0.1012037037037037</v>
      </c>
      <c r="G1933">
        <v>2</v>
      </c>
      <c r="H1933" s="133">
        <v>45840</v>
      </c>
      <c r="I1933" s="2">
        <v>0.60120370370370368</v>
      </c>
      <c r="J1933">
        <v>14</v>
      </c>
      <c r="R1933" t="s">
        <v>30</v>
      </c>
      <c r="W1933">
        <v>1</v>
      </c>
      <c r="X1933" t="s">
        <v>30</v>
      </c>
      <c r="AC1933" t="s">
        <v>4476</v>
      </c>
      <c r="AE1933" s="135"/>
    </row>
    <row r="1934" spans="1:31" ht="12.5" customHeight="1" x14ac:dyDescent="0.35">
      <c r="A1934" t="s">
        <v>396</v>
      </c>
      <c r="C1934" t="s">
        <v>4477</v>
      </c>
      <c r="D1934" t="s">
        <v>385</v>
      </c>
      <c r="E1934" s="133">
        <v>45841</v>
      </c>
      <c r="F1934" s="2">
        <v>0.10127314814814814</v>
      </c>
      <c r="G1934">
        <v>2</v>
      </c>
      <c r="H1934" s="133">
        <v>45840</v>
      </c>
      <c r="I1934" s="2">
        <v>0.60127314814814814</v>
      </c>
      <c r="J1934">
        <v>14</v>
      </c>
      <c r="R1934" t="s">
        <v>30</v>
      </c>
      <c r="W1934">
        <v>1</v>
      </c>
      <c r="X1934" t="s">
        <v>30</v>
      </c>
      <c r="AC1934" t="s">
        <v>4478</v>
      </c>
      <c r="AE1934" s="135"/>
    </row>
    <row r="1935" spans="1:31" ht="12.5" customHeight="1" x14ac:dyDescent="0.35">
      <c r="A1935" t="s">
        <v>396</v>
      </c>
      <c r="C1935" t="s">
        <v>4479</v>
      </c>
      <c r="D1935" t="s">
        <v>385</v>
      </c>
      <c r="E1935" s="133">
        <v>45841</v>
      </c>
      <c r="F1935" s="2">
        <v>0.10136574074074074</v>
      </c>
      <c r="G1935">
        <v>2</v>
      </c>
      <c r="H1935" s="133">
        <v>45840</v>
      </c>
      <c r="I1935" s="2">
        <v>0.60136574074074078</v>
      </c>
      <c r="J1935">
        <v>14</v>
      </c>
      <c r="R1935" t="s">
        <v>30</v>
      </c>
      <c r="W1935">
        <v>1</v>
      </c>
      <c r="X1935" t="s">
        <v>30</v>
      </c>
      <c r="AC1935" t="s">
        <v>4480</v>
      </c>
      <c r="AE1935" s="135"/>
    </row>
    <row r="1936" spans="1:31" ht="12.5" customHeight="1" x14ac:dyDescent="0.35">
      <c r="A1936" t="s">
        <v>396</v>
      </c>
      <c r="C1936" t="s">
        <v>4481</v>
      </c>
      <c r="D1936" t="s">
        <v>385</v>
      </c>
      <c r="E1936" s="133">
        <v>45841</v>
      </c>
      <c r="F1936" s="2">
        <v>0.10143518518518518</v>
      </c>
      <c r="G1936">
        <v>2</v>
      </c>
      <c r="H1936" s="133">
        <v>45840</v>
      </c>
      <c r="I1936" s="2">
        <v>0.60143518518518524</v>
      </c>
      <c r="J1936">
        <v>14</v>
      </c>
      <c r="R1936" t="s">
        <v>30</v>
      </c>
      <c r="W1936">
        <v>1</v>
      </c>
      <c r="X1936" t="s">
        <v>30</v>
      </c>
      <c r="AC1936" t="s">
        <v>4482</v>
      </c>
      <c r="AE1936" s="135"/>
    </row>
    <row r="1937" spans="1:31" ht="12.5" customHeight="1" x14ac:dyDescent="0.35">
      <c r="A1937" t="s">
        <v>396</v>
      </c>
      <c r="C1937" t="s">
        <v>4483</v>
      </c>
      <c r="D1937" t="s">
        <v>385</v>
      </c>
      <c r="E1937" s="133">
        <v>45841</v>
      </c>
      <c r="F1937" s="2">
        <v>0.10152777777777777</v>
      </c>
      <c r="G1937">
        <v>2</v>
      </c>
      <c r="H1937" s="133">
        <v>45840</v>
      </c>
      <c r="I1937" s="2">
        <v>0.60152777777777777</v>
      </c>
      <c r="J1937">
        <v>14</v>
      </c>
      <c r="R1937" t="s">
        <v>30</v>
      </c>
      <c r="W1937">
        <v>1</v>
      </c>
      <c r="X1937" t="s">
        <v>30</v>
      </c>
      <c r="AC1937" t="s">
        <v>4484</v>
      </c>
      <c r="AE1937" s="135"/>
    </row>
    <row r="1938" spans="1:31" ht="12.5" customHeight="1" x14ac:dyDescent="0.35">
      <c r="A1938" t="s">
        <v>396</v>
      </c>
      <c r="C1938" t="s">
        <v>4485</v>
      </c>
      <c r="D1938" t="s">
        <v>385</v>
      </c>
      <c r="E1938" s="133">
        <v>45841</v>
      </c>
      <c r="F1938" s="2">
        <v>0.10162037037037037</v>
      </c>
      <c r="G1938">
        <v>2</v>
      </c>
      <c r="H1938" s="133">
        <v>45840</v>
      </c>
      <c r="I1938" s="2">
        <v>0.60162037037037031</v>
      </c>
      <c r="J1938">
        <v>14</v>
      </c>
      <c r="R1938" t="s">
        <v>30</v>
      </c>
      <c r="W1938">
        <v>1</v>
      </c>
      <c r="X1938" t="s">
        <v>30</v>
      </c>
      <c r="AC1938" t="s">
        <v>4486</v>
      </c>
      <c r="AE1938" s="135"/>
    </row>
    <row r="1939" spans="1:31" ht="12.5" customHeight="1" x14ac:dyDescent="0.35">
      <c r="A1939" t="s">
        <v>396</v>
      </c>
      <c r="C1939" t="s">
        <v>4487</v>
      </c>
      <c r="D1939" t="s">
        <v>385</v>
      </c>
      <c r="E1939" s="133">
        <v>45841</v>
      </c>
      <c r="F1939" s="2">
        <v>0.10171296296296296</v>
      </c>
      <c r="G1939">
        <v>2</v>
      </c>
      <c r="H1939" s="133">
        <v>45840</v>
      </c>
      <c r="I1939" s="2">
        <v>0.60171296296296295</v>
      </c>
      <c r="J1939">
        <v>14</v>
      </c>
      <c r="R1939" t="s">
        <v>30</v>
      </c>
      <c r="W1939">
        <v>1</v>
      </c>
      <c r="X1939" t="s">
        <v>30</v>
      </c>
      <c r="AC1939" t="s">
        <v>4488</v>
      </c>
      <c r="AE1939" s="135"/>
    </row>
    <row r="1940" spans="1:31" ht="12.5" customHeight="1" x14ac:dyDescent="0.35">
      <c r="A1940" t="s">
        <v>396</v>
      </c>
      <c r="C1940" t="s">
        <v>4489</v>
      </c>
      <c r="D1940" t="s">
        <v>385</v>
      </c>
      <c r="E1940" s="133">
        <v>45841</v>
      </c>
      <c r="F1940" s="2">
        <v>0.1017824074074074</v>
      </c>
      <c r="G1940">
        <v>2</v>
      </c>
      <c r="H1940" s="133">
        <v>45840</v>
      </c>
      <c r="I1940" s="2">
        <v>0.6017824074074074</v>
      </c>
      <c r="J1940">
        <v>14</v>
      </c>
      <c r="R1940" t="s">
        <v>30</v>
      </c>
      <c r="W1940">
        <v>1</v>
      </c>
      <c r="X1940" t="s">
        <v>30</v>
      </c>
      <c r="AC1940" t="s">
        <v>4490</v>
      </c>
      <c r="AE1940" s="135"/>
    </row>
    <row r="1941" spans="1:31" ht="12.5" customHeight="1" x14ac:dyDescent="0.35">
      <c r="A1941" t="s">
        <v>396</v>
      </c>
      <c r="C1941" t="s">
        <v>4491</v>
      </c>
      <c r="D1941" t="s">
        <v>385</v>
      </c>
      <c r="E1941" s="133">
        <v>45841</v>
      </c>
      <c r="F1941" s="2">
        <v>0.10187499999999999</v>
      </c>
      <c r="G1941">
        <v>2</v>
      </c>
      <c r="H1941" s="133">
        <v>45840</v>
      </c>
      <c r="I1941" s="2">
        <v>0.60187500000000005</v>
      </c>
      <c r="J1941">
        <v>14</v>
      </c>
      <c r="R1941" t="s">
        <v>30</v>
      </c>
      <c r="W1941">
        <v>1</v>
      </c>
      <c r="X1941" t="s">
        <v>30</v>
      </c>
      <c r="AC1941" t="s">
        <v>4492</v>
      </c>
      <c r="AE1941" s="135"/>
    </row>
    <row r="1942" spans="1:31" ht="12.5" customHeight="1" x14ac:dyDescent="0.35">
      <c r="A1942" t="s">
        <v>396</v>
      </c>
      <c r="C1942" t="s">
        <v>4493</v>
      </c>
      <c r="D1942" t="s">
        <v>385</v>
      </c>
      <c r="E1942" s="133">
        <v>45841</v>
      </c>
      <c r="F1942" s="2">
        <v>0.10194444444444445</v>
      </c>
      <c r="G1942">
        <v>2</v>
      </c>
      <c r="H1942" s="133">
        <v>45840</v>
      </c>
      <c r="I1942" s="2">
        <v>0.6019444444444445</v>
      </c>
      <c r="J1942">
        <v>14</v>
      </c>
      <c r="R1942" t="s">
        <v>30</v>
      </c>
      <c r="W1942">
        <v>1</v>
      </c>
      <c r="X1942" t="s">
        <v>30</v>
      </c>
      <c r="AC1942" t="s">
        <v>4494</v>
      </c>
      <c r="AE1942" s="135"/>
    </row>
    <row r="1943" spans="1:31" ht="12.5" customHeight="1" x14ac:dyDescent="0.35">
      <c r="A1943" t="s">
        <v>396</v>
      </c>
      <c r="C1943" t="s">
        <v>4495</v>
      </c>
      <c r="D1943" t="s">
        <v>385</v>
      </c>
      <c r="E1943" s="133">
        <v>45841</v>
      </c>
      <c r="F1943" s="2">
        <v>0.10203703703703704</v>
      </c>
      <c r="G1943">
        <v>2</v>
      </c>
      <c r="H1943" s="133">
        <v>45840</v>
      </c>
      <c r="I1943" s="2">
        <v>0.60203703703703704</v>
      </c>
      <c r="J1943">
        <v>14</v>
      </c>
      <c r="R1943" t="s">
        <v>30</v>
      </c>
      <c r="W1943">
        <v>1</v>
      </c>
      <c r="X1943" t="s">
        <v>30</v>
      </c>
      <c r="AC1943" t="s">
        <v>4496</v>
      </c>
      <c r="AE1943" s="135"/>
    </row>
    <row r="1944" spans="1:31" ht="12.5" customHeight="1" x14ac:dyDescent="0.35">
      <c r="A1944" t="s">
        <v>396</v>
      </c>
      <c r="C1944" t="s">
        <v>4497</v>
      </c>
      <c r="D1944" t="s">
        <v>385</v>
      </c>
      <c r="E1944" s="133">
        <v>45841</v>
      </c>
      <c r="F1944" s="2">
        <v>0.10210648148148149</v>
      </c>
      <c r="G1944">
        <v>2</v>
      </c>
      <c r="H1944" s="133">
        <v>45840</v>
      </c>
      <c r="I1944" s="2">
        <v>0.60210648148148149</v>
      </c>
      <c r="J1944">
        <v>14</v>
      </c>
      <c r="R1944" t="s">
        <v>30</v>
      </c>
      <c r="W1944">
        <v>1</v>
      </c>
      <c r="X1944" t="s">
        <v>30</v>
      </c>
      <c r="AC1944" t="s">
        <v>4498</v>
      </c>
      <c r="AE1944" s="135"/>
    </row>
    <row r="1945" spans="1:31" ht="12.5" customHeight="1" x14ac:dyDescent="0.35">
      <c r="A1945" t="s">
        <v>396</v>
      </c>
      <c r="C1945" t="s">
        <v>4499</v>
      </c>
      <c r="D1945" t="s">
        <v>385</v>
      </c>
      <c r="E1945" s="133">
        <v>45841</v>
      </c>
      <c r="F1945" s="2">
        <v>0.10222222222222221</v>
      </c>
      <c r="G1945">
        <v>2</v>
      </c>
      <c r="H1945" s="133">
        <v>45840</v>
      </c>
      <c r="I1945" s="2">
        <v>0.60222222222222221</v>
      </c>
      <c r="J1945">
        <v>14</v>
      </c>
      <c r="R1945" t="s">
        <v>30</v>
      </c>
      <c r="W1945">
        <v>1</v>
      </c>
      <c r="X1945" t="s">
        <v>30</v>
      </c>
      <c r="AC1945" t="s">
        <v>4500</v>
      </c>
      <c r="AE1945" s="135"/>
    </row>
    <row r="1946" spans="1:31" ht="12.5" customHeight="1" x14ac:dyDescent="0.35">
      <c r="A1946" t="s">
        <v>396</v>
      </c>
      <c r="C1946" t="s">
        <v>4501</v>
      </c>
      <c r="D1946" t="s">
        <v>385</v>
      </c>
      <c r="E1946" s="133">
        <v>45841</v>
      </c>
      <c r="F1946" s="2">
        <v>0.10231481481481482</v>
      </c>
      <c r="G1946">
        <v>2</v>
      </c>
      <c r="H1946" s="133">
        <v>45840</v>
      </c>
      <c r="I1946" s="2">
        <v>0.60231481481481486</v>
      </c>
      <c r="J1946">
        <v>14</v>
      </c>
      <c r="R1946" t="s">
        <v>30</v>
      </c>
      <c r="W1946">
        <v>1</v>
      </c>
      <c r="X1946" t="s">
        <v>30</v>
      </c>
      <c r="AC1946" t="s">
        <v>4502</v>
      </c>
      <c r="AE1946" s="135"/>
    </row>
    <row r="1947" spans="1:31" ht="12.5" customHeight="1" x14ac:dyDescent="0.35">
      <c r="A1947" t="s">
        <v>396</v>
      </c>
      <c r="C1947" t="s">
        <v>4503</v>
      </c>
      <c r="D1947" t="s">
        <v>385</v>
      </c>
      <c r="E1947" s="133">
        <v>45841</v>
      </c>
      <c r="F1947" s="2">
        <v>0.10240740740740741</v>
      </c>
      <c r="G1947">
        <v>2</v>
      </c>
      <c r="H1947" s="133">
        <v>45840</v>
      </c>
      <c r="I1947" s="2">
        <v>0.60240740740740739</v>
      </c>
      <c r="J1947">
        <v>14</v>
      </c>
      <c r="R1947" t="s">
        <v>30</v>
      </c>
      <c r="W1947">
        <v>1</v>
      </c>
      <c r="X1947" t="s">
        <v>30</v>
      </c>
      <c r="AC1947" t="s">
        <v>4504</v>
      </c>
      <c r="AE1947" s="135"/>
    </row>
    <row r="1948" spans="1:31" ht="12.5" customHeight="1" x14ac:dyDescent="0.35">
      <c r="A1948" t="s">
        <v>396</v>
      </c>
      <c r="C1948" t="s">
        <v>4505</v>
      </c>
      <c r="D1948" t="s">
        <v>385</v>
      </c>
      <c r="E1948" s="133">
        <v>45841</v>
      </c>
      <c r="F1948" s="2">
        <v>0.10247685185185185</v>
      </c>
      <c r="G1948">
        <v>2</v>
      </c>
      <c r="H1948" s="133">
        <v>45840</v>
      </c>
      <c r="I1948" s="2">
        <v>0.60247685185185185</v>
      </c>
      <c r="J1948">
        <v>14</v>
      </c>
      <c r="R1948" t="s">
        <v>30</v>
      </c>
      <c r="W1948">
        <v>1</v>
      </c>
      <c r="X1948" t="s">
        <v>30</v>
      </c>
      <c r="AC1948" t="s">
        <v>4506</v>
      </c>
      <c r="AE1948" s="135"/>
    </row>
    <row r="1949" spans="1:31" ht="12.5" customHeight="1" x14ac:dyDescent="0.35">
      <c r="A1949" t="s">
        <v>396</v>
      </c>
      <c r="C1949" t="s">
        <v>4507</v>
      </c>
      <c r="D1949" t="s">
        <v>385</v>
      </c>
      <c r="E1949" s="133">
        <v>45841</v>
      </c>
      <c r="F1949" s="2">
        <v>0.10256944444444445</v>
      </c>
      <c r="G1949">
        <v>2</v>
      </c>
      <c r="H1949" s="133">
        <v>45840</v>
      </c>
      <c r="I1949" s="2">
        <v>0.60256944444444438</v>
      </c>
      <c r="J1949">
        <v>14</v>
      </c>
      <c r="R1949" t="s">
        <v>30</v>
      </c>
      <c r="W1949">
        <v>1</v>
      </c>
      <c r="X1949" t="s">
        <v>30</v>
      </c>
      <c r="AC1949" t="s">
        <v>4508</v>
      </c>
      <c r="AE1949" s="135"/>
    </row>
    <row r="1950" spans="1:31" ht="12.5" customHeight="1" x14ac:dyDescent="0.35">
      <c r="A1950" t="s">
        <v>396</v>
      </c>
      <c r="C1950" t="s">
        <v>4509</v>
      </c>
      <c r="D1950" t="s">
        <v>385</v>
      </c>
      <c r="E1950" s="133">
        <v>45841</v>
      </c>
      <c r="F1950" s="2">
        <v>0.10266203703703704</v>
      </c>
      <c r="G1950">
        <v>2</v>
      </c>
      <c r="H1950" s="133">
        <v>45840</v>
      </c>
      <c r="I1950" s="2">
        <v>0.60266203703703702</v>
      </c>
      <c r="J1950">
        <v>14</v>
      </c>
      <c r="R1950" t="s">
        <v>30</v>
      </c>
      <c r="W1950">
        <v>1</v>
      </c>
      <c r="X1950" t="s">
        <v>30</v>
      </c>
      <c r="AC1950" t="s">
        <v>4510</v>
      </c>
      <c r="AE1950" s="135"/>
    </row>
    <row r="1951" spans="1:31" ht="12.5" customHeight="1" x14ac:dyDescent="0.35">
      <c r="A1951" t="s">
        <v>396</v>
      </c>
      <c r="C1951" t="s">
        <v>4511</v>
      </c>
      <c r="D1951" t="s">
        <v>385</v>
      </c>
      <c r="E1951" s="133">
        <v>45841</v>
      </c>
      <c r="F1951" s="2">
        <v>0.10273148148148148</v>
      </c>
      <c r="G1951">
        <v>2</v>
      </c>
      <c r="H1951" s="133">
        <v>45840</v>
      </c>
      <c r="I1951" s="2">
        <v>0.60273148148148148</v>
      </c>
      <c r="J1951">
        <v>14</v>
      </c>
      <c r="R1951" t="s">
        <v>30</v>
      </c>
      <c r="W1951">
        <v>1</v>
      </c>
      <c r="X1951" t="s">
        <v>30</v>
      </c>
      <c r="AC1951" t="s">
        <v>4512</v>
      </c>
      <c r="AE1951" s="135"/>
    </row>
    <row r="1952" spans="1:31" ht="12.5" customHeight="1" x14ac:dyDescent="0.35">
      <c r="A1952" t="s">
        <v>396</v>
      </c>
      <c r="C1952" t="s">
        <v>4513</v>
      </c>
      <c r="D1952" t="s">
        <v>385</v>
      </c>
      <c r="E1952" s="133">
        <v>45841</v>
      </c>
      <c r="F1952" s="2">
        <v>0.10282407407407407</v>
      </c>
      <c r="G1952">
        <v>2</v>
      </c>
      <c r="H1952" s="133">
        <v>45840</v>
      </c>
      <c r="I1952" s="2">
        <v>0.60282407407407412</v>
      </c>
      <c r="J1952">
        <v>14</v>
      </c>
      <c r="R1952" t="s">
        <v>30</v>
      </c>
      <c r="W1952">
        <v>1</v>
      </c>
      <c r="X1952" t="s">
        <v>30</v>
      </c>
      <c r="AC1952" t="s">
        <v>4514</v>
      </c>
      <c r="AE1952" s="135"/>
    </row>
    <row r="1953" spans="1:31" ht="12.5" customHeight="1" x14ac:dyDescent="0.35">
      <c r="A1953" t="s">
        <v>396</v>
      </c>
      <c r="C1953" t="s">
        <v>4515</v>
      </c>
      <c r="D1953" t="s">
        <v>385</v>
      </c>
      <c r="E1953" s="133">
        <v>45841</v>
      </c>
      <c r="F1953" s="2">
        <v>0.10289351851851852</v>
      </c>
      <c r="G1953">
        <v>2</v>
      </c>
      <c r="H1953" s="133">
        <v>45840</v>
      </c>
      <c r="I1953" s="2">
        <v>0.60289351851851858</v>
      </c>
      <c r="J1953">
        <v>14</v>
      </c>
      <c r="R1953" t="s">
        <v>30</v>
      </c>
      <c r="W1953">
        <v>1</v>
      </c>
      <c r="X1953" t="s">
        <v>30</v>
      </c>
      <c r="AC1953" t="s">
        <v>4516</v>
      </c>
      <c r="AE1953" s="135"/>
    </row>
    <row r="1954" spans="1:31" ht="12.5" customHeight="1" x14ac:dyDescent="0.35">
      <c r="A1954" t="s">
        <v>396</v>
      </c>
      <c r="C1954" t="s">
        <v>4517</v>
      </c>
      <c r="D1954" t="s">
        <v>385</v>
      </c>
      <c r="E1954" s="133">
        <v>45841</v>
      </c>
      <c r="F1954" s="2">
        <v>0.10300925925925926</v>
      </c>
      <c r="G1954">
        <v>2</v>
      </c>
      <c r="H1954" s="133">
        <v>45840</v>
      </c>
      <c r="I1954" s="2">
        <v>0.60300925925925919</v>
      </c>
      <c r="J1954">
        <v>14</v>
      </c>
      <c r="R1954" t="s">
        <v>30</v>
      </c>
      <c r="W1954">
        <v>1</v>
      </c>
      <c r="X1954" t="s">
        <v>30</v>
      </c>
      <c r="AC1954" t="s">
        <v>4518</v>
      </c>
      <c r="AE1954" s="135"/>
    </row>
    <row r="1955" spans="1:31" ht="12.5" customHeight="1" x14ac:dyDescent="0.35">
      <c r="A1955" t="s">
        <v>396</v>
      </c>
      <c r="C1955" t="s">
        <v>4519</v>
      </c>
      <c r="D1955" t="s">
        <v>385</v>
      </c>
      <c r="E1955" s="133">
        <v>45841</v>
      </c>
      <c r="F1955" s="2">
        <v>0.10310185185185185</v>
      </c>
      <c r="G1955">
        <v>2</v>
      </c>
      <c r="H1955" s="133">
        <v>45840</v>
      </c>
      <c r="I1955" s="2">
        <v>0.60310185185185183</v>
      </c>
      <c r="J1955">
        <v>14</v>
      </c>
      <c r="R1955" t="s">
        <v>30</v>
      </c>
      <c r="W1955">
        <v>1</v>
      </c>
      <c r="X1955" t="s">
        <v>30</v>
      </c>
      <c r="AC1955" t="s">
        <v>4520</v>
      </c>
      <c r="AE1955" s="135"/>
    </row>
    <row r="1956" spans="1:31" ht="12.5" customHeight="1" x14ac:dyDescent="0.35">
      <c r="A1956" t="s">
        <v>396</v>
      </c>
      <c r="C1956" t="s">
        <v>4521</v>
      </c>
      <c r="D1956" t="s">
        <v>385</v>
      </c>
      <c r="E1956" s="133">
        <v>45841</v>
      </c>
      <c r="F1956" s="2">
        <v>0.10317129629629629</v>
      </c>
      <c r="G1956">
        <v>2</v>
      </c>
      <c r="H1956" s="133">
        <v>45840</v>
      </c>
      <c r="I1956" s="2">
        <v>0.60317129629629629</v>
      </c>
      <c r="J1956">
        <v>14</v>
      </c>
      <c r="R1956" t="s">
        <v>30</v>
      </c>
      <c r="W1956">
        <v>1</v>
      </c>
      <c r="X1956" t="s">
        <v>30</v>
      </c>
      <c r="AC1956" t="s">
        <v>4522</v>
      </c>
      <c r="AE1956" s="135"/>
    </row>
    <row r="1957" spans="1:31" ht="12.5" customHeight="1" x14ac:dyDescent="0.35">
      <c r="A1957" t="s">
        <v>396</v>
      </c>
      <c r="C1957" t="s">
        <v>4523</v>
      </c>
      <c r="D1957" t="s">
        <v>385</v>
      </c>
      <c r="E1957" s="133">
        <v>45841</v>
      </c>
      <c r="F1957" s="2">
        <v>0.10326388888888889</v>
      </c>
      <c r="G1957">
        <v>2</v>
      </c>
      <c r="H1957" s="133">
        <v>45840</v>
      </c>
      <c r="I1957" s="2">
        <v>0.60326388888888893</v>
      </c>
      <c r="J1957">
        <v>14</v>
      </c>
      <c r="R1957" t="s">
        <v>30</v>
      </c>
      <c r="W1957">
        <v>1</v>
      </c>
      <c r="X1957" t="s">
        <v>30</v>
      </c>
      <c r="AC1957" t="s">
        <v>4524</v>
      </c>
      <c r="AE1957" s="135"/>
    </row>
    <row r="1958" spans="1:31" ht="12.5" customHeight="1" x14ac:dyDescent="0.35">
      <c r="A1958" t="s">
        <v>396</v>
      </c>
      <c r="C1958" t="s">
        <v>4525</v>
      </c>
      <c r="D1958" t="s">
        <v>385</v>
      </c>
      <c r="E1958" s="133">
        <v>45841</v>
      </c>
      <c r="F1958" s="2">
        <v>0.10335648148148148</v>
      </c>
      <c r="G1958">
        <v>2</v>
      </c>
      <c r="H1958" s="133">
        <v>45840</v>
      </c>
      <c r="I1958" s="2">
        <v>0.60335648148148147</v>
      </c>
      <c r="J1958">
        <v>14</v>
      </c>
      <c r="R1958" t="s">
        <v>30</v>
      </c>
      <c r="W1958">
        <v>1</v>
      </c>
      <c r="X1958" t="s">
        <v>30</v>
      </c>
      <c r="AC1958" t="s">
        <v>4526</v>
      </c>
      <c r="AE1958" s="135"/>
    </row>
    <row r="1959" spans="1:31" ht="12.5" customHeight="1" x14ac:dyDescent="0.35">
      <c r="A1959" t="s">
        <v>396</v>
      </c>
      <c r="C1959" t="s">
        <v>4527</v>
      </c>
      <c r="D1959" t="s">
        <v>385</v>
      </c>
      <c r="E1959" s="133">
        <v>45841</v>
      </c>
      <c r="F1959" s="2">
        <v>0.10342592592592592</v>
      </c>
      <c r="G1959">
        <v>2</v>
      </c>
      <c r="H1959" s="133">
        <v>45840</v>
      </c>
      <c r="I1959" s="2">
        <v>0.60342592592592592</v>
      </c>
      <c r="J1959">
        <v>14</v>
      </c>
      <c r="R1959" t="s">
        <v>30</v>
      </c>
      <c r="W1959">
        <v>1</v>
      </c>
      <c r="X1959" t="s">
        <v>30</v>
      </c>
      <c r="AC1959" t="s">
        <v>4528</v>
      </c>
      <c r="AE1959" s="135"/>
    </row>
    <row r="1960" spans="1:31" ht="12.5" customHeight="1" x14ac:dyDescent="0.35">
      <c r="A1960" t="s">
        <v>396</v>
      </c>
      <c r="C1960" t="s">
        <v>4529</v>
      </c>
      <c r="D1960" t="s">
        <v>385</v>
      </c>
      <c r="E1960" s="133">
        <v>45841</v>
      </c>
      <c r="F1960" s="2">
        <v>0.10351851851851852</v>
      </c>
      <c r="G1960">
        <v>2</v>
      </c>
      <c r="H1960" s="133">
        <v>45840</v>
      </c>
      <c r="I1960" s="2">
        <v>0.60351851851851845</v>
      </c>
      <c r="J1960">
        <v>14</v>
      </c>
      <c r="R1960" t="s">
        <v>432</v>
      </c>
      <c r="S1960">
        <v>5</v>
      </c>
      <c r="T1960">
        <v>0</v>
      </c>
      <c r="U1960">
        <v>0</v>
      </c>
      <c r="V1960">
        <v>0</v>
      </c>
      <c r="W1960">
        <v>1</v>
      </c>
      <c r="X1960" t="s">
        <v>30</v>
      </c>
      <c r="AC1960" t="s">
        <v>4530</v>
      </c>
      <c r="AE1960" s="135"/>
    </row>
    <row r="1961" spans="1:31" ht="12.5" customHeight="1" x14ac:dyDescent="0.35">
      <c r="A1961" t="s">
        <v>396</v>
      </c>
      <c r="C1961" t="s">
        <v>4531</v>
      </c>
      <c r="D1961" t="s">
        <v>385</v>
      </c>
      <c r="E1961" s="133">
        <v>45841</v>
      </c>
      <c r="F1961" s="2">
        <v>0.10358796296296297</v>
      </c>
      <c r="G1961">
        <v>2</v>
      </c>
      <c r="H1961" s="133">
        <v>45840</v>
      </c>
      <c r="I1961" s="2">
        <v>0.60358796296296291</v>
      </c>
      <c r="J1961">
        <v>14</v>
      </c>
      <c r="R1961" t="s">
        <v>30</v>
      </c>
      <c r="W1961">
        <v>1</v>
      </c>
      <c r="X1961" t="s">
        <v>30</v>
      </c>
      <c r="AC1961" t="s">
        <v>4532</v>
      </c>
      <c r="AE1961" s="135"/>
    </row>
    <row r="1962" spans="1:31" ht="12.5" customHeight="1" x14ac:dyDescent="0.35">
      <c r="A1962" t="s">
        <v>396</v>
      </c>
      <c r="C1962" t="s">
        <v>4533</v>
      </c>
      <c r="D1962" t="s">
        <v>385</v>
      </c>
      <c r="E1962" s="133">
        <v>45841</v>
      </c>
      <c r="F1962" s="2">
        <v>0.10365740740740741</v>
      </c>
      <c r="G1962">
        <v>2</v>
      </c>
      <c r="H1962" s="133">
        <v>45840</v>
      </c>
      <c r="I1962" s="2">
        <v>0.60365740740740736</v>
      </c>
      <c r="J1962">
        <v>14</v>
      </c>
      <c r="R1962" t="s">
        <v>30</v>
      </c>
      <c r="W1962">
        <v>1</v>
      </c>
      <c r="X1962" t="s">
        <v>30</v>
      </c>
      <c r="AC1962" t="s">
        <v>4534</v>
      </c>
      <c r="AE1962" s="135"/>
    </row>
    <row r="1963" spans="1:31" ht="12.5" customHeight="1" x14ac:dyDescent="0.35">
      <c r="A1963" t="s">
        <v>396</v>
      </c>
      <c r="C1963" t="s">
        <v>4535</v>
      </c>
      <c r="D1963" t="s">
        <v>385</v>
      </c>
      <c r="E1963" s="133">
        <v>45841</v>
      </c>
      <c r="F1963" s="2">
        <v>0.10375000000000001</v>
      </c>
      <c r="G1963">
        <v>2</v>
      </c>
      <c r="H1963" s="133">
        <v>45840</v>
      </c>
      <c r="I1963" s="2">
        <v>0.60375000000000001</v>
      </c>
      <c r="J1963">
        <v>14</v>
      </c>
      <c r="R1963" t="s">
        <v>30</v>
      </c>
      <c r="W1963">
        <v>1</v>
      </c>
      <c r="X1963" t="s">
        <v>30</v>
      </c>
      <c r="AC1963" t="s">
        <v>4536</v>
      </c>
      <c r="AE1963" s="135"/>
    </row>
    <row r="1964" spans="1:31" ht="12.5" customHeight="1" x14ac:dyDescent="0.35">
      <c r="A1964" t="s">
        <v>396</v>
      </c>
      <c r="C1964" t="s">
        <v>4537</v>
      </c>
      <c r="D1964" t="s">
        <v>385</v>
      </c>
      <c r="E1964" s="133">
        <v>45841</v>
      </c>
      <c r="F1964" s="2">
        <v>0.1038425925925926</v>
      </c>
      <c r="G1964">
        <v>2</v>
      </c>
      <c r="H1964" s="133">
        <v>45840</v>
      </c>
      <c r="I1964" s="2">
        <v>0.60384259259259265</v>
      </c>
      <c r="J1964">
        <v>14</v>
      </c>
      <c r="R1964" t="s">
        <v>30</v>
      </c>
      <c r="W1964">
        <v>1</v>
      </c>
      <c r="X1964" t="s">
        <v>30</v>
      </c>
      <c r="AC1964" t="s">
        <v>4538</v>
      </c>
      <c r="AE1964" s="135"/>
    </row>
    <row r="1965" spans="1:31" ht="12.5" customHeight="1" x14ac:dyDescent="0.35">
      <c r="A1965" t="s">
        <v>396</v>
      </c>
      <c r="C1965" t="s">
        <v>4539</v>
      </c>
      <c r="D1965" t="s">
        <v>385</v>
      </c>
      <c r="E1965" s="133">
        <v>45841</v>
      </c>
      <c r="F1965" s="2">
        <v>0.10395833333333333</v>
      </c>
      <c r="G1965">
        <v>2</v>
      </c>
      <c r="H1965" s="133">
        <v>45840</v>
      </c>
      <c r="I1965" s="2">
        <v>0.60395833333333326</v>
      </c>
      <c r="J1965">
        <v>14</v>
      </c>
      <c r="R1965" t="s">
        <v>30</v>
      </c>
      <c r="W1965">
        <v>1</v>
      </c>
      <c r="X1965" t="s">
        <v>30</v>
      </c>
      <c r="AC1965" t="s">
        <v>4540</v>
      </c>
      <c r="AE1965" s="135"/>
    </row>
    <row r="1966" spans="1:31" ht="12.5" customHeight="1" x14ac:dyDescent="0.35">
      <c r="A1966" t="s">
        <v>396</v>
      </c>
      <c r="C1966" t="s">
        <v>4541</v>
      </c>
      <c r="D1966" t="s">
        <v>385</v>
      </c>
      <c r="E1966" s="133">
        <v>45841</v>
      </c>
      <c r="F1966" s="2">
        <v>0.10402777777777777</v>
      </c>
      <c r="G1966">
        <v>2</v>
      </c>
      <c r="H1966" s="133">
        <v>45840</v>
      </c>
      <c r="I1966" s="2">
        <v>0.60402777777777772</v>
      </c>
      <c r="J1966">
        <v>14</v>
      </c>
      <c r="R1966" t="s">
        <v>30</v>
      </c>
      <c r="W1966">
        <v>1</v>
      </c>
      <c r="X1966" t="s">
        <v>30</v>
      </c>
      <c r="AC1966" t="s">
        <v>4542</v>
      </c>
      <c r="AE1966" s="135"/>
    </row>
    <row r="1967" spans="1:31" ht="12.5" customHeight="1" x14ac:dyDescent="0.35">
      <c r="A1967" t="s">
        <v>396</v>
      </c>
      <c r="C1967" t="s">
        <v>4543</v>
      </c>
      <c r="D1967" t="s">
        <v>385</v>
      </c>
      <c r="E1967" s="133">
        <v>45841</v>
      </c>
      <c r="F1967" s="2">
        <v>0.10409722222222222</v>
      </c>
      <c r="G1967">
        <v>2</v>
      </c>
      <c r="H1967" s="133">
        <v>45840</v>
      </c>
      <c r="I1967" s="2">
        <v>0.60409722222222217</v>
      </c>
      <c r="J1967">
        <v>14</v>
      </c>
      <c r="R1967" t="s">
        <v>30</v>
      </c>
      <c r="W1967">
        <v>1</v>
      </c>
      <c r="X1967" t="s">
        <v>30</v>
      </c>
      <c r="AC1967" t="s">
        <v>4544</v>
      </c>
      <c r="AE1967" s="135"/>
    </row>
    <row r="1968" spans="1:31" ht="12.5" customHeight="1" x14ac:dyDescent="0.35">
      <c r="A1968" t="s">
        <v>396</v>
      </c>
      <c r="C1968" t="s">
        <v>4545</v>
      </c>
      <c r="D1968" t="s">
        <v>385</v>
      </c>
      <c r="E1968" s="133">
        <v>45841</v>
      </c>
      <c r="F1968" s="2">
        <v>0.10418981481481482</v>
      </c>
      <c r="G1968">
        <v>2</v>
      </c>
      <c r="H1968" s="133">
        <v>45840</v>
      </c>
      <c r="I1968" s="2">
        <v>0.60418981481481482</v>
      </c>
      <c r="J1968">
        <v>14</v>
      </c>
      <c r="R1968" t="s">
        <v>30</v>
      </c>
      <c r="W1968">
        <v>1</v>
      </c>
      <c r="X1968" t="s">
        <v>30</v>
      </c>
      <c r="AC1968" t="s">
        <v>4546</v>
      </c>
      <c r="AE1968" s="135"/>
    </row>
    <row r="1969" spans="1:31" ht="12.5" customHeight="1" x14ac:dyDescent="0.35">
      <c r="A1969" t="s">
        <v>396</v>
      </c>
      <c r="C1969" t="s">
        <v>4547</v>
      </c>
      <c r="D1969" t="s">
        <v>385</v>
      </c>
      <c r="E1969" s="133">
        <v>45841</v>
      </c>
      <c r="F1969" s="2">
        <v>0.10428240740740741</v>
      </c>
      <c r="G1969">
        <v>2</v>
      </c>
      <c r="H1969" s="133">
        <v>45840</v>
      </c>
      <c r="I1969" s="2">
        <v>0.60428240740740746</v>
      </c>
      <c r="J1969">
        <v>14</v>
      </c>
      <c r="R1969" t="s">
        <v>30</v>
      </c>
      <c r="W1969">
        <v>1</v>
      </c>
      <c r="X1969" t="s">
        <v>30</v>
      </c>
      <c r="AC1969" t="s">
        <v>4548</v>
      </c>
      <c r="AE1969" s="135"/>
    </row>
    <row r="1970" spans="1:31" ht="12.5" customHeight="1" x14ac:dyDescent="0.35">
      <c r="A1970" t="s">
        <v>396</v>
      </c>
      <c r="C1970" t="s">
        <v>4549</v>
      </c>
      <c r="D1970" t="s">
        <v>385</v>
      </c>
      <c r="E1970" s="133">
        <v>45841</v>
      </c>
      <c r="F1970" s="2">
        <v>0.104375</v>
      </c>
      <c r="G1970">
        <v>2</v>
      </c>
      <c r="H1970" s="133">
        <v>45840</v>
      </c>
      <c r="I1970" s="2">
        <v>0.604375</v>
      </c>
      <c r="J1970">
        <v>14</v>
      </c>
      <c r="R1970" t="s">
        <v>30</v>
      </c>
      <c r="W1970">
        <v>1</v>
      </c>
      <c r="X1970" t="s">
        <v>30</v>
      </c>
      <c r="AC1970" t="s">
        <v>4550</v>
      </c>
      <c r="AE1970" s="135"/>
    </row>
    <row r="1971" spans="1:31" ht="12.5" customHeight="1" x14ac:dyDescent="0.35">
      <c r="A1971" t="s">
        <v>396</v>
      </c>
      <c r="C1971" t="s">
        <v>4551</v>
      </c>
      <c r="D1971" t="s">
        <v>385</v>
      </c>
      <c r="E1971" s="133">
        <v>45841</v>
      </c>
      <c r="F1971" s="2">
        <v>0.10444444444444445</v>
      </c>
      <c r="G1971">
        <v>2</v>
      </c>
      <c r="H1971" s="133">
        <v>45840</v>
      </c>
      <c r="I1971" s="2">
        <v>0.60444444444444445</v>
      </c>
      <c r="J1971">
        <v>14</v>
      </c>
      <c r="R1971" t="s">
        <v>30</v>
      </c>
      <c r="W1971">
        <v>1</v>
      </c>
      <c r="X1971" t="s">
        <v>30</v>
      </c>
      <c r="AC1971" t="s">
        <v>4552</v>
      </c>
      <c r="AE1971" s="135"/>
    </row>
    <row r="1972" spans="1:31" ht="12.5" customHeight="1" x14ac:dyDescent="0.35">
      <c r="A1972" t="s">
        <v>396</v>
      </c>
      <c r="C1972" t="s">
        <v>4553</v>
      </c>
      <c r="D1972" t="s">
        <v>385</v>
      </c>
      <c r="E1972" s="133">
        <v>45841</v>
      </c>
      <c r="F1972" s="2">
        <v>0.10453703703703704</v>
      </c>
      <c r="G1972">
        <v>2</v>
      </c>
      <c r="H1972" s="133">
        <v>45840</v>
      </c>
      <c r="I1972" s="2">
        <v>0.60453703703703698</v>
      </c>
      <c r="J1972">
        <v>14</v>
      </c>
      <c r="R1972" t="s">
        <v>30</v>
      </c>
      <c r="W1972">
        <v>1</v>
      </c>
      <c r="X1972" t="s">
        <v>30</v>
      </c>
      <c r="AC1972" t="s">
        <v>4554</v>
      </c>
      <c r="AE1972" s="135"/>
    </row>
    <row r="1973" spans="1:31" ht="12.5" customHeight="1" x14ac:dyDescent="0.35">
      <c r="A1973" t="s">
        <v>396</v>
      </c>
      <c r="C1973" t="s">
        <v>4555</v>
      </c>
      <c r="D1973" t="s">
        <v>385</v>
      </c>
      <c r="E1973" s="133">
        <v>45841</v>
      </c>
      <c r="F1973" s="2">
        <v>0.10462962962962963</v>
      </c>
      <c r="G1973">
        <v>2</v>
      </c>
      <c r="H1973" s="133">
        <v>45840</v>
      </c>
      <c r="I1973" s="2">
        <v>0.60462962962962963</v>
      </c>
      <c r="J1973">
        <v>14</v>
      </c>
      <c r="R1973" t="s">
        <v>30</v>
      </c>
      <c r="W1973">
        <v>1</v>
      </c>
      <c r="X1973" t="s">
        <v>30</v>
      </c>
      <c r="AC1973" t="s">
        <v>4556</v>
      </c>
      <c r="AE1973" s="135"/>
    </row>
    <row r="1974" spans="1:31" ht="12.5" customHeight="1" x14ac:dyDescent="0.35">
      <c r="A1974" t="s">
        <v>396</v>
      </c>
      <c r="C1974" t="s">
        <v>4557</v>
      </c>
      <c r="D1974" t="s">
        <v>385</v>
      </c>
      <c r="E1974" s="133">
        <v>45841</v>
      </c>
      <c r="F1974" s="2">
        <v>0.10472222222222222</v>
      </c>
      <c r="G1974">
        <v>2</v>
      </c>
      <c r="H1974" s="133">
        <v>45840</v>
      </c>
      <c r="I1974" s="2">
        <v>0.60472222222222227</v>
      </c>
      <c r="J1974">
        <v>14</v>
      </c>
      <c r="R1974" t="s">
        <v>30</v>
      </c>
      <c r="W1974">
        <v>1</v>
      </c>
      <c r="X1974" t="s">
        <v>30</v>
      </c>
      <c r="AC1974" t="s">
        <v>4558</v>
      </c>
      <c r="AE1974" s="135"/>
    </row>
    <row r="1975" spans="1:31" ht="12.5" customHeight="1" x14ac:dyDescent="0.35">
      <c r="A1975" t="s">
        <v>396</v>
      </c>
      <c r="C1975" t="s">
        <v>4559</v>
      </c>
      <c r="D1975" t="s">
        <v>385</v>
      </c>
      <c r="E1975" s="133">
        <v>45841</v>
      </c>
      <c r="F1975" s="2">
        <v>0.10479166666666667</v>
      </c>
      <c r="G1975">
        <v>2</v>
      </c>
      <c r="H1975" s="133">
        <v>45840</v>
      </c>
      <c r="I1975" s="2">
        <v>0.60479166666666673</v>
      </c>
      <c r="J1975">
        <v>14</v>
      </c>
      <c r="R1975" t="s">
        <v>30</v>
      </c>
      <c r="W1975">
        <v>1</v>
      </c>
      <c r="X1975" t="s">
        <v>30</v>
      </c>
      <c r="AC1975" t="s">
        <v>4560</v>
      </c>
      <c r="AE1975" s="135"/>
    </row>
    <row r="1976" spans="1:31" ht="12.5" customHeight="1" x14ac:dyDescent="0.35">
      <c r="A1976" t="s">
        <v>396</v>
      </c>
      <c r="C1976" t="s">
        <v>4561</v>
      </c>
      <c r="D1976" t="s">
        <v>385</v>
      </c>
      <c r="E1976" s="133">
        <v>45841</v>
      </c>
      <c r="F1976" s="2">
        <v>0.10490740740740741</v>
      </c>
      <c r="G1976">
        <v>2</v>
      </c>
      <c r="H1976" s="133">
        <v>45840</v>
      </c>
      <c r="I1976" s="2">
        <v>0.60490740740740734</v>
      </c>
      <c r="J1976">
        <v>14</v>
      </c>
      <c r="R1976" t="s">
        <v>30</v>
      </c>
      <c r="W1976">
        <v>1</v>
      </c>
      <c r="X1976" t="s">
        <v>30</v>
      </c>
      <c r="AC1976" t="s">
        <v>4562</v>
      </c>
      <c r="AE1976" s="135"/>
    </row>
    <row r="1977" spans="1:31" ht="12.5" customHeight="1" x14ac:dyDescent="0.35">
      <c r="A1977" t="s">
        <v>396</v>
      </c>
      <c r="C1977" t="s">
        <v>4563</v>
      </c>
      <c r="D1977" t="s">
        <v>385</v>
      </c>
      <c r="E1977" s="133">
        <v>45841</v>
      </c>
      <c r="F1977" s="2">
        <v>0.10497685185185185</v>
      </c>
      <c r="G1977">
        <v>2</v>
      </c>
      <c r="H1977" s="133">
        <v>45840</v>
      </c>
      <c r="I1977" s="2">
        <v>0.60497685185185179</v>
      </c>
      <c r="J1977">
        <v>14</v>
      </c>
      <c r="R1977" t="s">
        <v>30</v>
      </c>
      <c r="W1977">
        <v>1</v>
      </c>
      <c r="X1977" t="s">
        <v>30</v>
      </c>
      <c r="AC1977" t="s">
        <v>4564</v>
      </c>
      <c r="AE1977" s="135"/>
    </row>
    <row r="1978" spans="1:31" ht="12.5" customHeight="1" x14ac:dyDescent="0.35">
      <c r="A1978" t="s">
        <v>396</v>
      </c>
      <c r="C1978" t="s">
        <v>4565</v>
      </c>
      <c r="D1978" t="s">
        <v>385</v>
      </c>
      <c r="E1978" s="133">
        <v>45841</v>
      </c>
      <c r="F1978" s="2">
        <v>0.10506944444444444</v>
      </c>
      <c r="G1978">
        <v>2</v>
      </c>
      <c r="H1978" s="133">
        <v>45840</v>
      </c>
      <c r="I1978" s="2">
        <v>0.60506944444444444</v>
      </c>
      <c r="J1978">
        <v>14</v>
      </c>
      <c r="R1978" t="s">
        <v>30</v>
      </c>
      <c r="W1978">
        <v>1</v>
      </c>
      <c r="X1978" t="s">
        <v>30</v>
      </c>
      <c r="AC1978" t="s">
        <v>4566</v>
      </c>
      <c r="AE1978" s="135"/>
    </row>
    <row r="1979" spans="1:31" ht="12.5" customHeight="1" x14ac:dyDescent="0.35">
      <c r="A1979" t="s">
        <v>396</v>
      </c>
      <c r="C1979" t="s">
        <v>4567</v>
      </c>
      <c r="D1979" t="s">
        <v>385</v>
      </c>
      <c r="E1979" s="133">
        <v>45841</v>
      </c>
      <c r="F1979" s="2">
        <v>0.10516203703703704</v>
      </c>
      <c r="G1979">
        <v>2</v>
      </c>
      <c r="H1979" s="133">
        <v>45840</v>
      </c>
      <c r="I1979" s="2">
        <v>0.60516203703703708</v>
      </c>
      <c r="J1979">
        <v>14</v>
      </c>
      <c r="R1979" t="s">
        <v>30</v>
      </c>
      <c r="W1979">
        <v>1</v>
      </c>
      <c r="X1979" t="s">
        <v>30</v>
      </c>
      <c r="AC1979" t="s">
        <v>4568</v>
      </c>
      <c r="AE1979" s="135"/>
    </row>
    <row r="1980" spans="1:31" ht="12.5" customHeight="1" x14ac:dyDescent="0.35">
      <c r="A1980" t="s">
        <v>396</v>
      </c>
      <c r="C1980" t="s">
        <v>4569</v>
      </c>
      <c r="D1980" t="s">
        <v>385</v>
      </c>
      <c r="E1980" s="133">
        <v>45841</v>
      </c>
      <c r="F1980" s="2">
        <v>0.10525462962962963</v>
      </c>
      <c r="G1980">
        <v>2</v>
      </c>
      <c r="H1980" s="133">
        <v>45840</v>
      </c>
      <c r="I1980" s="2">
        <v>0.60525462962962961</v>
      </c>
      <c r="J1980">
        <v>14</v>
      </c>
      <c r="R1980" t="s">
        <v>30</v>
      </c>
      <c r="W1980">
        <v>1</v>
      </c>
      <c r="X1980" t="s">
        <v>30</v>
      </c>
      <c r="AC1980" t="s">
        <v>4570</v>
      </c>
      <c r="AE1980" s="135"/>
    </row>
    <row r="1981" spans="1:31" ht="12.5" customHeight="1" x14ac:dyDescent="0.35">
      <c r="A1981" t="s">
        <v>396</v>
      </c>
      <c r="C1981" t="s">
        <v>4571</v>
      </c>
      <c r="D1981" t="s">
        <v>385</v>
      </c>
      <c r="E1981" s="133">
        <v>45841</v>
      </c>
      <c r="F1981" s="2">
        <v>0.10532407407407407</v>
      </c>
      <c r="G1981">
        <v>2</v>
      </c>
      <c r="H1981" s="133">
        <v>45840</v>
      </c>
      <c r="I1981" s="2">
        <v>0.60532407407407407</v>
      </c>
      <c r="J1981">
        <v>14</v>
      </c>
      <c r="R1981" t="s">
        <v>30</v>
      </c>
      <c r="W1981">
        <v>1</v>
      </c>
      <c r="X1981" t="s">
        <v>30</v>
      </c>
      <c r="AC1981" t="s">
        <v>4572</v>
      </c>
      <c r="AE1981" s="135"/>
    </row>
    <row r="1982" spans="1:31" ht="12.5" customHeight="1" x14ac:dyDescent="0.35">
      <c r="A1982" t="s">
        <v>396</v>
      </c>
      <c r="C1982" t="s">
        <v>4573</v>
      </c>
      <c r="D1982" t="s">
        <v>385</v>
      </c>
      <c r="E1982" s="133">
        <v>45841</v>
      </c>
      <c r="F1982" s="2">
        <v>0.10543981481481481</v>
      </c>
      <c r="G1982">
        <v>2</v>
      </c>
      <c r="H1982" s="133">
        <v>45840</v>
      </c>
      <c r="I1982" s="2">
        <v>0.60543981481481479</v>
      </c>
      <c r="J1982">
        <v>14</v>
      </c>
      <c r="R1982" t="s">
        <v>30</v>
      </c>
      <c r="W1982">
        <v>1</v>
      </c>
      <c r="X1982" t="s">
        <v>30</v>
      </c>
      <c r="AC1982" t="s">
        <v>4574</v>
      </c>
      <c r="AE1982" s="135"/>
    </row>
    <row r="1983" spans="1:31" ht="12.5" customHeight="1" x14ac:dyDescent="0.35">
      <c r="A1983" t="s">
        <v>396</v>
      </c>
      <c r="C1983" t="s">
        <v>4575</v>
      </c>
      <c r="D1983" t="s">
        <v>385</v>
      </c>
      <c r="E1983" s="133">
        <v>45841</v>
      </c>
      <c r="F1983" s="2">
        <v>0.10550925925925926</v>
      </c>
      <c r="G1983">
        <v>2</v>
      </c>
      <c r="H1983" s="133">
        <v>45840</v>
      </c>
      <c r="I1983" s="2">
        <v>0.60550925925925925</v>
      </c>
      <c r="J1983">
        <v>14</v>
      </c>
      <c r="R1983" t="s">
        <v>30</v>
      </c>
      <c r="W1983">
        <v>1</v>
      </c>
      <c r="X1983" t="s">
        <v>30</v>
      </c>
      <c r="AC1983" t="s">
        <v>4576</v>
      </c>
      <c r="AE1983" s="135"/>
    </row>
    <row r="1984" spans="1:31" ht="12.5" customHeight="1" x14ac:dyDescent="0.35">
      <c r="A1984" t="s">
        <v>396</v>
      </c>
      <c r="C1984" t="s">
        <v>4577</v>
      </c>
      <c r="D1984" t="s">
        <v>385</v>
      </c>
      <c r="E1984" s="133">
        <v>45841</v>
      </c>
      <c r="F1984" s="2">
        <v>0.10560185185185185</v>
      </c>
      <c r="G1984">
        <v>2</v>
      </c>
      <c r="H1984" s="133">
        <v>45840</v>
      </c>
      <c r="I1984" s="2">
        <v>0.60560185185185189</v>
      </c>
      <c r="J1984">
        <v>14</v>
      </c>
      <c r="R1984" t="s">
        <v>30</v>
      </c>
      <c r="W1984">
        <v>1</v>
      </c>
      <c r="X1984" t="s">
        <v>30</v>
      </c>
      <c r="AC1984" t="s">
        <v>4578</v>
      </c>
      <c r="AE1984" s="135"/>
    </row>
    <row r="1985" spans="1:31" ht="12.5" customHeight="1" x14ac:dyDescent="0.35">
      <c r="A1985" t="s">
        <v>396</v>
      </c>
      <c r="C1985" t="s">
        <v>4579</v>
      </c>
      <c r="D1985" t="s">
        <v>385</v>
      </c>
      <c r="E1985" s="133">
        <v>45841</v>
      </c>
      <c r="F1985" s="2">
        <v>0.10567129629629629</v>
      </c>
      <c r="G1985">
        <v>2</v>
      </c>
      <c r="H1985" s="133">
        <v>45840</v>
      </c>
      <c r="I1985" s="2">
        <v>0.60567129629629635</v>
      </c>
      <c r="J1985">
        <v>14</v>
      </c>
      <c r="R1985" t="s">
        <v>30</v>
      </c>
      <c r="W1985">
        <v>1</v>
      </c>
      <c r="X1985" t="s">
        <v>30</v>
      </c>
      <c r="AC1985" t="s">
        <v>4580</v>
      </c>
      <c r="AE1985" s="135"/>
    </row>
    <row r="1986" spans="1:31" ht="12.5" customHeight="1" x14ac:dyDescent="0.35">
      <c r="A1986" t="s">
        <v>396</v>
      </c>
      <c r="C1986" t="s">
        <v>4581</v>
      </c>
      <c r="D1986" t="s">
        <v>385</v>
      </c>
      <c r="E1986" s="133">
        <v>45841</v>
      </c>
      <c r="F1986" s="2">
        <v>0.10578703703703703</v>
      </c>
      <c r="G1986">
        <v>2</v>
      </c>
      <c r="H1986" s="133">
        <v>45840</v>
      </c>
      <c r="I1986" s="2">
        <v>0.60578703703703707</v>
      </c>
      <c r="J1986">
        <v>14</v>
      </c>
      <c r="R1986" t="s">
        <v>30</v>
      </c>
      <c r="W1986">
        <v>1</v>
      </c>
      <c r="X1986" t="s">
        <v>30</v>
      </c>
      <c r="AC1986" t="s">
        <v>4582</v>
      </c>
      <c r="AE1986" s="135"/>
    </row>
    <row r="1987" spans="1:31" ht="12.5" customHeight="1" x14ac:dyDescent="0.35">
      <c r="A1987" t="s">
        <v>396</v>
      </c>
      <c r="C1987" t="s">
        <v>4583</v>
      </c>
      <c r="D1987" t="s">
        <v>385</v>
      </c>
      <c r="E1987" s="133">
        <v>45841</v>
      </c>
      <c r="F1987" s="2">
        <v>0.10585648148148148</v>
      </c>
      <c r="G1987">
        <v>2</v>
      </c>
      <c r="H1987" s="133">
        <v>45840</v>
      </c>
      <c r="I1987" s="2">
        <v>0.60585648148148141</v>
      </c>
      <c r="J1987">
        <v>14</v>
      </c>
      <c r="R1987" t="s">
        <v>30</v>
      </c>
      <c r="W1987">
        <v>1</v>
      </c>
      <c r="X1987" t="s">
        <v>30</v>
      </c>
      <c r="AC1987" t="s">
        <v>4584</v>
      </c>
      <c r="AE1987" s="135"/>
    </row>
    <row r="1988" spans="1:31" ht="12.5" customHeight="1" x14ac:dyDescent="0.35">
      <c r="A1988" t="s">
        <v>396</v>
      </c>
      <c r="C1988" t="s">
        <v>4585</v>
      </c>
      <c r="D1988" t="s">
        <v>385</v>
      </c>
      <c r="E1988" s="133">
        <v>45841</v>
      </c>
      <c r="F1988" s="2">
        <v>0.10592592592592592</v>
      </c>
      <c r="G1988">
        <v>2</v>
      </c>
      <c r="H1988" s="133">
        <v>45840</v>
      </c>
      <c r="I1988" s="2">
        <v>0.60592592592592587</v>
      </c>
      <c r="J1988">
        <v>14</v>
      </c>
      <c r="R1988" t="s">
        <v>30</v>
      </c>
      <c r="W1988">
        <v>1</v>
      </c>
      <c r="X1988" t="s">
        <v>30</v>
      </c>
      <c r="AC1988" t="s">
        <v>4586</v>
      </c>
      <c r="AE1988" s="135"/>
    </row>
    <row r="1989" spans="1:31" ht="12.5" customHeight="1" x14ac:dyDescent="0.35">
      <c r="A1989" t="s">
        <v>396</v>
      </c>
      <c r="C1989" t="s">
        <v>4587</v>
      </c>
      <c r="D1989" t="s">
        <v>385</v>
      </c>
      <c r="E1989" s="133">
        <v>45841</v>
      </c>
      <c r="F1989" s="2">
        <v>0.10604166666666666</v>
      </c>
      <c r="G1989">
        <v>2</v>
      </c>
      <c r="H1989" s="133">
        <v>45840</v>
      </c>
      <c r="I1989" s="2">
        <v>0.6060416666666667</v>
      </c>
      <c r="J1989">
        <v>14</v>
      </c>
      <c r="R1989" t="s">
        <v>30</v>
      </c>
      <c r="W1989">
        <v>1</v>
      </c>
      <c r="X1989" t="s">
        <v>30</v>
      </c>
      <c r="AC1989" t="s">
        <v>4588</v>
      </c>
      <c r="AE1989" s="135"/>
    </row>
    <row r="1990" spans="1:31" ht="12.5" customHeight="1" x14ac:dyDescent="0.35">
      <c r="A1990" t="s">
        <v>396</v>
      </c>
      <c r="C1990" t="s">
        <v>4589</v>
      </c>
      <c r="D1990" t="s">
        <v>385</v>
      </c>
      <c r="E1990" s="133">
        <v>45841</v>
      </c>
      <c r="F1990" s="2">
        <v>0.10615740740740741</v>
      </c>
      <c r="G1990">
        <v>2</v>
      </c>
      <c r="H1990" s="133">
        <v>45840</v>
      </c>
      <c r="I1990" s="2">
        <v>0.60615740740740742</v>
      </c>
      <c r="J1990">
        <v>14</v>
      </c>
      <c r="R1990" t="s">
        <v>30</v>
      </c>
      <c r="W1990">
        <v>1</v>
      </c>
      <c r="X1990" t="s">
        <v>30</v>
      </c>
      <c r="AC1990" t="s">
        <v>4590</v>
      </c>
      <c r="AE1990" s="135"/>
    </row>
    <row r="1991" spans="1:31" ht="12.5" customHeight="1" x14ac:dyDescent="0.35">
      <c r="A1991" t="s">
        <v>396</v>
      </c>
      <c r="C1991" t="s">
        <v>4591</v>
      </c>
      <c r="D1991" t="s">
        <v>385</v>
      </c>
      <c r="E1991" s="133">
        <v>45841</v>
      </c>
      <c r="F1991" s="2">
        <v>0.10625</v>
      </c>
      <c r="G1991">
        <v>2</v>
      </c>
      <c r="H1991" s="133">
        <v>45840</v>
      </c>
      <c r="I1991" s="2">
        <v>0.60625000000000007</v>
      </c>
      <c r="J1991">
        <v>14</v>
      </c>
      <c r="R1991" t="s">
        <v>30</v>
      </c>
      <c r="W1991">
        <v>1</v>
      </c>
      <c r="X1991" t="s">
        <v>30</v>
      </c>
      <c r="AC1991" t="s">
        <v>4592</v>
      </c>
      <c r="AE1991" s="135"/>
    </row>
    <row r="1992" spans="1:31" ht="12.5" customHeight="1" x14ac:dyDescent="0.35">
      <c r="A1992" t="s">
        <v>396</v>
      </c>
      <c r="C1992" t="s">
        <v>4593</v>
      </c>
      <c r="D1992" t="s">
        <v>385</v>
      </c>
      <c r="E1992" s="133">
        <v>45841</v>
      </c>
      <c r="F1992" s="2">
        <v>0.1063425925925926</v>
      </c>
      <c r="G1992">
        <v>2</v>
      </c>
      <c r="H1992" s="133">
        <v>45840</v>
      </c>
      <c r="I1992" s="2">
        <v>0.6063425925925926</v>
      </c>
      <c r="J1992">
        <v>14</v>
      </c>
      <c r="R1992" t="s">
        <v>30</v>
      </c>
      <c r="W1992">
        <v>1</v>
      </c>
      <c r="X1992" t="s">
        <v>30</v>
      </c>
      <c r="AC1992" t="s">
        <v>4594</v>
      </c>
      <c r="AE1992" s="135"/>
    </row>
    <row r="1993" spans="1:31" ht="12.5" customHeight="1" x14ac:dyDescent="0.35">
      <c r="A1993" t="s">
        <v>396</v>
      </c>
      <c r="C1993" t="s">
        <v>4595</v>
      </c>
      <c r="D1993" t="s">
        <v>385</v>
      </c>
      <c r="E1993" s="133">
        <v>45841</v>
      </c>
      <c r="F1993" s="2">
        <v>0.10643518518518519</v>
      </c>
      <c r="G1993">
        <v>2</v>
      </c>
      <c r="H1993" s="133">
        <v>45840</v>
      </c>
      <c r="I1993" s="2">
        <v>0.60643518518518513</v>
      </c>
      <c r="J1993">
        <v>14</v>
      </c>
      <c r="R1993" t="s">
        <v>30</v>
      </c>
      <c r="W1993">
        <v>1</v>
      </c>
      <c r="X1993" t="s">
        <v>30</v>
      </c>
      <c r="AC1993" t="s">
        <v>4596</v>
      </c>
      <c r="AE1993" s="135"/>
    </row>
    <row r="1994" spans="1:31" ht="12.5" customHeight="1" x14ac:dyDescent="0.35">
      <c r="A1994" t="s">
        <v>396</v>
      </c>
      <c r="C1994" t="s">
        <v>4597</v>
      </c>
      <c r="D1994" t="s">
        <v>385</v>
      </c>
      <c r="E1994" s="133">
        <v>45841</v>
      </c>
      <c r="F1994" s="2">
        <v>0.10650462962962963</v>
      </c>
      <c r="G1994">
        <v>2</v>
      </c>
      <c r="H1994" s="133">
        <v>45840</v>
      </c>
      <c r="I1994" s="2">
        <v>0.60650462962962959</v>
      </c>
      <c r="J1994">
        <v>14</v>
      </c>
      <c r="R1994" t="s">
        <v>30</v>
      </c>
      <c r="W1994">
        <v>1</v>
      </c>
      <c r="X1994" t="s">
        <v>30</v>
      </c>
      <c r="AC1994" t="s">
        <v>4598</v>
      </c>
      <c r="AE1994" s="135"/>
    </row>
    <row r="1995" spans="1:31" ht="12.5" customHeight="1" x14ac:dyDescent="0.35">
      <c r="A1995" t="s">
        <v>396</v>
      </c>
      <c r="C1995" t="s">
        <v>4599</v>
      </c>
      <c r="D1995" t="s">
        <v>385</v>
      </c>
      <c r="E1995" s="133">
        <v>45841</v>
      </c>
      <c r="F1995" s="2">
        <v>0.10662037037037037</v>
      </c>
      <c r="G1995">
        <v>2</v>
      </c>
      <c r="H1995" s="133">
        <v>45840</v>
      </c>
      <c r="I1995" s="2">
        <v>0.60662037037037042</v>
      </c>
      <c r="J1995">
        <v>14</v>
      </c>
      <c r="R1995" t="s">
        <v>30</v>
      </c>
      <c r="W1995">
        <v>1</v>
      </c>
      <c r="X1995" t="s">
        <v>30</v>
      </c>
      <c r="AC1995" t="s">
        <v>4600</v>
      </c>
      <c r="AE1995" s="135"/>
    </row>
    <row r="1996" spans="1:31" ht="12.5" customHeight="1" x14ac:dyDescent="0.35">
      <c r="A1996" t="s">
        <v>396</v>
      </c>
      <c r="C1996" t="s">
        <v>4601</v>
      </c>
      <c r="D1996" t="s">
        <v>385</v>
      </c>
      <c r="E1996" s="133">
        <v>45841</v>
      </c>
      <c r="F1996" s="2">
        <v>0.10668981481481482</v>
      </c>
      <c r="G1996">
        <v>2</v>
      </c>
      <c r="H1996" s="133">
        <v>45840</v>
      </c>
      <c r="I1996" s="2">
        <v>0.60668981481481488</v>
      </c>
      <c r="J1996">
        <v>14</v>
      </c>
      <c r="R1996" t="s">
        <v>30</v>
      </c>
      <c r="W1996">
        <v>1</v>
      </c>
      <c r="X1996" t="s">
        <v>30</v>
      </c>
      <c r="AC1996" t="s">
        <v>4602</v>
      </c>
      <c r="AE1996" s="135"/>
    </row>
    <row r="1997" spans="1:31" ht="12.5" customHeight="1" x14ac:dyDescent="0.35">
      <c r="A1997" t="s">
        <v>396</v>
      </c>
      <c r="C1997" t="s">
        <v>4603</v>
      </c>
      <c r="D1997" t="s">
        <v>385</v>
      </c>
      <c r="E1997" s="133">
        <v>45841</v>
      </c>
      <c r="F1997" s="2">
        <v>0.10678240740740741</v>
      </c>
      <c r="G1997">
        <v>2</v>
      </c>
      <c r="H1997" s="133">
        <v>45840</v>
      </c>
      <c r="I1997" s="2">
        <v>0.60678240740740741</v>
      </c>
      <c r="J1997">
        <v>14</v>
      </c>
      <c r="R1997" t="s">
        <v>30</v>
      </c>
      <c r="W1997">
        <v>1</v>
      </c>
      <c r="X1997" t="s">
        <v>30</v>
      </c>
      <c r="AC1997" t="s">
        <v>4604</v>
      </c>
      <c r="AE1997" s="135"/>
    </row>
    <row r="1998" spans="1:31" ht="12.5" customHeight="1" x14ac:dyDescent="0.35">
      <c r="A1998" t="s">
        <v>396</v>
      </c>
      <c r="C1998" t="s">
        <v>4605</v>
      </c>
      <c r="D1998" t="s">
        <v>385</v>
      </c>
      <c r="E1998" s="133">
        <v>45841</v>
      </c>
      <c r="F1998" s="2">
        <v>0.10685185185185185</v>
      </c>
      <c r="G1998">
        <v>2</v>
      </c>
      <c r="H1998" s="133">
        <v>45840</v>
      </c>
      <c r="I1998" s="2">
        <v>0.60685185185185186</v>
      </c>
      <c r="J1998">
        <v>14</v>
      </c>
      <c r="R1998" t="s">
        <v>30</v>
      </c>
      <c r="W1998">
        <v>1</v>
      </c>
      <c r="X1998" t="s">
        <v>30</v>
      </c>
      <c r="AC1998" t="s">
        <v>4606</v>
      </c>
      <c r="AE1998" s="135"/>
    </row>
    <row r="1999" spans="1:31" ht="12.5" customHeight="1" x14ac:dyDescent="0.35">
      <c r="A1999" t="s">
        <v>396</v>
      </c>
      <c r="C1999" t="s">
        <v>4607</v>
      </c>
      <c r="D1999" t="s">
        <v>385</v>
      </c>
      <c r="E1999" s="133">
        <v>45841</v>
      </c>
      <c r="F1999" s="2">
        <v>0.10696759259259259</v>
      </c>
      <c r="G1999">
        <v>2</v>
      </c>
      <c r="H1999" s="133">
        <v>45840</v>
      </c>
      <c r="I1999" s="2">
        <v>0.60696759259259259</v>
      </c>
      <c r="J1999">
        <v>14</v>
      </c>
      <c r="R1999" t="s">
        <v>30</v>
      </c>
      <c r="W1999">
        <v>1</v>
      </c>
      <c r="X1999" t="s">
        <v>30</v>
      </c>
      <c r="AC1999" t="s">
        <v>4608</v>
      </c>
      <c r="AE1999" s="135"/>
    </row>
    <row r="2000" spans="1:31" ht="12.5" customHeight="1" x14ac:dyDescent="0.35">
      <c r="A2000" t="s">
        <v>396</v>
      </c>
      <c r="C2000" t="s">
        <v>4609</v>
      </c>
      <c r="D2000" t="s">
        <v>385</v>
      </c>
      <c r="E2000" s="133">
        <v>45841</v>
      </c>
      <c r="F2000" s="2">
        <v>0.10703703703703704</v>
      </c>
      <c r="G2000">
        <v>2</v>
      </c>
      <c r="H2000" s="133">
        <v>45840</v>
      </c>
      <c r="I2000" s="2">
        <v>0.60703703703703704</v>
      </c>
      <c r="J2000">
        <v>14</v>
      </c>
      <c r="R2000" t="s">
        <v>30</v>
      </c>
      <c r="W2000">
        <v>1</v>
      </c>
      <c r="X2000" t="s">
        <v>30</v>
      </c>
      <c r="AC2000" t="s">
        <v>4610</v>
      </c>
      <c r="AE2000" s="135"/>
    </row>
    <row r="2001" spans="1:31" ht="12.5" customHeight="1" x14ac:dyDescent="0.35">
      <c r="A2001" t="s">
        <v>396</v>
      </c>
      <c r="C2001" t="s">
        <v>4611</v>
      </c>
      <c r="D2001" t="s">
        <v>385</v>
      </c>
      <c r="E2001" s="133">
        <v>45841</v>
      </c>
      <c r="F2001" s="2">
        <v>0.10712962962962963</v>
      </c>
      <c r="G2001">
        <v>2</v>
      </c>
      <c r="H2001" s="133">
        <v>45840</v>
      </c>
      <c r="I2001" s="2">
        <v>0.60712962962962969</v>
      </c>
      <c r="J2001">
        <v>14</v>
      </c>
      <c r="R2001" t="s">
        <v>30</v>
      </c>
      <c r="W2001">
        <v>1</v>
      </c>
      <c r="X2001" t="s">
        <v>30</v>
      </c>
      <c r="AC2001" t="s">
        <v>4612</v>
      </c>
      <c r="AE2001" s="135"/>
    </row>
    <row r="2002" spans="1:31" ht="12.5" customHeight="1" x14ac:dyDescent="0.35">
      <c r="A2002" t="s">
        <v>396</v>
      </c>
      <c r="C2002" t="s">
        <v>4613</v>
      </c>
      <c r="D2002" t="s">
        <v>385</v>
      </c>
      <c r="E2002" s="133">
        <v>45841</v>
      </c>
      <c r="F2002" s="2">
        <v>0.10719907407407407</v>
      </c>
      <c r="G2002">
        <v>2</v>
      </c>
      <c r="H2002" s="133">
        <v>45840</v>
      </c>
      <c r="I2002" s="2">
        <v>0.60719907407407414</v>
      </c>
      <c r="J2002">
        <v>14</v>
      </c>
      <c r="R2002" t="s">
        <v>30</v>
      </c>
      <c r="W2002">
        <v>1</v>
      </c>
      <c r="X2002" t="s">
        <v>30</v>
      </c>
      <c r="AC2002" t="s">
        <v>4614</v>
      </c>
      <c r="AE2002" s="135"/>
    </row>
    <row r="2003" spans="1:31" ht="12.5" customHeight="1" x14ac:dyDescent="0.35">
      <c r="A2003" t="s">
        <v>396</v>
      </c>
      <c r="C2003" t="s">
        <v>4615</v>
      </c>
      <c r="D2003" t="s">
        <v>385</v>
      </c>
      <c r="E2003" s="133">
        <v>45841</v>
      </c>
      <c r="F2003" s="2">
        <v>0.10729166666666667</v>
      </c>
      <c r="G2003">
        <v>2</v>
      </c>
      <c r="H2003" s="133">
        <v>45840</v>
      </c>
      <c r="I2003" s="2">
        <v>0.60729166666666667</v>
      </c>
      <c r="J2003">
        <v>14</v>
      </c>
      <c r="R2003" t="s">
        <v>30</v>
      </c>
      <c r="W2003">
        <v>1</v>
      </c>
      <c r="X2003" t="s">
        <v>30</v>
      </c>
      <c r="AC2003" t="s">
        <v>4616</v>
      </c>
      <c r="AE2003" s="135"/>
    </row>
    <row r="2004" spans="1:31" ht="12.5" customHeight="1" x14ac:dyDescent="0.35">
      <c r="A2004" t="s">
        <v>396</v>
      </c>
      <c r="C2004" t="s">
        <v>4617</v>
      </c>
      <c r="D2004" t="s">
        <v>385</v>
      </c>
      <c r="E2004" s="133">
        <v>45841</v>
      </c>
      <c r="F2004" s="2">
        <v>0.10738425925925926</v>
      </c>
      <c r="G2004">
        <v>2</v>
      </c>
      <c r="H2004" s="133">
        <v>45840</v>
      </c>
      <c r="I2004" s="2">
        <v>0.60738425925925921</v>
      </c>
      <c r="J2004">
        <v>14</v>
      </c>
      <c r="R2004" t="s">
        <v>30</v>
      </c>
      <c r="W2004">
        <v>1</v>
      </c>
      <c r="X2004" t="s">
        <v>30</v>
      </c>
      <c r="AC2004" t="s">
        <v>4618</v>
      </c>
      <c r="AE2004" s="135"/>
    </row>
    <row r="2005" spans="1:31" ht="12.5" customHeight="1" x14ac:dyDescent="0.35">
      <c r="A2005" t="s">
        <v>396</v>
      </c>
      <c r="C2005" t="s">
        <v>4619</v>
      </c>
      <c r="D2005" t="s">
        <v>385</v>
      </c>
      <c r="E2005" s="133">
        <v>45841</v>
      </c>
      <c r="F2005" s="2">
        <v>0.1075</v>
      </c>
      <c r="G2005">
        <v>2</v>
      </c>
      <c r="H2005" s="133">
        <v>45840</v>
      </c>
      <c r="I2005" s="2">
        <v>0.60750000000000004</v>
      </c>
      <c r="J2005">
        <v>14</v>
      </c>
      <c r="R2005" t="s">
        <v>30</v>
      </c>
      <c r="W2005">
        <v>1</v>
      </c>
      <c r="X2005" t="s">
        <v>30</v>
      </c>
      <c r="AC2005" t="s">
        <v>4620</v>
      </c>
      <c r="AE2005" s="135"/>
    </row>
    <row r="2006" spans="1:31" ht="12.5" customHeight="1" x14ac:dyDescent="0.35">
      <c r="A2006" t="s">
        <v>396</v>
      </c>
      <c r="C2006" t="s">
        <v>4621</v>
      </c>
      <c r="D2006" t="s">
        <v>385</v>
      </c>
      <c r="E2006" s="133">
        <v>45841</v>
      </c>
      <c r="F2006" s="2">
        <v>0.10756944444444444</v>
      </c>
      <c r="G2006">
        <v>2</v>
      </c>
      <c r="H2006" s="133">
        <v>45840</v>
      </c>
      <c r="I2006" s="2">
        <v>0.6075694444444445</v>
      </c>
      <c r="J2006">
        <v>14</v>
      </c>
      <c r="R2006" t="s">
        <v>30</v>
      </c>
      <c r="W2006">
        <v>1</v>
      </c>
      <c r="X2006" t="s">
        <v>30</v>
      </c>
      <c r="AC2006" t="s">
        <v>4622</v>
      </c>
      <c r="AE2006" s="135"/>
    </row>
    <row r="2007" spans="1:31" ht="12.5" customHeight="1" x14ac:dyDescent="0.35">
      <c r="A2007" t="s">
        <v>396</v>
      </c>
      <c r="C2007" t="s">
        <v>4623</v>
      </c>
      <c r="D2007" t="s">
        <v>385</v>
      </c>
      <c r="E2007" s="133">
        <v>45841</v>
      </c>
      <c r="F2007" s="2">
        <v>0.10766203703703703</v>
      </c>
      <c r="G2007">
        <v>2</v>
      </c>
      <c r="H2007" s="133">
        <v>45840</v>
      </c>
      <c r="I2007" s="2">
        <v>0.60766203703703703</v>
      </c>
      <c r="J2007">
        <v>14</v>
      </c>
      <c r="R2007" t="s">
        <v>30</v>
      </c>
      <c r="W2007">
        <v>1</v>
      </c>
      <c r="X2007" t="s">
        <v>30</v>
      </c>
      <c r="AC2007" t="s">
        <v>4624</v>
      </c>
      <c r="AE2007" s="135"/>
    </row>
    <row r="2008" spans="1:31" ht="12.5" customHeight="1" x14ac:dyDescent="0.35">
      <c r="A2008" t="s">
        <v>396</v>
      </c>
      <c r="C2008" t="s">
        <v>4625</v>
      </c>
      <c r="D2008" t="s">
        <v>385</v>
      </c>
      <c r="E2008" s="133">
        <v>45841</v>
      </c>
      <c r="F2008" s="2">
        <v>0.10773148148148148</v>
      </c>
      <c r="G2008">
        <v>2</v>
      </c>
      <c r="H2008" s="133">
        <v>45840</v>
      </c>
      <c r="I2008" s="2">
        <v>0.60773148148148148</v>
      </c>
      <c r="J2008">
        <v>14</v>
      </c>
      <c r="R2008" t="s">
        <v>30</v>
      </c>
      <c r="W2008">
        <v>1</v>
      </c>
      <c r="X2008" t="s">
        <v>30</v>
      </c>
      <c r="AC2008" t="s">
        <v>4626</v>
      </c>
      <c r="AE2008" s="135"/>
    </row>
    <row r="2009" spans="1:31" ht="12.5" customHeight="1" x14ac:dyDescent="0.35">
      <c r="A2009" t="s">
        <v>396</v>
      </c>
      <c r="C2009" t="s">
        <v>4627</v>
      </c>
      <c r="D2009" t="s">
        <v>385</v>
      </c>
      <c r="E2009" s="133">
        <v>45841</v>
      </c>
      <c r="F2009" s="2">
        <v>0.10782407407407407</v>
      </c>
      <c r="G2009">
        <v>2</v>
      </c>
      <c r="H2009" s="133">
        <v>45840</v>
      </c>
      <c r="I2009" s="2">
        <v>0.60782407407407402</v>
      </c>
      <c r="J2009">
        <v>14</v>
      </c>
      <c r="R2009" t="s">
        <v>30</v>
      </c>
      <c r="W2009">
        <v>1</v>
      </c>
      <c r="X2009" t="s">
        <v>30</v>
      </c>
      <c r="AC2009" t="s">
        <v>4628</v>
      </c>
      <c r="AE2009" s="135"/>
    </row>
    <row r="2010" spans="1:31" ht="12.5" customHeight="1" x14ac:dyDescent="0.35">
      <c r="A2010" t="s">
        <v>396</v>
      </c>
      <c r="C2010" t="s">
        <v>4629</v>
      </c>
      <c r="D2010" t="s">
        <v>385</v>
      </c>
      <c r="E2010" s="133">
        <v>45841</v>
      </c>
      <c r="F2010" s="2">
        <v>0.10789351851851851</v>
      </c>
      <c r="G2010">
        <v>2</v>
      </c>
      <c r="H2010" s="133">
        <v>45840</v>
      </c>
      <c r="I2010" s="2">
        <v>0.60789351851851847</v>
      </c>
      <c r="J2010">
        <v>14</v>
      </c>
      <c r="R2010" t="s">
        <v>432</v>
      </c>
      <c r="S2010">
        <v>3</v>
      </c>
      <c r="T2010">
        <v>0</v>
      </c>
      <c r="U2010">
        <v>0</v>
      </c>
      <c r="V2010">
        <v>0</v>
      </c>
      <c r="W2010">
        <v>1</v>
      </c>
      <c r="X2010" t="s">
        <v>30</v>
      </c>
      <c r="AC2010" t="s">
        <v>4630</v>
      </c>
      <c r="AE2010" s="135"/>
    </row>
    <row r="2011" spans="1:31" ht="12.5" customHeight="1" x14ac:dyDescent="0.35">
      <c r="A2011" t="s">
        <v>396</v>
      </c>
      <c r="C2011" t="s">
        <v>4631</v>
      </c>
      <c r="D2011" t="s">
        <v>385</v>
      </c>
      <c r="E2011" s="133">
        <v>45841</v>
      </c>
      <c r="F2011" s="2">
        <v>0.10798611111111112</v>
      </c>
      <c r="G2011">
        <v>2</v>
      </c>
      <c r="H2011" s="133">
        <v>45840</v>
      </c>
      <c r="I2011" s="2">
        <v>0.60798611111111112</v>
      </c>
      <c r="J2011">
        <v>14</v>
      </c>
      <c r="R2011" t="s">
        <v>432</v>
      </c>
      <c r="S2011">
        <v>2</v>
      </c>
      <c r="T2011">
        <v>0</v>
      </c>
      <c r="U2011">
        <v>0</v>
      </c>
      <c r="V2011">
        <v>0</v>
      </c>
      <c r="W2011">
        <v>1</v>
      </c>
      <c r="X2011" t="s">
        <v>30</v>
      </c>
      <c r="AC2011" t="s">
        <v>4632</v>
      </c>
      <c r="AE2011" s="135"/>
    </row>
    <row r="2012" spans="1:31" ht="12.5" customHeight="1" x14ac:dyDescent="0.35">
      <c r="A2012" t="s">
        <v>396</v>
      </c>
      <c r="C2012" t="s">
        <v>4633</v>
      </c>
      <c r="D2012" t="s">
        <v>385</v>
      </c>
      <c r="E2012" s="133">
        <v>45841</v>
      </c>
      <c r="F2012" s="2">
        <v>0.10805555555555556</v>
      </c>
      <c r="G2012">
        <v>2</v>
      </c>
      <c r="H2012" s="133">
        <v>45840</v>
      </c>
      <c r="I2012" s="2">
        <v>0.60805555555555557</v>
      </c>
      <c r="J2012">
        <v>14</v>
      </c>
      <c r="R2012" t="s">
        <v>30</v>
      </c>
      <c r="W2012">
        <v>1</v>
      </c>
      <c r="X2012" t="s">
        <v>30</v>
      </c>
      <c r="AC2012" t="s">
        <v>4634</v>
      </c>
      <c r="AE2012" s="135"/>
    </row>
    <row r="2013" spans="1:31" ht="12.5" customHeight="1" x14ac:dyDescent="0.35">
      <c r="A2013" t="s">
        <v>396</v>
      </c>
      <c r="C2013" t="s">
        <v>4635</v>
      </c>
      <c r="D2013" t="s">
        <v>385</v>
      </c>
      <c r="E2013" s="133">
        <v>45841</v>
      </c>
      <c r="F2013" s="2">
        <v>0.10814814814814815</v>
      </c>
      <c r="G2013">
        <v>2</v>
      </c>
      <c r="H2013" s="133">
        <v>45840</v>
      </c>
      <c r="I2013" s="2">
        <v>0.60814814814814822</v>
      </c>
      <c r="J2013">
        <v>14</v>
      </c>
      <c r="R2013" t="s">
        <v>30</v>
      </c>
      <c r="W2013">
        <v>1</v>
      </c>
      <c r="X2013" t="s">
        <v>30</v>
      </c>
      <c r="AC2013" t="s">
        <v>4636</v>
      </c>
      <c r="AE2013" s="135"/>
    </row>
    <row r="2014" spans="1:31" ht="12.5" customHeight="1" x14ac:dyDescent="0.35">
      <c r="A2014" t="s">
        <v>396</v>
      </c>
      <c r="C2014" t="s">
        <v>4637</v>
      </c>
      <c r="D2014" t="s">
        <v>385</v>
      </c>
      <c r="E2014" s="133">
        <v>45841</v>
      </c>
      <c r="F2014" s="2">
        <v>0.10826388888888888</v>
      </c>
      <c r="G2014">
        <v>2</v>
      </c>
      <c r="H2014" s="133">
        <v>45840</v>
      </c>
      <c r="I2014" s="2">
        <v>0.60826388888888883</v>
      </c>
      <c r="J2014">
        <v>14</v>
      </c>
      <c r="R2014" t="s">
        <v>30</v>
      </c>
      <c r="W2014">
        <v>1</v>
      </c>
      <c r="X2014" t="s">
        <v>30</v>
      </c>
      <c r="AC2014" t="s">
        <v>4638</v>
      </c>
      <c r="AE2014" s="135"/>
    </row>
    <row r="2015" spans="1:31" ht="12.5" customHeight="1" x14ac:dyDescent="0.35">
      <c r="A2015" t="s">
        <v>396</v>
      </c>
      <c r="C2015" t="s">
        <v>4639</v>
      </c>
      <c r="D2015" t="s">
        <v>385</v>
      </c>
      <c r="E2015" s="133">
        <v>45841</v>
      </c>
      <c r="F2015" s="2">
        <v>0.10835648148148147</v>
      </c>
      <c r="G2015">
        <v>2</v>
      </c>
      <c r="H2015" s="133">
        <v>45840</v>
      </c>
      <c r="I2015" s="2">
        <v>0.60835648148148147</v>
      </c>
      <c r="J2015">
        <v>14</v>
      </c>
      <c r="R2015" t="s">
        <v>30</v>
      </c>
      <c r="W2015">
        <v>1</v>
      </c>
      <c r="X2015" t="s">
        <v>30</v>
      </c>
      <c r="AC2015" t="s">
        <v>4640</v>
      </c>
      <c r="AE2015" s="135"/>
    </row>
    <row r="2016" spans="1:31" ht="12.5" customHeight="1" x14ac:dyDescent="0.35">
      <c r="A2016" t="s">
        <v>396</v>
      </c>
      <c r="C2016" t="s">
        <v>4641</v>
      </c>
      <c r="D2016" t="s">
        <v>385</v>
      </c>
      <c r="E2016" s="133">
        <v>45841</v>
      </c>
      <c r="F2016" s="2">
        <v>0.10844907407407407</v>
      </c>
      <c r="G2016">
        <v>2</v>
      </c>
      <c r="H2016" s="133">
        <v>45840</v>
      </c>
      <c r="I2016" s="2">
        <v>0.60844907407407411</v>
      </c>
      <c r="J2016">
        <v>14</v>
      </c>
      <c r="R2016" t="s">
        <v>30</v>
      </c>
      <c r="W2016">
        <v>1</v>
      </c>
      <c r="X2016" t="s">
        <v>30</v>
      </c>
      <c r="AC2016" t="s">
        <v>4642</v>
      </c>
      <c r="AE2016" s="135"/>
    </row>
    <row r="2017" spans="1:31" ht="12.5" customHeight="1" x14ac:dyDescent="0.35">
      <c r="A2017" t="s">
        <v>396</v>
      </c>
      <c r="C2017" t="s">
        <v>4643</v>
      </c>
      <c r="D2017" t="s">
        <v>385</v>
      </c>
      <c r="E2017" s="133">
        <v>45841</v>
      </c>
      <c r="F2017" s="2">
        <v>0.10854166666666666</v>
      </c>
      <c r="G2017">
        <v>2</v>
      </c>
      <c r="H2017" s="133">
        <v>45840</v>
      </c>
      <c r="I2017" s="2">
        <v>0.60854166666666665</v>
      </c>
      <c r="J2017">
        <v>14</v>
      </c>
      <c r="R2017" t="s">
        <v>30</v>
      </c>
      <c r="W2017">
        <v>1</v>
      </c>
      <c r="X2017" t="s">
        <v>30</v>
      </c>
      <c r="AC2017" t="s">
        <v>4644</v>
      </c>
      <c r="AE2017" s="135"/>
    </row>
    <row r="2018" spans="1:31" ht="12.5" customHeight="1" x14ac:dyDescent="0.35">
      <c r="A2018" t="s">
        <v>396</v>
      </c>
      <c r="C2018" t="s">
        <v>4645</v>
      </c>
      <c r="D2018" t="s">
        <v>385</v>
      </c>
      <c r="E2018" s="133">
        <v>45841</v>
      </c>
      <c r="F2018" s="2">
        <v>0.10863425925925925</v>
      </c>
      <c r="G2018">
        <v>2</v>
      </c>
      <c r="H2018" s="133">
        <v>45840</v>
      </c>
      <c r="I2018" s="2">
        <v>0.60863425925925929</v>
      </c>
      <c r="J2018">
        <v>14</v>
      </c>
      <c r="R2018" t="s">
        <v>30</v>
      </c>
      <c r="W2018">
        <v>1</v>
      </c>
      <c r="X2018" t="s">
        <v>30</v>
      </c>
      <c r="AC2018" t="s">
        <v>4646</v>
      </c>
      <c r="AE2018" s="135"/>
    </row>
    <row r="2019" spans="1:31" ht="12.5" customHeight="1" x14ac:dyDescent="0.35">
      <c r="A2019" t="s">
        <v>396</v>
      </c>
      <c r="C2019" t="s">
        <v>4647</v>
      </c>
      <c r="D2019" t="s">
        <v>385</v>
      </c>
      <c r="E2019" s="133">
        <v>45841</v>
      </c>
      <c r="F2019" s="2">
        <v>0.10872685185185187</v>
      </c>
      <c r="G2019">
        <v>2</v>
      </c>
      <c r="H2019" s="133">
        <v>45840</v>
      </c>
      <c r="I2019" s="2">
        <v>0.60872685185185182</v>
      </c>
      <c r="J2019">
        <v>14</v>
      </c>
      <c r="R2019" t="s">
        <v>432</v>
      </c>
      <c r="S2019">
        <v>2</v>
      </c>
      <c r="T2019">
        <v>0</v>
      </c>
      <c r="U2019">
        <v>0</v>
      </c>
      <c r="V2019">
        <v>0</v>
      </c>
      <c r="W2019">
        <v>1</v>
      </c>
      <c r="X2019" t="s">
        <v>30</v>
      </c>
      <c r="AC2019" t="s">
        <v>4648</v>
      </c>
      <c r="AE2019" s="135"/>
    </row>
    <row r="2020" spans="1:31" ht="12.5" customHeight="1" x14ac:dyDescent="0.35">
      <c r="A2020" t="s">
        <v>396</v>
      </c>
      <c r="C2020" t="s">
        <v>4649</v>
      </c>
      <c r="D2020" t="s">
        <v>385</v>
      </c>
      <c r="E2020" s="133">
        <v>45841</v>
      </c>
      <c r="F2020" s="2">
        <v>0.10886574074074074</v>
      </c>
      <c r="G2020">
        <v>2</v>
      </c>
      <c r="H2020" s="133">
        <v>45840</v>
      </c>
      <c r="I2020" s="2">
        <v>0.60886574074074074</v>
      </c>
      <c r="J2020">
        <v>14</v>
      </c>
      <c r="R2020" t="s">
        <v>30</v>
      </c>
      <c r="W2020">
        <v>1</v>
      </c>
      <c r="X2020" t="s">
        <v>30</v>
      </c>
      <c r="AC2020" t="s">
        <v>4650</v>
      </c>
      <c r="AE2020" s="135"/>
    </row>
    <row r="2021" spans="1:31" ht="12.5" customHeight="1" x14ac:dyDescent="0.35">
      <c r="A2021" t="s">
        <v>396</v>
      </c>
      <c r="C2021" t="s">
        <v>4651</v>
      </c>
      <c r="D2021" t="s">
        <v>385</v>
      </c>
      <c r="E2021" s="133">
        <v>45841</v>
      </c>
      <c r="F2021" s="2">
        <v>0.10893518518518519</v>
      </c>
      <c r="G2021">
        <v>2</v>
      </c>
      <c r="H2021" s="133">
        <v>45840</v>
      </c>
      <c r="I2021" s="2">
        <v>0.60893518518518519</v>
      </c>
      <c r="J2021">
        <v>14</v>
      </c>
      <c r="R2021" t="s">
        <v>30</v>
      </c>
      <c r="W2021">
        <v>1</v>
      </c>
      <c r="X2021" t="s">
        <v>30</v>
      </c>
      <c r="AC2021" t="s">
        <v>4652</v>
      </c>
      <c r="AE2021" s="135"/>
    </row>
    <row r="2022" spans="1:31" ht="12.5" customHeight="1" x14ac:dyDescent="0.35">
      <c r="A2022" t="s">
        <v>396</v>
      </c>
      <c r="C2022" t="s">
        <v>4653</v>
      </c>
      <c r="D2022" t="s">
        <v>385</v>
      </c>
      <c r="E2022" s="133">
        <v>45841</v>
      </c>
      <c r="F2022" s="2">
        <v>0.10905092592592593</v>
      </c>
      <c r="G2022">
        <v>2</v>
      </c>
      <c r="H2022" s="133">
        <v>45840</v>
      </c>
      <c r="I2022" s="2">
        <v>0.60905092592592591</v>
      </c>
      <c r="J2022">
        <v>14</v>
      </c>
      <c r="R2022" t="s">
        <v>30</v>
      </c>
      <c r="W2022">
        <v>1</v>
      </c>
      <c r="X2022" t="s">
        <v>30</v>
      </c>
      <c r="AC2022" t="s">
        <v>4654</v>
      </c>
      <c r="AE2022" s="135"/>
    </row>
    <row r="2023" spans="1:31" ht="12.5" customHeight="1" x14ac:dyDescent="0.35">
      <c r="A2023" t="s">
        <v>396</v>
      </c>
      <c r="C2023" t="s">
        <v>4655</v>
      </c>
      <c r="D2023" t="s">
        <v>385</v>
      </c>
      <c r="E2023" s="133">
        <v>45841</v>
      </c>
      <c r="F2023" s="2">
        <v>0.10912037037037037</v>
      </c>
      <c r="G2023">
        <v>2</v>
      </c>
      <c r="H2023" s="133">
        <v>45840</v>
      </c>
      <c r="I2023" s="2">
        <v>0.60912037037037037</v>
      </c>
      <c r="J2023">
        <v>14</v>
      </c>
      <c r="R2023" t="s">
        <v>30</v>
      </c>
      <c r="W2023">
        <v>1</v>
      </c>
      <c r="X2023" t="s">
        <v>30</v>
      </c>
      <c r="AC2023" t="s">
        <v>4656</v>
      </c>
      <c r="AE2023" s="135"/>
    </row>
    <row r="2024" spans="1:31" ht="12.5" customHeight="1" x14ac:dyDescent="0.35">
      <c r="A2024" t="s">
        <v>396</v>
      </c>
      <c r="C2024" t="s">
        <v>4657</v>
      </c>
      <c r="D2024" t="s">
        <v>385</v>
      </c>
      <c r="E2024" s="133">
        <v>45841</v>
      </c>
      <c r="F2024" s="2">
        <v>0.10921296296296296</v>
      </c>
      <c r="G2024">
        <v>2</v>
      </c>
      <c r="H2024" s="133">
        <v>45840</v>
      </c>
      <c r="I2024" s="2">
        <v>0.6092129629629629</v>
      </c>
      <c r="J2024">
        <v>14</v>
      </c>
      <c r="R2024" t="s">
        <v>30</v>
      </c>
      <c r="W2024">
        <v>1</v>
      </c>
      <c r="X2024" t="s">
        <v>30</v>
      </c>
      <c r="AC2024" t="s">
        <v>4658</v>
      </c>
      <c r="AE2024" s="135"/>
    </row>
    <row r="2025" spans="1:31" ht="12.5" customHeight="1" x14ac:dyDescent="0.35">
      <c r="A2025" t="s">
        <v>396</v>
      </c>
      <c r="C2025" t="s">
        <v>4659</v>
      </c>
      <c r="D2025" t="s">
        <v>385</v>
      </c>
      <c r="E2025" s="133">
        <v>45841</v>
      </c>
      <c r="F2025" s="2">
        <v>0.10932870370370369</v>
      </c>
      <c r="G2025">
        <v>2</v>
      </c>
      <c r="H2025" s="133">
        <v>45840</v>
      </c>
      <c r="I2025" s="2">
        <v>0.60932870370370373</v>
      </c>
      <c r="J2025">
        <v>14</v>
      </c>
      <c r="R2025" t="s">
        <v>432</v>
      </c>
      <c r="S2025">
        <v>2</v>
      </c>
      <c r="T2025">
        <v>0</v>
      </c>
      <c r="U2025">
        <v>0</v>
      </c>
      <c r="V2025">
        <v>0</v>
      </c>
      <c r="W2025">
        <v>1</v>
      </c>
      <c r="X2025" t="s">
        <v>30</v>
      </c>
      <c r="AC2025" t="s">
        <v>4660</v>
      </c>
      <c r="AE2025" s="135"/>
    </row>
    <row r="2026" spans="1:31" ht="12.5" customHeight="1" x14ac:dyDescent="0.35">
      <c r="A2026" t="s">
        <v>396</v>
      </c>
      <c r="C2026" t="s">
        <v>4661</v>
      </c>
      <c r="D2026" t="s">
        <v>385</v>
      </c>
      <c r="E2026" s="133">
        <v>45841</v>
      </c>
      <c r="F2026" s="2">
        <v>0.10942129629629631</v>
      </c>
      <c r="G2026">
        <v>2</v>
      </c>
      <c r="H2026" s="133">
        <v>45840</v>
      </c>
      <c r="I2026" s="2">
        <v>0.60942129629629627</v>
      </c>
      <c r="J2026">
        <v>14</v>
      </c>
      <c r="R2026" t="s">
        <v>30</v>
      </c>
      <c r="W2026">
        <v>1</v>
      </c>
      <c r="X2026" t="s">
        <v>30</v>
      </c>
      <c r="AC2026" t="s">
        <v>4662</v>
      </c>
      <c r="AE2026" s="135"/>
    </row>
    <row r="2027" spans="1:31" ht="12.5" customHeight="1" x14ac:dyDescent="0.35">
      <c r="A2027" t="s">
        <v>396</v>
      </c>
      <c r="C2027" t="s">
        <v>4663</v>
      </c>
      <c r="D2027" t="s">
        <v>385</v>
      </c>
      <c r="E2027" s="133">
        <v>45841</v>
      </c>
      <c r="F2027" s="2">
        <v>0.1095138888888889</v>
      </c>
      <c r="G2027">
        <v>2</v>
      </c>
      <c r="H2027" s="133">
        <v>45840</v>
      </c>
      <c r="I2027" s="2">
        <v>0.60951388888888891</v>
      </c>
      <c r="J2027">
        <v>14</v>
      </c>
      <c r="R2027" t="s">
        <v>30</v>
      </c>
      <c r="W2027">
        <v>1</v>
      </c>
      <c r="X2027" t="s">
        <v>30</v>
      </c>
      <c r="AC2027" t="s">
        <v>4664</v>
      </c>
      <c r="AE2027" s="135"/>
    </row>
    <row r="2028" spans="1:31" ht="12.5" customHeight="1" x14ac:dyDescent="0.35">
      <c r="A2028" t="s">
        <v>396</v>
      </c>
      <c r="C2028" t="s">
        <v>4665</v>
      </c>
      <c r="D2028" t="s">
        <v>385</v>
      </c>
      <c r="E2028" s="133">
        <v>45841</v>
      </c>
      <c r="F2028" s="2">
        <v>0.10960648148148149</v>
      </c>
      <c r="G2028">
        <v>2</v>
      </c>
      <c r="H2028" s="133">
        <v>45840</v>
      </c>
      <c r="I2028" s="2">
        <v>0.60960648148148155</v>
      </c>
      <c r="J2028">
        <v>14</v>
      </c>
      <c r="R2028" t="s">
        <v>30</v>
      </c>
      <c r="W2028">
        <v>1</v>
      </c>
      <c r="X2028" t="s">
        <v>30</v>
      </c>
      <c r="AC2028" t="s">
        <v>4666</v>
      </c>
      <c r="AE2028" s="135"/>
    </row>
    <row r="2029" spans="1:31" ht="12.5" customHeight="1" x14ac:dyDescent="0.35">
      <c r="A2029" t="s">
        <v>396</v>
      </c>
      <c r="C2029" t="s">
        <v>4667</v>
      </c>
      <c r="D2029" t="s">
        <v>385</v>
      </c>
      <c r="E2029" s="133">
        <v>45841</v>
      </c>
      <c r="F2029" s="2">
        <v>0.10969907407407407</v>
      </c>
      <c r="G2029">
        <v>2</v>
      </c>
      <c r="H2029" s="133">
        <v>45840</v>
      </c>
      <c r="I2029" s="2">
        <v>0.60969907407407409</v>
      </c>
      <c r="J2029">
        <v>14</v>
      </c>
      <c r="R2029" t="s">
        <v>30</v>
      </c>
      <c r="W2029">
        <v>1</v>
      </c>
      <c r="X2029" t="s">
        <v>30</v>
      </c>
      <c r="AC2029" t="s">
        <v>4668</v>
      </c>
      <c r="AE2029" s="135"/>
    </row>
    <row r="2030" spans="1:31" ht="12.5" customHeight="1" x14ac:dyDescent="0.35">
      <c r="A2030" t="s">
        <v>396</v>
      </c>
      <c r="C2030" t="s">
        <v>4669</v>
      </c>
      <c r="D2030" t="s">
        <v>385</v>
      </c>
      <c r="E2030" s="133">
        <v>45841</v>
      </c>
      <c r="F2030" s="2">
        <v>0.10979166666666666</v>
      </c>
      <c r="G2030">
        <v>2</v>
      </c>
      <c r="H2030" s="133">
        <v>45840</v>
      </c>
      <c r="I2030" s="2">
        <v>0.60979166666666662</v>
      </c>
      <c r="J2030">
        <v>14</v>
      </c>
      <c r="R2030" t="s">
        <v>30</v>
      </c>
      <c r="W2030">
        <v>1</v>
      </c>
      <c r="X2030" t="s">
        <v>30</v>
      </c>
      <c r="AC2030" t="s">
        <v>4670</v>
      </c>
      <c r="AE2030" s="135"/>
    </row>
    <row r="2031" spans="1:31" ht="12.5" customHeight="1" x14ac:dyDescent="0.35">
      <c r="A2031" t="s">
        <v>396</v>
      </c>
      <c r="C2031" t="s">
        <v>4671</v>
      </c>
      <c r="D2031" t="s">
        <v>385</v>
      </c>
      <c r="E2031" s="133">
        <v>45841</v>
      </c>
      <c r="F2031" s="2">
        <v>0.10990740740740741</v>
      </c>
      <c r="G2031">
        <v>2</v>
      </c>
      <c r="H2031" s="133">
        <v>45840</v>
      </c>
      <c r="I2031" s="2">
        <v>0.60990740740740745</v>
      </c>
      <c r="J2031">
        <v>14</v>
      </c>
      <c r="R2031" t="s">
        <v>30</v>
      </c>
      <c r="W2031">
        <v>1</v>
      </c>
      <c r="X2031" t="s">
        <v>30</v>
      </c>
      <c r="AC2031" t="s">
        <v>4672</v>
      </c>
      <c r="AE2031" s="135"/>
    </row>
    <row r="2032" spans="1:31" ht="12.5" customHeight="1" x14ac:dyDescent="0.35">
      <c r="A2032" t="s">
        <v>396</v>
      </c>
      <c r="C2032" t="s">
        <v>4673</v>
      </c>
      <c r="D2032" t="s">
        <v>385</v>
      </c>
      <c r="E2032" s="133">
        <v>45841</v>
      </c>
      <c r="F2032" s="2">
        <v>0.11</v>
      </c>
      <c r="G2032">
        <v>2</v>
      </c>
      <c r="H2032" s="133">
        <v>45840</v>
      </c>
      <c r="I2032" s="2">
        <v>0.61</v>
      </c>
      <c r="J2032">
        <v>14</v>
      </c>
      <c r="R2032" t="s">
        <v>30</v>
      </c>
      <c r="W2032">
        <v>1</v>
      </c>
      <c r="X2032" t="s">
        <v>30</v>
      </c>
      <c r="AC2032" t="s">
        <v>4674</v>
      </c>
      <c r="AE2032" s="135"/>
    </row>
    <row r="2033" spans="1:31" ht="12.5" customHeight="1" x14ac:dyDescent="0.35">
      <c r="A2033" t="s">
        <v>396</v>
      </c>
      <c r="C2033" t="s">
        <v>4675</v>
      </c>
      <c r="D2033" t="s">
        <v>385</v>
      </c>
      <c r="E2033" s="133">
        <v>45841</v>
      </c>
      <c r="F2033" s="2">
        <v>0.11009259259259259</v>
      </c>
      <c r="G2033">
        <v>2</v>
      </c>
      <c r="H2033" s="133">
        <v>45840</v>
      </c>
      <c r="I2033" s="2">
        <v>0.61009259259259252</v>
      </c>
      <c r="J2033">
        <v>14</v>
      </c>
      <c r="R2033" t="s">
        <v>432</v>
      </c>
      <c r="S2033">
        <v>2</v>
      </c>
      <c r="T2033">
        <v>0</v>
      </c>
      <c r="U2033">
        <v>0</v>
      </c>
      <c r="V2033">
        <v>0</v>
      </c>
      <c r="W2033">
        <v>1</v>
      </c>
      <c r="X2033" t="s">
        <v>30</v>
      </c>
      <c r="AC2033" t="s">
        <v>4676</v>
      </c>
      <c r="AE2033" s="135"/>
    </row>
    <row r="2034" spans="1:31" ht="12.5" customHeight="1" x14ac:dyDescent="0.35">
      <c r="A2034" t="s">
        <v>396</v>
      </c>
      <c r="C2034" t="s">
        <v>4677</v>
      </c>
      <c r="D2034" t="s">
        <v>385</v>
      </c>
      <c r="E2034" s="133">
        <v>45841</v>
      </c>
      <c r="F2034" s="2">
        <v>0.11016203703703703</v>
      </c>
      <c r="G2034">
        <v>2</v>
      </c>
      <c r="H2034" s="133">
        <v>45840</v>
      </c>
      <c r="I2034" s="2">
        <v>0.61016203703703698</v>
      </c>
      <c r="J2034">
        <v>14</v>
      </c>
      <c r="R2034" t="s">
        <v>30</v>
      </c>
      <c r="W2034">
        <v>1</v>
      </c>
      <c r="X2034" t="s">
        <v>30</v>
      </c>
      <c r="AC2034" t="s">
        <v>4678</v>
      </c>
      <c r="AE2034" s="135"/>
    </row>
    <row r="2035" spans="1:31" ht="12.5" customHeight="1" x14ac:dyDescent="0.35">
      <c r="A2035" t="s">
        <v>396</v>
      </c>
      <c r="C2035" t="s">
        <v>4679</v>
      </c>
      <c r="D2035" t="s">
        <v>385</v>
      </c>
      <c r="E2035" s="133">
        <v>45841</v>
      </c>
      <c r="F2035" s="2">
        <v>0.11025462962962962</v>
      </c>
      <c r="G2035">
        <v>2</v>
      </c>
      <c r="H2035" s="133">
        <v>45840</v>
      </c>
      <c r="I2035" s="2">
        <v>0.61025462962962962</v>
      </c>
      <c r="J2035">
        <v>14</v>
      </c>
      <c r="R2035" t="s">
        <v>30</v>
      </c>
      <c r="W2035">
        <v>1</v>
      </c>
      <c r="X2035" t="s">
        <v>30</v>
      </c>
      <c r="AC2035" t="s">
        <v>4680</v>
      </c>
      <c r="AE2035" s="135"/>
    </row>
    <row r="2036" spans="1:31" ht="12.5" customHeight="1" x14ac:dyDescent="0.35">
      <c r="A2036" t="s">
        <v>396</v>
      </c>
      <c r="C2036" t="s">
        <v>4681</v>
      </c>
      <c r="D2036" t="s">
        <v>385</v>
      </c>
      <c r="E2036" s="133">
        <v>45841</v>
      </c>
      <c r="F2036" s="2">
        <v>0.11034722222222222</v>
      </c>
      <c r="G2036">
        <v>2</v>
      </c>
      <c r="H2036" s="133">
        <v>45840</v>
      </c>
      <c r="I2036" s="2">
        <v>0.61034722222222226</v>
      </c>
      <c r="J2036">
        <v>14</v>
      </c>
      <c r="R2036" t="s">
        <v>30</v>
      </c>
      <c r="W2036">
        <v>1</v>
      </c>
      <c r="X2036" t="s">
        <v>30</v>
      </c>
      <c r="AC2036" t="s">
        <v>4682</v>
      </c>
      <c r="AE2036" s="135"/>
    </row>
    <row r="2037" spans="1:31" ht="12.5" customHeight="1" x14ac:dyDescent="0.35">
      <c r="A2037" t="s">
        <v>396</v>
      </c>
      <c r="C2037" t="s">
        <v>4683</v>
      </c>
      <c r="D2037" t="s">
        <v>385</v>
      </c>
      <c r="E2037" s="133">
        <v>45841</v>
      </c>
      <c r="F2037" s="2">
        <v>0.11041666666666666</v>
      </c>
      <c r="G2037">
        <v>2</v>
      </c>
      <c r="H2037" s="133">
        <v>45840</v>
      </c>
      <c r="I2037" s="2">
        <v>0.61041666666666672</v>
      </c>
      <c r="J2037">
        <v>14</v>
      </c>
      <c r="R2037" t="s">
        <v>30</v>
      </c>
      <c r="W2037">
        <v>1</v>
      </c>
      <c r="X2037" t="s">
        <v>30</v>
      </c>
      <c r="AC2037" t="s">
        <v>4684</v>
      </c>
      <c r="AE2037" s="135"/>
    </row>
    <row r="2038" spans="1:31" ht="12.5" customHeight="1" x14ac:dyDescent="0.35">
      <c r="A2038" t="s">
        <v>396</v>
      </c>
      <c r="C2038" t="s">
        <v>4685</v>
      </c>
      <c r="D2038" t="s">
        <v>385</v>
      </c>
      <c r="E2038" s="133">
        <v>45841</v>
      </c>
      <c r="F2038" s="2">
        <v>0.1105324074074074</v>
      </c>
      <c r="G2038">
        <v>2</v>
      </c>
      <c r="H2038" s="133">
        <v>45840</v>
      </c>
      <c r="I2038" s="2">
        <v>0.61053240740740744</v>
      </c>
      <c r="J2038">
        <v>14</v>
      </c>
      <c r="R2038" t="s">
        <v>30</v>
      </c>
      <c r="W2038">
        <v>1</v>
      </c>
      <c r="X2038" t="s">
        <v>30</v>
      </c>
      <c r="AC2038" t="s">
        <v>4686</v>
      </c>
      <c r="AE2038" s="135"/>
    </row>
    <row r="2039" spans="1:31" ht="12.5" customHeight="1" x14ac:dyDescent="0.35">
      <c r="A2039" t="s">
        <v>396</v>
      </c>
      <c r="C2039" t="s">
        <v>4687</v>
      </c>
      <c r="D2039" t="s">
        <v>385</v>
      </c>
      <c r="E2039" s="133">
        <v>45841</v>
      </c>
      <c r="F2039" s="2">
        <v>0.11060185185185185</v>
      </c>
      <c r="G2039">
        <v>2</v>
      </c>
      <c r="H2039" s="133">
        <v>45840</v>
      </c>
      <c r="I2039" s="2">
        <v>0.61060185185185178</v>
      </c>
      <c r="J2039">
        <v>14</v>
      </c>
      <c r="R2039" t="s">
        <v>30</v>
      </c>
      <c r="W2039">
        <v>1</v>
      </c>
      <c r="X2039" t="s">
        <v>30</v>
      </c>
      <c r="AC2039" t="s">
        <v>4688</v>
      </c>
      <c r="AE2039" s="135"/>
    </row>
    <row r="2040" spans="1:31" ht="12.5" customHeight="1" x14ac:dyDescent="0.35">
      <c r="A2040" t="s">
        <v>396</v>
      </c>
      <c r="C2040" t="s">
        <v>4689</v>
      </c>
      <c r="D2040" t="s">
        <v>385</v>
      </c>
      <c r="E2040" s="133">
        <v>45841</v>
      </c>
      <c r="F2040" s="2">
        <v>0.11069444444444444</v>
      </c>
      <c r="G2040">
        <v>2</v>
      </c>
      <c r="H2040" s="133">
        <v>45840</v>
      </c>
      <c r="I2040" s="2">
        <v>0.61069444444444443</v>
      </c>
      <c r="J2040">
        <v>14</v>
      </c>
      <c r="R2040" t="s">
        <v>30</v>
      </c>
      <c r="W2040">
        <v>1</v>
      </c>
      <c r="X2040" t="s">
        <v>30</v>
      </c>
      <c r="AC2040" t="s">
        <v>4690</v>
      </c>
      <c r="AE2040" s="135"/>
    </row>
    <row r="2041" spans="1:31" ht="12.5" customHeight="1" x14ac:dyDescent="0.35">
      <c r="A2041" t="s">
        <v>396</v>
      </c>
      <c r="C2041" t="s">
        <v>4691</v>
      </c>
      <c r="D2041" t="s">
        <v>385</v>
      </c>
      <c r="E2041" s="133">
        <v>45841</v>
      </c>
      <c r="F2041" s="2">
        <v>0.11076388888888888</v>
      </c>
      <c r="G2041">
        <v>2</v>
      </c>
      <c r="H2041" s="133">
        <v>45840</v>
      </c>
      <c r="I2041" s="2">
        <v>0.61076388888888888</v>
      </c>
      <c r="J2041">
        <v>14</v>
      </c>
      <c r="R2041" t="s">
        <v>30</v>
      </c>
      <c r="W2041">
        <v>1</v>
      </c>
      <c r="X2041" t="s">
        <v>30</v>
      </c>
      <c r="AC2041" t="s">
        <v>4692</v>
      </c>
      <c r="AE2041" s="135"/>
    </row>
    <row r="2042" spans="1:31" ht="12.5" customHeight="1" x14ac:dyDescent="0.35">
      <c r="A2042" t="s">
        <v>396</v>
      </c>
      <c r="C2042" t="s">
        <v>4693</v>
      </c>
      <c r="D2042" t="s">
        <v>385</v>
      </c>
      <c r="E2042" s="133">
        <v>45841</v>
      </c>
      <c r="F2042" s="2">
        <v>0.11085648148148149</v>
      </c>
      <c r="G2042">
        <v>2</v>
      </c>
      <c r="H2042" s="133">
        <v>45840</v>
      </c>
      <c r="I2042" s="2">
        <v>0.61085648148148153</v>
      </c>
      <c r="J2042">
        <v>14</v>
      </c>
      <c r="R2042" t="s">
        <v>30</v>
      </c>
      <c r="W2042">
        <v>1</v>
      </c>
      <c r="X2042" t="s">
        <v>30</v>
      </c>
      <c r="AC2042" t="s">
        <v>4694</v>
      </c>
      <c r="AE2042" s="135"/>
    </row>
    <row r="2043" spans="1:31" ht="12.5" customHeight="1" x14ac:dyDescent="0.35">
      <c r="A2043" t="s">
        <v>396</v>
      </c>
      <c r="C2043" t="s">
        <v>4695</v>
      </c>
      <c r="D2043" t="s">
        <v>385</v>
      </c>
      <c r="E2043" s="133">
        <v>45841</v>
      </c>
      <c r="F2043" s="2">
        <v>0.11094907407407407</v>
      </c>
      <c r="G2043">
        <v>2</v>
      </c>
      <c r="H2043" s="133">
        <v>45840</v>
      </c>
      <c r="I2043" s="2">
        <v>0.61094907407407406</v>
      </c>
      <c r="J2043">
        <v>14</v>
      </c>
      <c r="R2043" t="s">
        <v>30</v>
      </c>
      <c r="W2043">
        <v>1</v>
      </c>
      <c r="X2043" t="s">
        <v>30</v>
      </c>
      <c r="AC2043" t="s">
        <v>4696</v>
      </c>
      <c r="AE2043" s="135"/>
    </row>
    <row r="2044" spans="1:31" ht="12.5" customHeight="1" x14ac:dyDescent="0.35">
      <c r="A2044" t="s">
        <v>396</v>
      </c>
      <c r="C2044" t="s">
        <v>4697</v>
      </c>
      <c r="D2044" t="s">
        <v>385</v>
      </c>
      <c r="E2044" s="133">
        <v>45841</v>
      </c>
      <c r="F2044" s="2">
        <v>0.11101851851851852</v>
      </c>
      <c r="G2044">
        <v>2</v>
      </c>
      <c r="H2044" s="133">
        <v>45840</v>
      </c>
      <c r="I2044" s="2">
        <v>0.61101851851851852</v>
      </c>
      <c r="J2044">
        <v>14</v>
      </c>
      <c r="R2044" t="s">
        <v>30</v>
      </c>
      <c r="W2044">
        <v>1</v>
      </c>
      <c r="X2044" t="s">
        <v>30</v>
      </c>
      <c r="AC2044" t="s">
        <v>4698</v>
      </c>
      <c r="AE2044" s="135"/>
    </row>
    <row r="2045" spans="1:31" ht="12.5" customHeight="1" x14ac:dyDescent="0.35">
      <c r="A2045" t="s">
        <v>396</v>
      </c>
      <c r="C2045" t="s">
        <v>4699</v>
      </c>
      <c r="D2045" t="s">
        <v>385</v>
      </c>
      <c r="E2045" s="133">
        <v>45841</v>
      </c>
      <c r="F2045" s="2">
        <v>0.11108796296296297</v>
      </c>
      <c r="G2045">
        <v>2</v>
      </c>
      <c r="H2045" s="133">
        <v>45840</v>
      </c>
      <c r="I2045" s="2">
        <v>0.61108796296296297</v>
      </c>
      <c r="J2045">
        <v>14</v>
      </c>
      <c r="R2045" t="s">
        <v>30</v>
      </c>
      <c r="W2045">
        <v>1</v>
      </c>
      <c r="X2045" t="s">
        <v>30</v>
      </c>
      <c r="AC2045" t="s">
        <v>4700</v>
      </c>
      <c r="AE2045" s="135"/>
    </row>
    <row r="2046" spans="1:31" ht="12.5" customHeight="1" x14ac:dyDescent="0.35">
      <c r="A2046" t="s">
        <v>396</v>
      </c>
      <c r="C2046" t="s">
        <v>4701</v>
      </c>
      <c r="D2046" t="s">
        <v>385</v>
      </c>
      <c r="E2046" s="133">
        <v>45841</v>
      </c>
      <c r="F2046" s="2">
        <v>0.11118055555555556</v>
      </c>
      <c r="G2046">
        <v>2</v>
      </c>
      <c r="H2046" s="133">
        <v>45840</v>
      </c>
      <c r="I2046" s="2">
        <v>0.6111805555555555</v>
      </c>
      <c r="J2046">
        <v>14</v>
      </c>
      <c r="R2046" t="s">
        <v>30</v>
      </c>
      <c r="W2046">
        <v>1</v>
      </c>
      <c r="X2046" t="s">
        <v>30</v>
      </c>
      <c r="AC2046" t="s">
        <v>4702</v>
      </c>
      <c r="AE2046" s="135"/>
    </row>
    <row r="2047" spans="1:31" ht="12.5" customHeight="1" x14ac:dyDescent="0.35">
      <c r="A2047" t="s">
        <v>396</v>
      </c>
      <c r="C2047" t="s">
        <v>4703</v>
      </c>
      <c r="D2047" t="s">
        <v>385</v>
      </c>
      <c r="E2047" s="133">
        <v>45841</v>
      </c>
      <c r="F2047" s="2">
        <v>0.11125</v>
      </c>
      <c r="G2047">
        <v>2</v>
      </c>
      <c r="H2047" s="133">
        <v>45840</v>
      </c>
      <c r="I2047" s="2">
        <v>0.61124999999999996</v>
      </c>
      <c r="J2047">
        <v>14</v>
      </c>
      <c r="R2047" t="s">
        <v>30</v>
      </c>
      <c r="W2047">
        <v>1</v>
      </c>
      <c r="X2047" t="s">
        <v>30</v>
      </c>
      <c r="AC2047" t="s">
        <v>4704</v>
      </c>
      <c r="AE2047" s="135"/>
    </row>
    <row r="2048" spans="1:31" ht="12.5" customHeight="1" x14ac:dyDescent="0.35">
      <c r="A2048" t="s">
        <v>396</v>
      </c>
      <c r="C2048" t="s">
        <v>4705</v>
      </c>
      <c r="D2048" t="s">
        <v>385</v>
      </c>
      <c r="E2048" s="133">
        <v>45841</v>
      </c>
      <c r="F2048" s="2">
        <v>0.1113425925925926</v>
      </c>
      <c r="G2048">
        <v>2</v>
      </c>
      <c r="H2048" s="133">
        <v>45840</v>
      </c>
      <c r="I2048" s="2">
        <v>0.6113425925925926</v>
      </c>
      <c r="J2048">
        <v>14</v>
      </c>
      <c r="R2048" t="s">
        <v>30</v>
      </c>
      <c r="W2048">
        <v>1</v>
      </c>
      <c r="X2048" t="s">
        <v>30</v>
      </c>
      <c r="AC2048" t="s">
        <v>4706</v>
      </c>
      <c r="AE2048" s="135"/>
    </row>
    <row r="2049" spans="1:31" ht="12.5" customHeight="1" x14ac:dyDescent="0.35">
      <c r="A2049" t="s">
        <v>396</v>
      </c>
      <c r="C2049" t="s">
        <v>4707</v>
      </c>
      <c r="D2049" t="s">
        <v>385</v>
      </c>
      <c r="E2049" s="133">
        <v>45841</v>
      </c>
      <c r="F2049" s="2">
        <v>0.11143518518518519</v>
      </c>
      <c r="G2049">
        <v>2</v>
      </c>
      <c r="H2049" s="133">
        <v>45840</v>
      </c>
      <c r="I2049" s="2">
        <v>0.61143518518518525</v>
      </c>
      <c r="J2049">
        <v>14</v>
      </c>
      <c r="R2049" t="s">
        <v>432</v>
      </c>
      <c r="S2049">
        <v>2</v>
      </c>
      <c r="T2049">
        <v>0</v>
      </c>
      <c r="U2049">
        <v>0</v>
      </c>
      <c r="V2049">
        <v>0</v>
      </c>
      <c r="W2049">
        <v>1</v>
      </c>
      <c r="X2049" t="s">
        <v>30</v>
      </c>
      <c r="AC2049" t="s">
        <v>4708</v>
      </c>
      <c r="AE2049" s="135"/>
    </row>
    <row r="2050" spans="1:31" ht="12.5" customHeight="1" x14ac:dyDescent="0.35">
      <c r="A2050" t="s">
        <v>396</v>
      </c>
      <c r="C2050" t="s">
        <v>4709</v>
      </c>
      <c r="D2050" t="s">
        <v>385</v>
      </c>
      <c r="E2050" s="133">
        <v>45841</v>
      </c>
      <c r="F2050" s="2">
        <v>0.11155092592592593</v>
      </c>
      <c r="G2050">
        <v>2</v>
      </c>
      <c r="H2050" s="133">
        <v>45840</v>
      </c>
      <c r="I2050" s="2">
        <v>0.61155092592592586</v>
      </c>
      <c r="J2050">
        <v>14</v>
      </c>
      <c r="R2050" t="s">
        <v>30</v>
      </c>
      <c r="W2050">
        <v>1</v>
      </c>
      <c r="X2050" t="s">
        <v>30</v>
      </c>
      <c r="AC2050" t="s">
        <v>4710</v>
      </c>
      <c r="AE2050" s="135"/>
    </row>
    <row r="2051" spans="1:31" ht="12.5" customHeight="1" x14ac:dyDescent="0.35">
      <c r="A2051" t="s">
        <v>396</v>
      </c>
      <c r="C2051" t="s">
        <v>4711</v>
      </c>
      <c r="D2051" t="s">
        <v>385</v>
      </c>
      <c r="E2051" s="133">
        <v>45841</v>
      </c>
      <c r="F2051" s="2">
        <v>0.11162037037037037</v>
      </c>
      <c r="G2051">
        <v>2</v>
      </c>
      <c r="H2051" s="133">
        <v>45840</v>
      </c>
      <c r="I2051" s="2">
        <v>0.61162037037037031</v>
      </c>
      <c r="J2051">
        <v>14</v>
      </c>
      <c r="R2051" t="s">
        <v>30</v>
      </c>
      <c r="W2051">
        <v>1</v>
      </c>
      <c r="X2051" t="s">
        <v>30</v>
      </c>
      <c r="AC2051" t="s">
        <v>4712</v>
      </c>
      <c r="AE2051" s="135"/>
    </row>
    <row r="2052" spans="1:31" ht="12.5" customHeight="1" x14ac:dyDescent="0.35">
      <c r="A2052" t="s">
        <v>396</v>
      </c>
      <c r="C2052" t="s">
        <v>4713</v>
      </c>
      <c r="D2052" t="s">
        <v>385</v>
      </c>
      <c r="E2052" s="133">
        <v>45841</v>
      </c>
      <c r="F2052" s="2">
        <v>0.11171296296296296</v>
      </c>
      <c r="G2052">
        <v>2</v>
      </c>
      <c r="H2052" s="133">
        <v>45840</v>
      </c>
      <c r="I2052" s="2">
        <v>0.61171296296296296</v>
      </c>
      <c r="J2052">
        <v>14</v>
      </c>
      <c r="R2052" t="s">
        <v>30</v>
      </c>
      <c r="W2052">
        <v>1</v>
      </c>
      <c r="X2052" t="s">
        <v>30</v>
      </c>
      <c r="AC2052" t="s">
        <v>4714</v>
      </c>
      <c r="AE2052" s="135"/>
    </row>
    <row r="2053" spans="1:31" ht="12.5" customHeight="1" x14ac:dyDescent="0.35">
      <c r="A2053" t="s">
        <v>396</v>
      </c>
      <c r="C2053" t="s">
        <v>4715</v>
      </c>
      <c r="D2053" t="s">
        <v>385</v>
      </c>
      <c r="E2053" s="133">
        <v>45841</v>
      </c>
      <c r="F2053" s="2">
        <v>0.11182870370370369</v>
      </c>
      <c r="G2053">
        <v>2</v>
      </c>
      <c r="H2053" s="133">
        <v>45840</v>
      </c>
      <c r="I2053" s="2">
        <v>0.61182870370370368</v>
      </c>
      <c r="J2053">
        <v>14</v>
      </c>
      <c r="R2053" t="s">
        <v>432</v>
      </c>
      <c r="S2053">
        <v>8</v>
      </c>
      <c r="T2053">
        <v>0</v>
      </c>
      <c r="U2053">
        <v>0</v>
      </c>
      <c r="V2053">
        <v>0</v>
      </c>
      <c r="W2053">
        <v>1</v>
      </c>
      <c r="X2053" t="s">
        <v>30</v>
      </c>
      <c r="AC2053" t="s">
        <v>4716</v>
      </c>
      <c r="AE2053" s="135"/>
    </row>
    <row r="2054" spans="1:31" ht="12.5" customHeight="1" x14ac:dyDescent="0.35">
      <c r="A2054" t="s">
        <v>396</v>
      </c>
      <c r="C2054" t="s">
        <v>4717</v>
      </c>
      <c r="D2054" t="s">
        <v>385</v>
      </c>
      <c r="E2054" s="133">
        <v>45841</v>
      </c>
      <c r="F2054" s="2">
        <v>0.11192129629629628</v>
      </c>
      <c r="G2054">
        <v>2</v>
      </c>
      <c r="H2054" s="133">
        <v>45840</v>
      </c>
      <c r="I2054" s="2">
        <v>0.61192129629629632</v>
      </c>
      <c r="J2054">
        <v>14</v>
      </c>
      <c r="R2054" t="s">
        <v>30</v>
      </c>
      <c r="W2054">
        <v>1</v>
      </c>
      <c r="X2054" t="s">
        <v>30</v>
      </c>
      <c r="AC2054" t="s">
        <v>4718</v>
      </c>
      <c r="AE2054" s="135"/>
    </row>
    <row r="2055" spans="1:31" ht="12.5" customHeight="1" x14ac:dyDescent="0.35">
      <c r="A2055" t="s">
        <v>396</v>
      </c>
      <c r="C2055" t="s">
        <v>4719</v>
      </c>
      <c r="D2055" t="s">
        <v>385</v>
      </c>
      <c r="E2055" s="133">
        <v>45841</v>
      </c>
      <c r="F2055" s="2">
        <v>0.1120138888888889</v>
      </c>
      <c r="G2055">
        <v>2</v>
      </c>
      <c r="H2055" s="133">
        <v>45840</v>
      </c>
      <c r="I2055" s="2">
        <v>0.61201388888888886</v>
      </c>
      <c r="J2055">
        <v>14</v>
      </c>
      <c r="R2055" t="s">
        <v>30</v>
      </c>
      <c r="W2055">
        <v>1</v>
      </c>
      <c r="X2055" t="s">
        <v>30</v>
      </c>
      <c r="AC2055" t="s">
        <v>4720</v>
      </c>
      <c r="AE2055" s="135"/>
    </row>
    <row r="2056" spans="1:31" ht="12.5" customHeight="1" x14ac:dyDescent="0.35">
      <c r="A2056" t="s">
        <v>396</v>
      </c>
      <c r="C2056" t="s">
        <v>4721</v>
      </c>
      <c r="D2056" t="s">
        <v>385</v>
      </c>
      <c r="E2056" s="133">
        <v>45841</v>
      </c>
      <c r="F2056" s="2">
        <v>0.11210648148148149</v>
      </c>
      <c r="G2056">
        <v>2</v>
      </c>
      <c r="H2056" s="133">
        <v>45840</v>
      </c>
      <c r="I2056" s="2">
        <v>0.6121064814814815</v>
      </c>
      <c r="J2056">
        <v>14</v>
      </c>
      <c r="R2056" t="s">
        <v>432</v>
      </c>
      <c r="S2056">
        <v>2</v>
      </c>
      <c r="T2056">
        <v>0</v>
      </c>
      <c r="U2056">
        <v>0</v>
      </c>
      <c r="V2056">
        <v>0</v>
      </c>
      <c r="W2056">
        <v>1</v>
      </c>
      <c r="X2056" t="s">
        <v>30</v>
      </c>
      <c r="AC2056" t="s">
        <v>4722</v>
      </c>
      <c r="AE2056" s="135"/>
    </row>
    <row r="2057" spans="1:31" ht="12.5" customHeight="1" x14ac:dyDescent="0.35">
      <c r="A2057" t="s">
        <v>396</v>
      </c>
      <c r="C2057" t="s">
        <v>4723</v>
      </c>
      <c r="D2057" t="s">
        <v>385</v>
      </c>
      <c r="E2057" s="133">
        <v>45841</v>
      </c>
      <c r="F2057" s="2">
        <v>0.11219907407407408</v>
      </c>
      <c r="G2057">
        <v>2</v>
      </c>
      <c r="H2057" s="133">
        <v>45840</v>
      </c>
      <c r="I2057" s="2">
        <v>0.61219907407407403</v>
      </c>
      <c r="J2057">
        <v>14</v>
      </c>
      <c r="R2057" t="s">
        <v>30</v>
      </c>
      <c r="W2057">
        <v>1</v>
      </c>
      <c r="X2057" t="s">
        <v>30</v>
      </c>
      <c r="AC2057" t="s">
        <v>4724</v>
      </c>
      <c r="AE2057" s="135"/>
    </row>
    <row r="2058" spans="1:31" ht="12.5" customHeight="1" x14ac:dyDescent="0.35">
      <c r="A2058" t="s">
        <v>396</v>
      </c>
      <c r="C2058" t="s">
        <v>4725</v>
      </c>
      <c r="D2058" t="s">
        <v>385</v>
      </c>
      <c r="E2058" s="133">
        <v>45841</v>
      </c>
      <c r="F2058" s="2">
        <v>0.11226851851851853</v>
      </c>
      <c r="G2058">
        <v>2</v>
      </c>
      <c r="H2058" s="133">
        <v>45840</v>
      </c>
      <c r="I2058" s="2">
        <v>0.61226851851851849</v>
      </c>
      <c r="J2058">
        <v>14</v>
      </c>
      <c r="R2058" t="s">
        <v>30</v>
      </c>
      <c r="W2058">
        <v>1</v>
      </c>
      <c r="X2058" t="s">
        <v>30</v>
      </c>
      <c r="AC2058" t="s">
        <v>4726</v>
      </c>
      <c r="AE2058" s="135"/>
    </row>
    <row r="2059" spans="1:31" ht="12.5" customHeight="1" x14ac:dyDescent="0.35">
      <c r="A2059" t="s">
        <v>396</v>
      </c>
      <c r="C2059" t="s">
        <v>4727</v>
      </c>
      <c r="D2059" t="s">
        <v>385</v>
      </c>
      <c r="E2059" s="133">
        <v>45841</v>
      </c>
      <c r="F2059" s="2">
        <v>0.11233796296296296</v>
      </c>
      <c r="G2059">
        <v>2</v>
      </c>
      <c r="H2059" s="133">
        <v>45840</v>
      </c>
      <c r="I2059" s="2">
        <v>0.61233796296296295</v>
      </c>
      <c r="J2059">
        <v>14</v>
      </c>
      <c r="R2059" t="s">
        <v>30</v>
      </c>
      <c r="W2059">
        <v>1</v>
      </c>
      <c r="X2059" t="s">
        <v>30</v>
      </c>
      <c r="AC2059" t="s">
        <v>4728</v>
      </c>
      <c r="AE2059" s="135"/>
    </row>
    <row r="2060" spans="1:31" ht="12.5" customHeight="1" x14ac:dyDescent="0.35">
      <c r="A2060" t="s">
        <v>396</v>
      </c>
      <c r="C2060" t="s">
        <v>4729</v>
      </c>
      <c r="D2060" t="s">
        <v>385</v>
      </c>
      <c r="E2060" s="133">
        <v>45841</v>
      </c>
      <c r="F2060" s="2">
        <v>0.11243055555555555</v>
      </c>
      <c r="G2060">
        <v>2</v>
      </c>
      <c r="H2060" s="133">
        <v>45840</v>
      </c>
      <c r="I2060" s="2">
        <v>0.61243055555555559</v>
      </c>
      <c r="J2060">
        <v>14</v>
      </c>
      <c r="R2060" t="s">
        <v>30</v>
      </c>
      <c r="W2060">
        <v>1</v>
      </c>
      <c r="X2060" t="s">
        <v>30</v>
      </c>
      <c r="AC2060" t="s">
        <v>4730</v>
      </c>
      <c r="AE2060" s="135"/>
    </row>
    <row r="2061" spans="1:31" ht="12.5" customHeight="1" x14ac:dyDescent="0.35">
      <c r="A2061" t="s">
        <v>396</v>
      </c>
      <c r="C2061" t="s">
        <v>4731</v>
      </c>
      <c r="D2061" t="s">
        <v>385</v>
      </c>
      <c r="E2061" s="133">
        <v>45841</v>
      </c>
      <c r="F2061" s="2">
        <v>0.1125</v>
      </c>
      <c r="G2061">
        <v>2</v>
      </c>
      <c r="H2061" s="133">
        <v>45840</v>
      </c>
      <c r="I2061" s="2">
        <v>0.61249999999999993</v>
      </c>
      <c r="J2061">
        <v>14</v>
      </c>
      <c r="R2061" t="s">
        <v>30</v>
      </c>
      <c r="W2061">
        <v>1</v>
      </c>
      <c r="X2061" t="s">
        <v>30</v>
      </c>
      <c r="AC2061" t="s">
        <v>4732</v>
      </c>
      <c r="AE2061" s="135"/>
    </row>
    <row r="2062" spans="1:31" ht="12.5" customHeight="1" x14ac:dyDescent="0.35">
      <c r="A2062" t="s">
        <v>396</v>
      </c>
      <c r="C2062" t="s">
        <v>4733</v>
      </c>
      <c r="D2062" t="s">
        <v>385</v>
      </c>
      <c r="E2062" s="133">
        <v>45841</v>
      </c>
      <c r="F2062" s="2">
        <v>0.11259259259259259</v>
      </c>
      <c r="G2062">
        <v>2</v>
      </c>
      <c r="H2062" s="133">
        <v>45840</v>
      </c>
      <c r="I2062" s="2">
        <v>0.61259259259259258</v>
      </c>
      <c r="J2062">
        <v>14</v>
      </c>
      <c r="R2062" t="s">
        <v>30</v>
      </c>
      <c r="W2062">
        <v>1</v>
      </c>
      <c r="X2062" t="s">
        <v>30</v>
      </c>
      <c r="AC2062" t="s">
        <v>4734</v>
      </c>
      <c r="AE2062" s="135"/>
    </row>
    <row r="2063" spans="1:31" ht="12.5" customHeight="1" x14ac:dyDescent="0.35">
      <c r="A2063" t="s">
        <v>396</v>
      </c>
      <c r="C2063" t="s">
        <v>4735</v>
      </c>
      <c r="D2063" t="s">
        <v>385</v>
      </c>
      <c r="E2063" s="133">
        <v>45841</v>
      </c>
      <c r="F2063" s="2">
        <v>0.11266203703703703</v>
      </c>
      <c r="G2063">
        <v>2</v>
      </c>
      <c r="H2063" s="133">
        <v>45840</v>
      </c>
      <c r="I2063" s="2">
        <v>0.61266203703703703</v>
      </c>
      <c r="J2063">
        <v>14</v>
      </c>
      <c r="R2063" t="s">
        <v>432</v>
      </c>
      <c r="S2063">
        <v>4</v>
      </c>
      <c r="T2063">
        <v>0</v>
      </c>
      <c r="U2063">
        <v>0</v>
      </c>
      <c r="V2063">
        <v>0</v>
      </c>
      <c r="W2063">
        <v>1</v>
      </c>
      <c r="X2063" t="s">
        <v>30</v>
      </c>
      <c r="AC2063" t="s">
        <v>4736</v>
      </c>
      <c r="AE2063" s="135"/>
    </row>
    <row r="2064" spans="1:31" ht="12.5" customHeight="1" x14ac:dyDescent="0.35">
      <c r="A2064" t="s">
        <v>396</v>
      </c>
      <c r="C2064" t="s">
        <v>4737</v>
      </c>
      <c r="D2064" t="s">
        <v>385</v>
      </c>
      <c r="E2064" s="133">
        <v>45841</v>
      </c>
      <c r="F2064" s="2">
        <v>0.11275462962962964</v>
      </c>
      <c r="G2064">
        <v>2</v>
      </c>
      <c r="H2064" s="133">
        <v>45840</v>
      </c>
      <c r="I2064" s="2">
        <v>0.61275462962962968</v>
      </c>
      <c r="J2064">
        <v>14</v>
      </c>
      <c r="R2064" t="s">
        <v>30</v>
      </c>
      <c r="W2064">
        <v>1</v>
      </c>
      <c r="X2064" t="s">
        <v>30</v>
      </c>
      <c r="AC2064" t="s">
        <v>4738</v>
      </c>
      <c r="AE2064" s="135"/>
    </row>
    <row r="2065" spans="1:31" ht="12.5" customHeight="1" x14ac:dyDescent="0.35">
      <c r="A2065" t="s">
        <v>396</v>
      </c>
      <c r="C2065" t="s">
        <v>4739</v>
      </c>
      <c r="D2065" t="s">
        <v>385</v>
      </c>
      <c r="E2065" s="133">
        <v>45841</v>
      </c>
      <c r="F2065" s="2">
        <v>0.11289351851851852</v>
      </c>
      <c r="G2065">
        <v>2</v>
      </c>
      <c r="H2065" s="133">
        <v>45840</v>
      </c>
      <c r="I2065" s="2">
        <v>0.61289351851851859</v>
      </c>
      <c r="J2065">
        <v>14</v>
      </c>
      <c r="R2065" t="s">
        <v>30</v>
      </c>
      <c r="W2065">
        <v>1</v>
      </c>
      <c r="X2065" t="s">
        <v>30</v>
      </c>
      <c r="AC2065" t="s">
        <v>4740</v>
      </c>
      <c r="AE2065" s="135"/>
    </row>
    <row r="2066" spans="1:31" ht="12.5" customHeight="1" x14ac:dyDescent="0.35">
      <c r="A2066" t="s">
        <v>396</v>
      </c>
      <c r="C2066" t="s">
        <v>4741</v>
      </c>
      <c r="D2066" t="s">
        <v>385</v>
      </c>
      <c r="E2066" s="133">
        <v>45841</v>
      </c>
      <c r="F2066" s="2">
        <v>0.11298611111111112</v>
      </c>
      <c r="G2066">
        <v>2</v>
      </c>
      <c r="H2066" s="133">
        <v>45840</v>
      </c>
      <c r="I2066" s="2">
        <v>0.61298611111111112</v>
      </c>
      <c r="J2066">
        <v>14</v>
      </c>
      <c r="R2066" t="s">
        <v>30</v>
      </c>
      <c r="W2066">
        <v>1</v>
      </c>
      <c r="X2066" t="s">
        <v>30</v>
      </c>
      <c r="AC2066" t="s">
        <v>4742</v>
      </c>
      <c r="AE2066" s="135"/>
    </row>
    <row r="2067" spans="1:31" ht="12.5" customHeight="1" x14ac:dyDescent="0.35">
      <c r="A2067" t="s">
        <v>396</v>
      </c>
      <c r="C2067" t="s">
        <v>4743</v>
      </c>
      <c r="D2067" t="s">
        <v>385</v>
      </c>
      <c r="E2067" s="133">
        <v>45841</v>
      </c>
      <c r="F2067" s="2">
        <v>0.11344907407407408</v>
      </c>
      <c r="G2067">
        <v>2</v>
      </c>
      <c r="H2067" s="133">
        <v>45840</v>
      </c>
      <c r="I2067" s="2">
        <v>0.61344907407407401</v>
      </c>
      <c r="J2067">
        <v>14</v>
      </c>
      <c r="R2067" t="s">
        <v>30</v>
      </c>
      <c r="W2067">
        <v>1</v>
      </c>
      <c r="X2067" t="s">
        <v>30</v>
      </c>
      <c r="AC2067" t="s">
        <v>4744</v>
      </c>
      <c r="AE2067" s="135"/>
    </row>
    <row r="2068" spans="1:31" ht="12.5" customHeight="1" x14ac:dyDescent="0.35">
      <c r="A2068" t="s">
        <v>396</v>
      </c>
      <c r="C2068" t="s">
        <v>4745</v>
      </c>
      <c r="D2068" t="s">
        <v>385</v>
      </c>
      <c r="E2068" s="133">
        <v>45841</v>
      </c>
      <c r="F2068" s="2">
        <v>0.1135648148148148</v>
      </c>
      <c r="G2068">
        <v>2</v>
      </c>
      <c r="H2068" s="133">
        <v>45840</v>
      </c>
      <c r="I2068" s="2">
        <v>0.61356481481481484</v>
      </c>
      <c r="J2068">
        <v>14</v>
      </c>
      <c r="R2068" t="s">
        <v>30</v>
      </c>
      <c r="W2068">
        <v>1</v>
      </c>
      <c r="X2068" t="s">
        <v>30</v>
      </c>
      <c r="AC2068" t="s">
        <v>4746</v>
      </c>
      <c r="AE2068" s="135"/>
    </row>
    <row r="2069" spans="1:31" ht="12.5" customHeight="1" x14ac:dyDescent="0.35">
      <c r="A2069" t="s">
        <v>396</v>
      </c>
      <c r="C2069" t="s">
        <v>4747</v>
      </c>
      <c r="D2069" t="s">
        <v>385</v>
      </c>
      <c r="E2069" s="133">
        <v>45841</v>
      </c>
      <c r="F2069" s="2">
        <v>0.11365740740740742</v>
      </c>
      <c r="G2069">
        <v>2</v>
      </c>
      <c r="H2069" s="133">
        <v>45840</v>
      </c>
      <c r="I2069" s="2">
        <v>0.61365740740740737</v>
      </c>
      <c r="J2069">
        <v>14</v>
      </c>
      <c r="R2069" t="s">
        <v>30</v>
      </c>
      <c r="W2069">
        <v>1</v>
      </c>
      <c r="X2069" t="s">
        <v>30</v>
      </c>
      <c r="AC2069" t="s">
        <v>4748</v>
      </c>
      <c r="AE2069" s="135"/>
    </row>
    <row r="2070" spans="1:31" ht="12.5" customHeight="1" x14ac:dyDescent="0.35">
      <c r="A2070" t="s">
        <v>396</v>
      </c>
      <c r="C2070" t="s">
        <v>4749</v>
      </c>
      <c r="D2070" t="s">
        <v>385</v>
      </c>
      <c r="E2070" s="133">
        <v>45841</v>
      </c>
      <c r="F2070" s="2">
        <v>0.11372685185185184</v>
      </c>
      <c r="G2070">
        <v>2</v>
      </c>
      <c r="H2070" s="133">
        <v>45840</v>
      </c>
      <c r="I2070" s="2">
        <v>0.61372685185185183</v>
      </c>
      <c r="J2070">
        <v>14</v>
      </c>
      <c r="R2070" t="s">
        <v>30</v>
      </c>
      <c r="W2070">
        <v>1</v>
      </c>
      <c r="X2070" t="s">
        <v>30</v>
      </c>
      <c r="AC2070" t="s">
        <v>4750</v>
      </c>
      <c r="AE2070" s="135"/>
    </row>
    <row r="2071" spans="1:31" ht="12.5" customHeight="1" x14ac:dyDescent="0.35">
      <c r="A2071" t="s">
        <v>396</v>
      </c>
      <c r="C2071" t="s">
        <v>4751</v>
      </c>
      <c r="D2071" t="s">
        <v>385</v>
      </c>
      <c r="E2071" s="133">
        <v>45841</v>
      </c>
      <c r="F2071" s="2">
        <v>0.11384259259259259</v>
      </c>
      <c r="G2071">
        <v>2</v>
      </c>
      <c r="H2071" s="133">
        <v>45840</v>
      </c>
      <c r="I2071" s="2">
        <v>0.61384259259259266</v>
      </c>
      <c r="J2071">
        <v>14</v>
      </c>
      <c r="R2071" t="s">
        <v>30</v>
      </c>
      <c r="W2071">
        <v>1</v>
      </c>
      <c r="X2071" t="s">
        <v>30</v>
      </c>
      <c r="AC2071" t="s">
        <v>4752</v>
      </c>
      <c r="AE2071" s="135"/>
    </row>
    <row r="2072" spans="1:31" ht="12.5" customHeight="1" x14ac:dyDescent="0.35">
      <c r="A2072" t="s">
        <v>396</v>
      </c>
      <c r="C2072" t="s">
        <v>4753</v>
      </c>
      <c r="D2072" t="s">
        <v>385</v>
      </c>
      <c r="E2072" s="133">
        <v>45841</v>
      </c>
      <c r="F2072" s="2">
        <v>0.11393518518518519</v>
      </c>
      <c r="G2072">
        <v>2</v>
      </c>
      <c r="H2072" s="133">
        <v>45840</v>
      </c>
      <c r="I2072" s="2">
        <v>0.61393518518518519</v>
      </c>
      <c r="J2072">
        <v>14</v>
      </c>
      <c r="R2072" t="s">
        <v>30</v>
      </c>
      <c r="W2072">
        <v>1</v>
      </c>
      <c r="X2072" t="s">
        <v>30</v>
      </c>
      <c r="AC2072" t="s">
        <v>4754</v>
      </c>
      <c r="AE2072" s="135"/>
    </row>
    <row r="2073" spans="1:31" ht="12.5" customHeight="1" x14ac:dyDescent="0.35">
      <c r="A2073" t="s">
        <v>396</v>
      </c>
      <c r="C2073" t="s">
        <v>4755</v>
      </c>
      <c r="D2073" t="s">
        <v>385</v>
      </c>
      <c r="E2073" s="133">
        <v>45841</v>
      </c>
      <c r="F2073" s="2">
        <v>0.11400462962962964</v>
      </c>
      <c r="G2073">
        <v>2</v>
      </c>
      <c r="H2073" s="133">
        <v>45840</v>
      </c>
      <c r="I2073" s="2">
        <v>0.61400462962962965</v>
      </c>
      <c r="J2073">
        <v>14</v>
      </c>
      <c r="R2073" t="s">
        <v>30</v>
      </c>
      <c r="W2073">
        <v>1</v>
      </c>
      <c r="X2073" t="s">
        <v>30</v>
      </c>
      <c r="AC2073" t="s">
        <v>4756</v>
      </c>
      <c r="AE2073" s="135"/>
    </row>
    <row r="2074" spans="1:31" ht="12.5" customHeight="1" x14ac:dyDescent="0.35">
      <c r="A2074" t="s">
        <v>396</v>
      </c>
      <c r="C2074" t="s">
        <v>4757</v>
      </c>
      <c r="D2074" t="s">
        <v>385</v>
      </c>
      <c r="E2074" s="133">
        <v>45841</v>
      </c>
      <c r="F2074" s="2">
        <v>0.11407407407407406</v>
      </c>
      <c r="G2074">
        <v>2</v>
      </c>
      <c r="H2074" s="133">
        <v>45840</v>
      </c>
      <c r="I2074" s="2">
        <v>0.61407407407407411</v>
      </c>
      <c r="J2074">
        <v>14</v>
      </c>
      <c r="R2074" t="s">
        <v>30</v>
      </c>
      <c r="W2074">
        <v>1</v>
      </c>
      <c r="X2074" t="s">
        <v>30</v>
      </c>
      <c r="AC2074" t="s">
        <v>4758</v>
      </c>
      <c r="AE2074" s="135"/>
    </row>
    <row r="2075" spans="1:31" ht="12.5" customHeight="1" x14ac:dyDescent="0.35">
      <c r="A2075" t="s">
        <v>396</v>
      </c>
      <c r="C2075" t="s">
        <v>4759</v>
      </c>
      <c r="D2075" t="s">
        <v>385</v>
      </c>
      <c r="E2075" s="133">
        <v>45841</v>
      </c>
      <c r="F2075" s="2">
        <v>0.11416666666666668</v>
      </c>
      <c r="G2075">
        <v>2</v>
      </c>
      <c r="H2075" s="133">
        <v>45840</v>
      </c>
      <c r="I2075" s="2">
        <v>0.61416666666666664</v>
      </c>
      <c r="J2075">
        <v>14</v>
      </c>
      <c r="R2075" t="s">
        <v>30</v>
      </c>
      <c r="W2075">
        <v>1</v>
      </c>
      <c r="X2075" t="s">
        <v>30</v>
      </c>
      <c r="AC2075" t="s">
        <v>4760</v>
      </c>
      <c r="AE2075" s="135"/>
    </row>
    <row r="2076" spans="1:31" ht="12.5" customHeight="1" x14ac:dyDescent="0.35">
      <c r="A2076" t="s">
        <v>396</v>
      </c>
      <c r="C2076" t="s">
        <v>4761</v>
      </c>
      <c r="D2076" t="s">
        <v>385</v>
      </c>
      <c r="E2076" s="133">
        <v>45841</v>
      </c>
      <c r="F2076" s="2">
        <v>0.11425925925925927</v>
      </c>
      <c r="G2076">
        <v>2</v>
      </c>
      <c r="H2076" s="133">
        <v>45840</v>
      </c>
      <c r="I2076" s="2">
        <v>0.61425925925925928</v>
      </c>
      <c r="J2076">
        <v>14</v>
      </c>
      <c r="R2076" t="s">
        <v>30</v>
      </c>
      <c r="W2076">
        <v>1</v>
      </c>
      <c r="X2076" t="s">
        <v>30</v>
      </c>
      <c r="AC2076" t="s">
        <v>4762</v>
      </c>
      <c r="AE2076" s="135"/>
    </row>
    <row r="2077" spans="1:31" ht="12.5" customHeight="1" x14ac:dyDescent="0.35">
      <c r="A2077" t="s">
        <v>396</v>
      </c>
      <c r="C2077" t="s">
        <v>4763</v>
      </c>
      <c r="D2077" t="s">
        <v>385</v>
      </c>
      <c r="E2077" s="133">
        <v>45841</v>
      </c>
      <c r="F2077" s="2">
        <v>0.11435185185185186</v>
      </c>
      <c r="G2077">
        <v>2</v>
      </c>
      <c r="H2077" s="133">
        <v>45840</v>
      </c>
      <c r="I2077" s="2">
        <v>0.61435185185185182</v>
      </c>
      <c r="J2077">
        <v>14</v>
      </c>
      <c r="R2077" t="s">
        <v>30</v>
      </c>
      <c r="W2077">
        <v>1</v>
      </c>
      <c r="X2077" t="s">
        <v>30</v>
      </c>
      <c r="AC2077" t="s">
        <v>4764</v>
      </c>
      <c r="AE2077" s="135"/>
    </row>
    <row r="2078" spans="1:31" ht="12.5" customHeight="1" x14ac:dyDescent="0.35">
      <c r="A2078" t="s">
        <v>396</v>
      </c>
      <c r="C2078" t="s">
        <v>4765</v>
      </c>
      <c r="D2078" t="s">
        <v>385</v>
      </c>
      <c r="E2078" s="133">
        <v>45841</v>
      </c>
      <c r="F2078" s="2">
        <v>0.11444444444444445</v>
      </c>
      <c r="G2078">
        <v>2</v>
      </c>
      <c r="H2078" s="133">
        <v>45840</v>
      </c>
      <c r="I2078" s="2">
        <v>0.61444444444444446</v>
      </c>
      <c r="J2078">
        <v>14</v>
      </c>
      <c r="R2078" t="s">
        <v>30</v>
      </c>
      <c r="W2078">
        <v>1</v>
      </c>
      <c r="X2078" t="s">
        <v>30</v>
      </c>
      <c r="AC2078" t="s">
        <v>4766</v>
      </c>
      <c r="AE2078" s="135"/>
    </row>
    <row r="2079" spans="1:31" ht="12.5" customHeight="1" x14ac:dyDescent="0.35">
      <c r="A2079" t="s">
        <v>396</v>
      </c>
      <c r="C2079" t="s">
        <v>4767</v>
      </c>
      <c r="D2079" t="s">
        <v>385</v>
      </c>
      <c r="E2079" s="133">
        <v>45841</v>
      </c>
      <c r="F2079" s="2">
        <v>0.11453703703703703</v>
      </c>
      <c r="G2079">
        <v>2</v>
      </c>
      <c r="H2079" s="133">
        <v>45840</v>
      </c>
      <c r="I2079" s="2">
        <v>0.61453703703703699</v>
      </c>
      <c r="J2079">
        <v>14</v>
      </c>
      <c r="R2079" t="s">
        <v>30</v>
      </c>
      <c r="W2079">
        <v>1</v>
      </c>
      <c r="X2079" t="s">
        <v>30</v>
      </c>
      <c r="AC2079" t="s">
        <v>4768</v>
      </c>
      <c r="AE2079" s="135"/>
    </row>
    <row r="2080" spans="1:31" ht="12.5" customHeight="1" x14ac:dyDescent="0.35">
      <c r="A2080" t="s">
        <v>396</v>
      </c>
      <c r="C2080" t="s">
        <v>4769</v>
      </c>
      <c r="D2080" t="s">
        <v>385</v>
      </c>
      <c r="E2080" s="133">
        <v>45841</v>
      </c>
      <c r="F2080" s="2">
        <v>0.11462962962962964</v>
      </c>
      <c r="G2080">
        <v>2</v>
      </c>
      <c r="H2080" s="133">
        <v>45840</v>
      </c>
      <c r="I2080" s="2">
        <v>0.61462962962962964</v>
      </c>
      <c r="J2080">
        <v>14</v>
      </c>
      <c r="R2080" t="s">
        <v>30</v>
      </c>
      <c r="W2080">
        <v>1</v>
      </c>
      <c r="X2080" t="s">
        <v>30</v>
      </c>
      <c r="AC2080" t="s">
        <v>4770</v>
      </c>
      <c r="AE2080" s="135"/>
    </row>
    <row r="2081" spans="1:31" ht="12.5" customHeight="1" x14ac:dyDescent="0.35">
      <c r="A2081" t="s">
        <v>396</v>
      </c>
      <c r="C2081" t="s">
        <v>4771</v>
      </c>
      <c r="D2081" t="s">
        <v>385</v>
      </c>
      <c r="E2081" s="133">
        <v>45841</v>
      </c>
      <c r="F2081" s="2">
        <v>0.11474537037037037</v>
      </c>
      <c r="G2081">
        <v>2</v>
      </c>
      <c r="H2081" s="133">
        <v>45840</v>
      </c>
      <c r="I2081" s="2">
        <v>0.61474537037037036</v>
      </c>
      <c r="J2081">
        <v>14</v>
      </c>
      <c r="R2081" t="s">
        <v>30</v>
      </c>
      <c r="W2081">
        <v>1</v>
      </c>
      <c r="X2081" t="s">
        <v>30</v>
      </c>
      <c r="AC2081" t="s">
        <v>4772</v>
      </c>
      <c r="AE2081" s="135"/>
    </row>
    <row r="2082" spans="1:31" ht="12.5" customHeight="1" x14ac:dyDescent="0.35">
      <c r="A2082" t="s">
        <v>396</v>
      </c>
      <c r="C2082" t="s">
        <v>4773</v>
      </c>
      <c r="D2082" t="s">
        <v>385</v>
      </c>
      <c r="E2082" s="133">
        <v>45841</v>
      </c>
      <c r="F2082" s="2">
        <v>0.11483796296296296</v>
      </c>
      <c r="G2082">
        <v>2</v>
      </c>
      <c r="H2082" s="133">
        <v>45840</v>
      </c>
      <c r="I2082" s="2">
        <v>0.61483796296296289</v>
      </c>
      <c r="J2082">
        <v>14</v>
      </c>
      <c r="R2082" t="s">
        <v>30</v>
      </c>
      <c r="W2082">
        <v>1</v>
      </c>
      <c r="X2082" t="s">
        <v>30</v>
      </c>
      <c r="AC2082" t="s">
        <v>4774</v>
      </c>
      <c r="AE2082" s="135"/>
    </row>
    <row r="2083" spans="1:31" ht="12.5" customHeight="1" x14ac:dyDescent="0.35">
      <c r="A2083" t="s">
        <v>396</v>
      </c>
      <c r="C2083" t="s">
        <v>4775</v>
      </c>
      <c r="D2083" t="s">
        <v>385</v>
      </c>
      <c r="E2083" s="133">
        <v>45841</v>
      </c>
      <c r="F2083" s="2">
        <v>0.11493055555555555</v>
      </c>
      <c r="G2083">
        <v>2</v>
      </c>
      <c r="H2083" s="133">
        <v>45840</v>
      </c>
      <c r="I2083" s="2">
        <v>0.61493055555555554</v>
      </c>
      <c r="J2083">
        <v>14</v>
      </c>
      <c r="R2083" t="s">
        <v>30</v>
      </c>
      <c r="W2083">
        <v>1</v>
      </c>
      <c r="X2083" t="s">
        <v>30</v>
      </c>
      <c r="AC2083" t="s">
        <v>4776</v>
      </c>
      <c r="AE2083" s="135"/>
    </row>
    <row r="2084" spans="1:31" ht="12.5" customHeight="1" x14ac:dyDescent="0.35">
      <c r="A2084" t="s">
        <v>396</v>
      </c>
      <c r="C2084" t="s">
        <v>4777</v>
      </c>
      <c r="D2084" t="s">
        <v>385</v>
      </c>
      <c r="E2084" s="133">
        <v>45841</v>
      </c>
      <c r="F2084" s="2">
        <v>0.11499999999999999</v>
      </c>
      <c r="G2084">
        <v>2</v>
      </c>
      <c r="H2084" s="133">
        <v>45840</v>
      </c>
      <c r="I2084" s="2">
        <v>0.61499999999999999</v>
      </c>
      <c r="J2084">
        <v>14</v>
      </c>
      <c r="R2084" t="s">
        <v>30</v>
      </c>
      <c r="W2084">
        <v>1</v>
      </c>
      <c r="X2084" t="s">
        <v>30</v>
      </c>
      <c r="AC2084" t="s">
        <v>4778</v>
      </c>
      <c r="AE2084" s="135"/>
    </row>
    <row r="2085" spans="1:31" ht="12.5" customHeight="1" x14ac:dyDescent="0.35">
      <c r="A2085" t="s">
        <v>396</v>
      </c>
      <c r="C2085" t="s">
        <v>4779</v>
      </c>
      <c r="D2085" t="s">
        <v>385</v>
      </c>
      <c r="E2085" s="133">
        <v>45841</v>
      </c>
      <c r="F2085" s="2">
        <v>0.11518518518518518</v>
      </c>
      <c r="G2085">
        <v>2</v>
      </c>
      <c r="H2085" s="133">
        <v>45840</v>
      </c>
      <c r="I2085" s="2">
        <v>0.61518518518518517</v>
      </c>
      <c r="J2085">
        <v>14</v>
      </c>
      <c r="R2085" t="s">
        <v>30</v>
      </c>
      <c r="W2085">
        <v>1</v>
      </c>
      <c r="X2085" t="s">
        <v>30</v>
      </c>
      <c r="AC2085" t="s">
        <v>4780</v>
      </c>
      <c r="AE2085" s="135"/>
    </row>
    <row r="2086" spans="1:31" ht="12.5" customHeight="1" x14ac:dyDescent="0.35">
      <c r="A2086" t="s">
        <v>396</v>
      </c>
      <c r="C2086" t="s">
        <v>4781</v>
      </c>
      <c r="D2086" t="s">
        <v>385</v>
      </c>
      <c r="E2086" s="133">
        <v>45841</v>
      </c>
      <c r="F2086" s="2">
        <v>0.11530092592592593</v>
      </c>
      <c r="G2086">
        <v>2</v>
      </c>
      <c r="H2086" s="133">
        <v>45840</v>
      </c>
      <c r="I2086" s="2">
        <v>0.61530092592592589</v>
      </c>
      <c r="J2086">
        <v>14</v>
      </c>
      <c r="R2086" t="s">
        <v>30</v>
      </c>
      <c r="W2086">
        <v>1</v>
      </c>
      <c r="X2086" t="s">
        <v>30</v>
      </c>
      <c r="AC2086" t="s">
        <v>4782</v>
      </c>
      <c r="AE2086" s="135"/>
    </row>
    <row r="2087" spans="1:31" ht="12.5" customHeight="1" x14ac:dyDescent="0.35">
      <c r="A2087" t="s">
        <v>396</v>
      </c>
      <c r="C2087" t="s">
        <v>4783</v>
      </c>
      <c r="D2087" t="s">
        <v>385</v>
      </c>
      <c r="E2087" s="133">
        <v>45841</v>
      </c>
      <c r="F2087" s="2">
        <v>0.11539351851851852</v>
      </c>
      <c r="G2087">
        <v>2</v>
      </c>
      <c r="H2087" s="133">
        <v>45840</v>
      </c>
      <c r="I2087" s="2">
        <v>0.61539351851851853</v>
      </c>
      <c r="J2087">
        <v>14</v>
      </c>
      <c r="R2087" t="s">
        <v>30</v>
      </c>
      <c r="W2087">
        <v>1</v>
      </c>
      <c r="X2087" t="s">
        <v>30</v>
      </c>
      <c r="AC2087" t="s">
        <v>4784</v>
      </c>
      <c r="AE2087" s="135"/>
    </row>
    <row r="2088" spans="1:31" ht="12.5" customHeight="1" x14ac:dyDescent="0.35">
      <c r="A2088" t="s">
        <v>396</v>
      </c>
      <c r="C2088" t="s">
        <v>4785</v>
      </c>
      <c r="D2088" t="s">
        <v>385</v>
      </c>
      <c r="E2088" s="133">
        <v>45841</v>
      </c>
      <c r="F2088" s="2">
        <v>0.11555555555555556</v>
      </c>
      <c r="G2088">
        <v>2</v>
      </c>
      <c r="H2088" s="133">
        <v>45840</v>
      </c>
      <c r="I2088" s="2">
        <v>0.61555555555555552</v>
      </c>
      <c r="J2088">
        <v>14</v>
      </c>
      <c r="R2088" t="s">
        <v>30</v>
      </c>
      <c r="W2088">
        <v>1</v>
      </c>
      <c r="X2088" t="s">
        <v>30</v>
      </c>
      <c r="AC2088" t="s">
        <v>4786</v>
      </c>
      <c r="AE2088" s="135"/>
    </row>
    <row r="2089" spans="1:31" ht="12.5" customHeight="1" x14ac:dyDescent="0.35">
      <c r="A2089" t="s">
        <v>396</v>
      </c>
      <c r="C2089" t="s">
        <v>4787</v>
      </c>
      <c r="D2089" t="s">
        <v>385</v>
      </c>
      <c r="E2089" s="133">
        <v>45841</v>
      </c>
      <c r="F2089" s="2">
        <v>0.11564814814814815</v>
      </c>
      <c r="G2089">
        <v>2</v>
      </c>
      <c r="H2089" s="133">
        <v>45840</v>
      </c>
      <c r="I2089" s="2">
        <v>0.61564814814814817</v>
      </c>
      <c r="J2089">
        <v>14</v>
      </c>
      <c r="R2089" t="s">
        <v>30</v>
      </c>
      <c r="W2089">
        <v>1</v>
      </c>
      <c r="X2089" t="s">
        <v>30</v>
      </c>
      <c r="AC2089" t="s">
        <v>4788</v>
      </c>
      <c r="AE2089" s="135"/>
    </row>
    <row r="2090" spans="1:31" ht="12.5" customHeight="1" x14ac:dyDescent="0.35">
      <c r="A2090" t="s">
        <v>396</v>
      </c>
      <c r="C2090" t="s">
        <v>4789</v>
      </c>
      <c r="D2090" t="s">
        <v>385</v>
      </c>
      <c r="E2090" s="133">
        <v>45841</v>
      </c>
      <c r="F2090" s="2">
        <v>0.11574074074074074</v>
      </c>
      <c r="G2090">
        <v>2</v>
      </c>
      <c r="H2090" s="133">
        <v>45840</v>
      </c>
      <c r="I2090" s="2">
        <v>0.61574074074074081</v>
      </c>
      <c r="J2090">
        <v>14</v>
      </c>
      <c r="R2090" t="s">
        <v>30</v>
      </c>
      <c r="W2090">
        <v>1</v>
      </c>
      <c r="X2090" t="s">
        <v>30</v>
      </c>
      <c r="AC2090" t="s">
        <v>4790</v>
      </c>
      <c r="AE2090" s="135"/>
    </row>
    <row r="2091" spans="1:31" ht="12.5" customHeight="1" x14ac:dyDescent="0.35">
      <c r="A2091" t="s">
        <v>396</v>
      </c>
      <c r="C2091" t="s">
        <v>4791</v>
      </c>
      <c r="D2091" t="s">
        <v>385</v>
      </c>
      <c r="E2091" s="133">
        <v>45841</v>
      </c>
      <c r="F2091" s="2">
        <v>0.11583333333333333</v>
      </c>
      <c r="G2091">
        <v>2</v>
      </c>
      <c r="H2091" s="133">
        <v>45840</v>
      </c>
      <c r="I2091" s="2">
        <v>0.61583333333333334</v>
      </c>
      <c r="J2091">
        <v>14</v>
      </c>
      <c r="R2091" t="s">
        <v>30</v>
      </c>
      <c r="W2091">
        <v>1</v>
      </c>
      <c r="X2091" t="s">
        <v>30</v>
      </c>
      <c r="AC2091" t="s">
        <v>4792</v>
      </c>
      <c r="AE2091" s="135"/>
    </row>
    <row r="2092" spans="1:31" ht="12.5" customHeight="1" x14ac:dyDescent="0.35">
      <c r="A2092" t="s">
        <v>396</v>
      </c>
      <c r="C2092" t="s">
        <v>4793</v>
      </c>
      <c r="D2092" t="s">
        <v>385</v>
      </c>
      <c r="E2092" s="133">
        <v>45841</v>
      </c>
      <c r="F2092" s="2">
        <v>0.11594907407407407</v>
      </c>
      <c r="G2092">
        <v>2</v>
      </c>
      <c r="H2092" s="133">
        <v>45840</v>
      </c>
      <c r="I2092" s="2">
        <v>0.61594907407407407</v>
      </c>
      <c r="J2092">
        <v>14</v>
      </c>
      <c r="R2092" t="s">
        <v>30</v>
      </c>
      <c r="W2092">
        <v>1</v>
      </c>
      <c r="X2092" t="s">
        <v>30</v>
      </c>
      <c r="AC2092" t="s">
        <v>4794</v>
      </c>
      <c r="AE2092" s="135"/>
    </row>
    <row r="2093" spans="1:31" ht="12.5" customHeight="1" x14ac:dyDescent="0.35">
      <c r="A2093" t="s">
        <v>396</v>
      </c>
      <c r="C2093" t="s">
        <v>4795</v>
      </c>
      <c r="D2093" t="s">
        <v>385</v>
      </c>
      <c r="E2093" s="133">
        <v>45841</v>
      </c>
      <c r="F2093" s="2">
        <v>0.11604166666666667</v>
      </c>
      <c r="G2093">
        <v>2</v>
      </c>
      <c r="H2093" s="133">
        <v>45840</v>
      </c>
      <c r="I2093" s="2">
        <v>0.61604166666666671</v>
      </c>
      <c r="J2093">
        <v>14</v>
      </c>
      <c r="R2093" t="s">
        <v>30</v>
      </c>
      <c r="W2093">
        <v>1</v>
      </c>
      <c r="X2093" t="s">
        <v>30</v>
      </c>
      <c r="AC2093" t="s">
        <v>4796</v>
      </c>
      <c r="AE2093" s="135"/>
    </row>
    <row r="2094" spans="1:31" ht="12.5" customHeight="1" x14ac:dyDescent="0.35">
      <c r="A2094" t="s">
        <v>396</v>
      </c>
      <c r="C2094" t="s">
        <v>4797</v>
      </c>
      <c r="D2094" t="s">
        <v>385</v>
      </c>
      <c r="E2094" s="133">
        <v>45841</v>
      </c>
      <c r="F2094" s="2">
        <v>0.11611111111111111</v>
      </c>
      <c r="G2094">
        <v>2</v>
      </c>
      <c r="H2094" s="133">
        <v>45840</v>
      </c>
      <c r="I2094" s="2">
        <v>0.61611111111111116</v>
      </c>
      <c r="J2094">
        <v>14</v>
      </c>
      <c r="R2094" t="s">
        <v>30</v>
      </c>
      <c r="W2094">
        <v>1</v>
      </c>
      <c r="X2094" t="s">
        <v>30</v>
      </c>
      <c r="AC2094" t="s">
        <v>4798</v>
      </c>
      <c r="AE2094" s="135"/>
    </row>
    <row r="2095" spans="1:31" ht="12.5" customHeight="1" x14ac:dyDescent="0.35">
      <c r="A2095" t="s">
        <v>396</v>
      </c>
      <c r="C2095" t="s">
        <v>4799</v>
      </c>
      <c r="D2095" t="s">
        <v>385</v>
      </c>
      <c r="E2095" s="133">
        <v>45841</v>
      </c>
      <c r="F2095" s="2">
        <v>0.11618055555555555</v>
      </c>
      <c r="G2095">
        <v>2</v>
      </c>
      <c r="H2095" s="133">
        <v>45840</v>
      </c>
      <c r="I2095" s="2">
        <v>0.61618055555555562</v>
      </c>
      <c r="J2095">
        <v>14</v>
      </c>
      <c r="R2095" t="s">
        <v>30</v>
      </c>
      <c r="W2095">
        <v>1</v>
      </c>
      <c r="X2095" t="s">
        <v>30</v>
      </c>
      <c r="AC2095" t="s">
        <v>4800</v>
      </c>
      <c r="AE2095" s="135"/>
    </row>
    <row r="2096" spans="1:31" ht="12.5" customHeight="1" x14ac:dyDescent="0.35">
      <c r="A2096" t="s">
        <v>396</v>
      </c>
      <c r="C2096" t="s">
        <v>4801</v>
      </c>
      <c r="D2096" t="s">
        <v>385</v>
      </c>
      <c r="E2096" s="133">
        <v>45841</v>
      </c>
      <c r="F2096" s="2">
        <v>0.11634259259259259</v>
      </c>
      <c r="G2096">
        <v>2</v>
      </c>
      <c r="H2096" s="133">
        <v>45840</v>
      </c>
      <c r="I2096" s="2">
        <v>0.61634259259259261</v>
      </c>
      <c r="J2096">
        <v>14</v>
      </c>
      <c r="R2096" t="s">
        <v>30</v>
      </c>
      <c r="W2096">
        <v>1</v>
      </c>
      <c r="X2096" t="s">
        <v>30</v>
      </c>
      <c r="AC2096" t="s">
        <v>4802</v>
      </c>
      <c r="AE2096" s="135"/>
    </row>
    <row r="2097" spans="1:31" ht="12.5" customHeight="1" x14ac:dyDescent="0.35">
      <c r="A2097" t="s">
        <v>396</v>
      </c>
      <c r="C2097" t="s">
        <v>4803</v>
      </c>
      <c r="D2097" t="s">
        <v>385</v>
      </c>
      <c r="E2097" s="133">
        <v>45841</v>
      </c>
      <c r="F2097" s="2">
        <v>0.11641203703703702</v>
      </c>
      <c r="G2097">
        <v>2</v>
      </c>
      <c r="H2097" s="133">
        <v>45840</v>
      </c>
      <c r="I2097" s="2">
        <v>0.61641203703703706</v>
      </c>
      <c r="J2097">
        <v>14</v>
      </c>
      <c r="R2097" t="s">
        <v>30</v>
      </c>
      <c r="W2097">
        <v>1</v>
      </c>
      <c r="X2097" t="s">
        <v>30</v>
      </c>
      <c r="AC2097" t="s">
        <v>4804</v>
      </c>
      <c r="AE2097" s="135"/>
    </row>
    <row r="2098" spans="1:31" ht="12.5" customHeight="1" x14ac:dyDescent="0.35">
      <c r="A2098" t="s">
        <v>396</v>
      </c>
      <c r="C2098" t="s">
        <v>4805</v>
      </c>
      <c r="D2098" t="s">
        <v>385</v>
      </c>
      <c r="E2098" s="133">
        <v>45841</v>
      </c>
      <c r="F2098" s="2">
        <v>0.11650462962962964</v>
      </c>
      <c r="G2098">
        <v>2</v>
      </c>
      <c r="H2098" s="133">
        <v>45840</v>
      </c>
      <c r="I2098" s="2">
        <v>0.6165046296296296</v>
      </c>
      <c r="J2098">
        <v>14</v>
      </c>
      <c r="R2098" t="s">
        <v>30</v>
      </c>
      <c r="W2098">
        <v>1</v>
      </c>
      <c r="X2098" t="s">
        <v>30</v>
      </c>
      <c r="AC2098" t="s">
        <v>4806</v>
      </c>
      <c r="AE2098" s="135"/>
    </row>
    <row r="2099" spans="1:31" ht="12.5" customHeight="1" x14ac:dyDescent="0.35">
      <c r="A2099" t="s">
        <v>396</v>
      </c>
      <c r="C2099" t="s">
        <v>4807</v>
      </c>
      <c r="D2099" t="s">
        <v>385</v>
      </c>
      <c r="E2099" s="133">
        <v>45841</v>
      </c>
      <c r="F2099" s="2">
        <v>0.11657407407407407</v>
      </c>
      <c r="G2099">
        <v>2</v>
      </c>
      <c r="H2099" s="133">
        <v>45840</v>
      </c>
      <c r="I2099" s="2">
        <v>0.61657407407407405</v>
      </c>
      <c r="J2099">
        <v>14</v>
      </c>
      <c r="R2099" t="s">
        <v>30</v>
      </c>
      <c r="W2099">
        <v>1</v>
      </c>
      <c r="X2099" t="s">
        <v>30</v>
      </c>
      <c r="AC2099" t="s">
        <v>4808</v>
      </c>
      <c r="AE2099" s="135"/>
    </row>
    <row r="2100" spans="1:31" ht="12.5" customHeight="1" x14ac:dyDescent="0.35">
      <c r="A2100" t="s">
        <v>396</v>
      </c>
      <c r="C2100" t="s">
        <v>4809</v>
      </c>
      <c r="D2100" t="s">
        <v>385</v>
      </c>
      <c r="E2100" s="133">
        <v>45841</v>
      </c>
      <c r="F2100" s="2">
        <v>0.11666666666666665</v>
      </c>
      <c r="G2100">
        <v>2</v>
      </c>
      <c r="H2100" s="133">
        <v>45840</v>
      </c>
      <c r="I2100" s="2">
        <v>0.6166666666666667</v>
      </c>
      <c r="J2100">
        <v>14</v>
      </c>
      <c r="R2100" t="s">
        <v>30</v>
      </c>
      <c r="W2100">
        <v>1</v>
      </c>
      <c r="X2100" t="s">
        <v>30</v>
      </c>
      <c r="AC2100" t="s">
        <v>4810</v>
      </c>
      <c r="AE2100" s="135"/>
    </row>
    <row r="2101" spans="1:31" ht="12.5" customHeight="1" x14ac:dyDescent="0.35">
      <c r="A2101" t="s">
        <v>396</v>
      </c>
      <c r="C2101" t="s">
        <v>4811</v>
      </c>
      <c r="D2101" t="s">
        <v>385</v>
      </c>
      <c r="E2101" s="133">
        <v>45841</v>
      </c>
      <c r="F2101" s="2">
        <v>0.1167824074074074</v>
      </c>
      <c r="G2101">
        <v>2</v>
      </c>
      <c r="H2101" s="133">
        <v>45840</v>
      </c>
      <c r="I2101" s="2">
        <v>0.61678240740740742</v>
      </c>
      <c r="J2101">
        <v>14</v>
      </c>
      <c r="R2101" t="s">
        <v>30</v>
      </c>
      <c r="W2101">
        <v>1</v>
      </c>
      <c r="X2101" t="s">
        <v>30</v>
      </c>
      <c r="AC2101" t="s">
        <v>4812</v>
      </c>
      <c r="AE2101" s="135"/>
    </row>
    <row r="2102" spans="1:31" ht="12.5" customHeight="1" x14ac:dyDescent="0.35">
      <c r="A2102" t="s">
        <v>396</v>
      </c>
      <c r="C2102" t="s">
        <v>4813</v>
      </c>
      <c r="D2102" t="s">
        <v>385</v>
      </c>
      <c r="E2102" s="133">
        <v>45841</v>
      </c>
      <c r="F2102" s="2">
        <v>0.11689814814814814</v>
      </c>
      <c r="G2102">
        <v>2</v>
      </c>
      <c r="H2102" s="133">
        <v>45840</v>
      </c>
      <c r="I2102" s="2">
        <v>0.61689814814814814</v>
      </c>
      <c r="J2102">
        <v>14</v>
      </c>
      <c r="R2102" t="s">
        <v>30</v>
      </c>
      <c r="W2102">
        <v>1</v>
      </c>
      <c r="X2102" t="s">
        <v>30</v>
      </c>
      <c r="AC2102" t="s">
        <v>4814</v>
      </c>
      <c r="AE2102" s="135"/>
    </row>
    <row r="2103" spans="1:31" ht="12.5" customHeight="1" x14ac:dyDescent="0.35">
      <c r="A2103" t="s">
        <v>396</v>
      </c>
      <c r="C2103" t="s">
        <v>4815</v>
      </c>
      <c r="D2103" t="s">
        <v>385</v>
      </c>
      <c r="E2103" s="133">
        <v>45841</v>
      </c>
      <c r="F2103" s="2">
        <v>0.11699074074074074</v>
      </c>
      <c r="G2103">
        <v>2</v>
      </c>
      <c r="H2103" s="133">
        <v>45840</v>
      </c>
      <c r="I2103" s="2">
        <v>0.61699074074074078</v>
      </c>
      <c r="J2103">
        <v>14</v>
      </c>
      <c r="R2103" t="s">
        <v>30</v>
      </c>
      <c r="W2103">
        <v>1</v>
      </c>
      <c r="X2103" t="s">
        <v>30</v>
      </c>
      <c r="AC2103" t="s">
        <v>4816</v>
      </c>
      <c r="AE2103" s="135"/>
    </row>
    <row r="2104" spans="1:31" ht="12.5" customHeight="1" x14ac:dyDescent="0.35">
      <c r="A2104" t="s">
        <v>396</v>
      </c>
      <c r="C2104" t="s">
        <v>4817</v>
      </c>
      <c r="D2104" t="s">
        <v>385</v>
      </c>
      <c r="E2104" s="133">
        <v>45841</v>
      </c>
      <c r="F2104" s="2">
        <v>0.11715277777777777</v>
      </c>
      <c r="G2104">
        <v>2</v>
      </c>
      <c r="H2104" s="133">
        <v>45840</v>
      </c>
      <c r="I2104" s="2">
        <v>0.61715277777777777</v>
      </c>
      <c r="J2104">
        <v>14</v>
      </c>
      <c r="R2104" t="s">
        <v>30</v>
      </c>
      <c r="W2104">
        <v>1</v>
      </c>
      <c r="X2104" t="s">
        <v>30</v>
      </c>
      <c r="AC2104" t="s">
        <v>4818</v>
      </c>
      <c r="AE2104" s="135"/>
    </row>
    <row r="2105" spans="1:31" ht="12.5" customHeight="1" x14ac:dyDescent="0.35">
      <c r="A2105" t="s">
        <v>396</v>
      </c>
      <c r="C2105" t="s">
        <v>4819</v>
      </c>
      <c r="D2105" t="s">
        <v>385</v>
      </c>
      <c r="E2105" s="133">
        <v>45841</v>
      </c>
      <c r="F2105" s="2">
        <v>0.11724537037037037</v>
      </c>
      <c r="G2105">
        <v>2</v>
      </c>
      <c r="H2105" s="133">
        <v>45840</v>
      </c>
      <c r="I2105" s="2">
        <v>0.61724537037037031</v>
      </c>
      <c r="J2105">
        <v>14</v>
      </c>
      <c r="R2105" t="s">
        <v>30</v>
      </c>
      <c r="W2105">
        <v>1</v>
      </c>
      <c r="X2105" t="s">
        <v>30</v>
      </c>
      <c r="AC2105" t="s">
        <v>4820</v>
      </c>
      <c r="AE2105" s="135"/>
    </row>
    <row r="2106" spans="1:31" ht="12.5" customHeight="1" x14ac:dyDescent="0.35">
      <c r="A2106" t="s">
        <v>396</v>
      </c>
      <c r="C2106" t="s">
        <v>4821</v>
      </c>
      <c r="D2106" t="s">
        <v>385</v>
      </c>
      <c r="E2106" s="133">
        <v>45841</v>
      </c>
      <c r="F2106" s="2">
        <v>0.11731481481481482</v>
      </c>
      <c r="G2106">
        <v>2</v>
      </c>
      <c r="H2106" s="133">
        <v>45840</v>
      </c>
      <c r="I2106" s="2">
        <v>0.61731481481481476</v>
      </c>
      <c r="J2106">
        <v>14</v>
      </c>
      <c r="R2106" t="s">
        <v>30</v>
      </c>
      <c r="W2106">
        <v>1</v>
      </c>
      <c r="X2106" t="s">
        <v>30</v>
      </c>
      <c r="AC2106" t="s">
        <v>4822</v>
      </c>
      <c r="AE2106" s="135"/>
    </row>
    <row r="2107" spans="1:31" ht="12.5" customHeight="1" x14ac:dyDescent="0.35">
      <c r="A2107" t="s">
        <v>396</v>
      </c>
      <c r="C2107" t="s">
        <v>4823</v>
      </c>
      <c r="D2107" t="s">
        <v>385</v>
      </c>
      <c r="E2107" s="133">
        <v>45841</v>
      </c>
      <c r="F2107" s="2">
        <v>0.1174074074074074</v>
      </c>
      <c r="G2107">
        <v>2</v>
      </c>
      <c r="H2107" s="133">
        <v>45840</v>
      </c>
      <c r="I2107" s="2">
        <v>0.6174074074074074</v>
      </c>
      <c r="J2107">
        <v>14</v>
      </c>
      <c r="R2107" t="s">
        <v>30</v>
      </c>
      <c r="W2107">
        <v>1</v>
      </c>
      <c r="X2107" t="s">
        <v>30</v>
      </c>
      <c r="AC2107" t="s">
        <v>4824</v>
      </c>
      <c r="AE2107" s="135"/>
    </row>
    <row r="2108" spans="1:31" ht="12.5" customHeight="1" x14ac:dyDescent="0.35">
      <c r="A2108" t="s">
        <v>396</v>
      </c>
      <c r="C2108" t="s">
        <v>4825</v>
      </c>
      <c r="D2108" t="s">
        <v>385</v>
      </c>
      <c r="E2108" s="133">
        <v>45841</v>
      </c>
      <c r="F2108" s="2">
        <v>0.11750000000000001</v>
      </c>
      <c r="G2108">
        <v>2</v>
      </c>
      <c r="H2108" s="133">
        <v>45840</v>
      </c>
      <c r="I2108" s="2">
        <v>0.61750000000000005</v>
      </c>
      <c r="J2108">
        <v>14</v>
      </c>
      <c r="R2108" t="s">
        <v>30</v>
      </c>
      <c r="W2108">
        <v>1</v>
      </c>
      <c r="X2108" t="s">
        <v>30</v>
      </c>
      <c r="AC2108" t="s">
        <v>4826</v>
      </c>
      <c r="AE2108" s="135"/>
    </row>
    <row r="2109" spans="1:31" ht="12.5" customHeight="1" x14ac:dyDescent="0.35">
      <c r="A2109" t="s">
        <v>396</v>
      </c>
      <c r="C2109" t="s">
        <v>4827</v>
      </c>
      <c r="D2109" t="s">
        <v>385</v>
      </c>
      <c r="E2109" s="133">
        <v>45841</v>
      </c>
      <c r="F2109" s="2">
        <v>0.1175925925925926</v>
      </c>
      <c r="G2109">
        <v>2</v>
      </c>
      <c r="H2109" s="133">
        <v>45840</v>
      </c>
      <c r="I2109" s="2">
        <v>0.61759259259259258</v>
      </c>
      <c r="J2109">
        <v>14</v>
      </c>
      <c r="R2109" t="s">
        <v>30</v>
      </c>
      <c r="W2109">
        <v>1</v>
      </c>
      <c r="X2109" t="s">
        <v>30</v>
      </c>
      <c r="AC2109" t="s">
        <v>4828</v>
      </c>
      <c r="AE2109" s="135"/>
    </row>
    <row r="2110" spans="1:31" ht="12.5" customHeight="1" x14ac:dyDescent="0.35">
      <c r="A2110" t="s">
        <v>396</v>
      </c>
      <c r="C2110" t="s">
        <v>4829</v>
      </c>
      <c r="D2110" t="s">
        <v>385</v>
      </c>
      <c r="E2110" s="133">
        <v>45841</v>
      </c>
      <c r="F2110" s="2">
        <v>0.11766203703703704</v>
      </c>
      <c r="G2110">
        <v>2</v>
      </c>
      <c r="H2110" s="133">
        <v>45840</v>
      </c>
      <c r="I2110" s="2">
        <v>0.61766203703703704</v>
      </c>
      <c r="J2110">
        <v>14</v>
      </c>
      <c r="R2110" t="s">
        <v>30</v>
      </c>
      <c r="W2110">
        <v>1</v>
      </c>
      <c r="X2110" t="s">
        <v>30</v>
      </c>
      <c r="AC2110" t="s">
        <v>4830</v>
      </c>
      <c r="AE2110" s="135"/>
    </row>
    <row r="2111" spans="1:31" ht="12.5" customHeight="1" x14ac:dyDescent="0.35">
      <c r="A2111" t="s">
        <v>396</v>
      </c>
      <c r="C2111" t="s">
        <v>4831</v>
      </c>
      <c r="D2111" t="s">
        <v>385</v>
      </c>
      <c r="E2111" s="133">
        <v>45841</v>
      </c>
      <c r="F2111" s="2">
        <v>0.11775462962962963</v>
      </c>
      <c r="G2111">
        <v>2</v>
      </c>
      <c r="H2111" s="133">
        <v>45840</v>
      </c>
      <c r="I2111" s="2">
        <v>0.61775462962962957</v>
      </c>
      <c r="J2111">
        <v>14</v>
      </c>
      <c r="R2111" t="s">
        <v>30</v>
      </c>
      <c r="W2111">
        <v>1</v>
      </c>
      <c r="X2111" t="s">
        <v>30</v>
      </c>
      <c r="AC2111" t="s">
        <v>4832</v>
      </c>
      <c r="AE2111" s="135"/>
    </row>
    <row r="2112" spans="1:31" ht="12.5" customHeight="1" x14ac:dyDescent="0.35">
      <c r="A2112" t="s">
        <v>396</v>
      </c>
      <c r="C2112" t="s">
        <v>4833</v>
      </c>
      <c r="D2112" t="s">
        <v>385</v>
      </c>
      <c r="E2112" s="133">
        <v>45841</v>
      </c>
      <c r="F2112" s="2">
        <v>0.11784722222222221</v>
      </c>
      <c r="G2112">
        <v>2</v>
      </c>
      <c r="H2112" s="133">
        <v>45840</v>
      </c>
      <c r="I2112" s="2">
        <v>0.61784722222222221</v>
      </c>
      <c r="J2112">
        <v>14</v>
      </c>
      <c r="R2112" t="s">
        <v>30</v>
      </c>
      <c r="W2112">
        <v>1</v>
      </c>
      <c r="X2112" t="s">
        <v>30</v>
      </c>
      <c r="AC2112" t="s">
        <v>4834</v>
      </c>
      <c r="AE2112" s="135"/>
    </row>
    <row r="2113" spans="1:31" ht="12.5" customHeight="1" x14ac:dyDescent="0.35">
      <c r="A2113" t="s">
        <v>396</v>
      </c>
      <c r="C2113" t="s">
        <v>4835</v>
      </c>
      <c r="D2113" t="s">
        <v>385</v>
      </c>
      <c r="E2113" s="133">
        <v>45841</v>
      </c>
      <c r="F2113" s="2">
        <v>0.11793981481481482</v>
      </c>
      <c r="G2113">
        <v>2</v>
      </c>
      <c r="H2113" s="133">
        <v>45840</v>
      </c>
      <c r="I2113" s="2">
        <v>0.61793981481481486</v>
      </c>
      <c r="J2113">
        <v>14</v>
      </c>
      <c r="R2113" t="s">
        <v>30</v>
      </c>
      <c r="W2113">
        <v>1</v>
      </c>
      <c r="X2113" t="s">
        <v>30</v>
      </c>
      <c r="AC2113" t="s">
        <v>4836</v>
      </c>
      <c r="AE2113" s="135"/>
    </row>
    <row r="2114" spans="1:31" ht="12.5" customHeight="1" x14ac:dyDescent="0.35">
      <c r="A2114" t="s">
        <v>396</v>
      </c>
      <c r="C2114" t="s">
        <v>4837</v>
      </c>
      <c r="D2114" t="s">
        <v>385</v>
      </c>
      <c r="E2114" s="133">
        <v>45841</v>
      </c>
      <c r="F2114" s="2">
        <v>0.11800925925925926</v>
      </c>
      <c r="G2114">
        <v>2</v>
      </c>
      <c r="H2114" s="133">
        <v>45840</v>
      </c>
      <c r="I2114" s="2">
        <v>0.61800925925925931</v>
      </c>
      <c r="J2114">
        <v>14</v>
      </c>
      <c r="R2114" t="s">
        <v>30</v>
      </c>
      <c r="W2114">
        <v>1</v>
      </c>
      <c r="X2114" t="s">
        <v>30</v>
      </c>
      <c r="AC2114" t="s">
        <v>4838</v>
      </c>
      <c r="AE2114" s="135"/>
    </row>
    <row r="2115" spans="1:31" ht="12.5" customHeight="1" x14ac:dyDescent="0.35">
      <c r="A2115" t="s">
        <v>396</v>
      </c>
      <c r="C2115" t="s">
        <v>4839</v>
      </c>
      <c r="D2115" t="s">
        <v>385</v>
      </c>
      <c r="E2115" s="133">
        <v>45841</v>
      </c>
      <c r="F2115" s="2">
        <v>0.11810185185185185</v>
      </c>
      <c r="G2115">
        <v>2</v>
      </c>
      <c r="H2115" s="133">
        <v>45840</v>
      </c>
      <c r="I2115" s="2">
        <v>0.61810185185185185</v>
      </c>
      <c r="J2115">
        <v>14</v>
      </c>
      <c r="R2115" t="s">
        <v>30</v>
      </c>
      <c r="W2115">
        <v>1</v>
      </c>
      <c r="X2115" t="s">
        <v>30</v>
      </c>
      <c r="AC2115" t="s">
        <v>4840</v>
      </c>
      <c r="AE2115" s="135"/>
    </row>
    <row r="2116" spans="1:31" ht="12.5" customHeight="1" x14ac:dyDescent="0.35">
      <c r="A2116" t="s">
        <v>396</v>
      </c>
      <c r="C2116" t="s">
        <v>4841</v>
      </c>
      <c r="D2116" t="s">
        <v>385</v>
      </c>
      <c r="E2116" s="133">
        <v>45841</v>
      </c>
      <c r="F2116" s="2">
        <v>0.11819444444444445</v>
      </c>
      <c r="G2116">
        <v>2</v>
      </c>
      <c r="H2116" s="133">
        <v>45840</v>
      </c>
      <c r="I2116" s="2">
        <v>0.61819444444444438</v>
      </c>
      <c r="J2116">
        <v>14</v>
      </c>
      <c r="R2116" t="s">
        <v>30</v>
      </c>
      <c r="W2116">
        <v>1</v>
      </c>
      <c r="X2116" t="s">
        <v>30</v>
      </c>
      <c r="AC2116" t="s">
        <v>4842</v>
      </c>
      <c r="AE2116" s="135"/>
    </row>
    <row r="2117" spans="1:31" ht="12.5" customHeight="1" x14ac:dyDescent="0.35">
      <c r="A2117" t="s">
        <v>396</v>
      </c>
      <c r="C2117" t="s">
        <v>4843</v>
      </c>
      <c r="D2117" t="s">
        <v>385</v>
      </c>
      <c r="E2117" s="133">
        <v>45841</v>
      </c>
      <c r="F2117" s="2">
        <v>0.11828703703703704</v>
      </c>
      <c r="G2117">
        <v>2</v>
      </c>
      <c r="H2117" s="133">
        <v>45840</v>
      </c>
      <c r="I2117" s="2">
        <v>0.61828703703703702</v>
      </c>
      <c r="J2117">
        <v>14</v>
      </c>
      <c r="R2117" t="s">
        <v>30</v>
      </c>
      <c r="W2117">
        <v>1</v>
      </c>
      <c r="X2117" t="s">
        <v>30</v>
      </c>
      <c r="AC2117" t="s">
        <v>4844</v>
      </c>
      <c r="AE2117" s="135"/>
    </row>
    <row r="2118" spans="1:31" ht="12.5" customHeight="1" x14ac:dyDescent="0.35">
      <c r="A2118" t="s">
        <v>396</v>
      </c>
      <c r="C2118" t="s">
        <v>4845</v>
      </c>
      <c r="D2118" t="s">
        <v>385</v>
      </c>
      <c r="E2118" s="133">
        <v>45841</v>
      </c>
      <c r="F2118" s="2">
        <v>0.11837962962962963</v>
      </c>
      <c r="G2118">
        <v>2</v>
      </c>
      <c r="H2118" s="133">
        <v>45840</v>
      </c>
      <c r="I2118" s="2">
        <v>0.61837962962962967</v>
      </c>
      <c r="J2118">
        <v>14</v>
      </c>
      <c r="R2118" t="s">
        <v>30</v>
      </c>
      <c r="W2118">
        <v>1</v>
      </c>
      <c r="X2118" t="s">
        <v>30</v>
      </c>
      <c r="AC2118" t="s">
        <v>4846</v>
      </c>
      <c r="AE2118" s="135"/>
    </row>
    <row r="2119" spans="1:31" ht="12.5" customHeight="1" x14ac:dyDescent="0.35">
      <c r="A2119" t="s">
        <v>396</v>
      </c>
      <c r="C2119" t="s">
        <v>4847</v>
      </c>
      <c r="D2119" t="s">
        <v>385</v>
      </c>
      <c r="E2119" s="133">
        <v>45841</v>
      </c>
      <c r="F2119" s="2">
        <v>0.11844907407407408</v>
      </c>
      <c r="G2119">
        <v>2</v>
      </c>
      <c r="H2119" s="133">
        <v>45840</v>
      </c>
      <c r="I2119" s="2">
        <v>0.61844907407407412</v>
      </c>
      <c r="J2119">
        <v>14</v>
      </c>
      <c r="R2119" t="s">
        <v>30</v>
      </c>
      <c r="W2119">
        <v>1</v>
      </c>
      <c r="X2119" t="s">
        <v>30</v>
      </c>
      <c r="AC2119" t="s">
        <v>4848</v>
      </c>
      <c r="AE2119" s="135"/>
    </row>
    <row r="2120" spans="1:31" ht="12.5" customHeight="1" x14ac:dyDescent="0.35">
      <c r="A2120" t="s">
        <v>396</v>
      </c>
      <c r="C2120" t="s">
        <v>4849</v>
      </c>
      <c r="D2120" t="s">
        <v>385</v>
      </c>
      <c r="E2120" s="133">
        <v>45841</v>
      </c>
      <c r="F2120" s="2">
        <v>0.11854166666666667</v>
      </c>
      <c r="G2120">
        <v>2</v>
      </c>
      <c r="H2120" s="133">
        <v>45840</v>
      </c>
      <c r="I2120" s="2">
        <v>0.61854166666666666</v>
      </c>
      <c r="J2120">
        <v>14</v>
      </c>
      <c r="R2120" t="s">
        <v>30</v>
      </c>
      <c r="W2120">
        <v>1</v>
      </c>
      <c r="X2120" t="s">
        <v>30</v>
      </c>
      <c r="AC2120" t="s">
        <v>4850</v>
      </c>
      <c r="AE2120" s="135"/>
    </row>
    <row r="2121" spans="1:31" ht="12.5" customHeight="1" x14ac:dyDescent="0.35">
      <c r="A2121" t="s">
        <v>396</v>
      </c>
      <c r="C2121" t="s">
        <v>4851</v>
      </c>
      <c r="D2121" t="s">
        <v>385</v>
      </c>
      <c r="E2121" s="133">
        <v>45841</v>
      </c>
      <c r="F2121" s="2">
        <v>0.11861111111111111</v>
      </c>
      <c r="G2121">
        <v>2</v>
      </c>
      <c r="H2121" s="133">
        <v>45840</v>
      </c>
      <c r="I2121" s="2">
        <v>0.61861111111111111</v>
      </c>
      <c r="J2121">
        <v>14</v>
      </c>
      <c r="R2121" t="s">
        <v>30</v>
      </c>
      <c r="W2121">
        <v>1</v>
      </c>
      <c r="X2121" t="s">
        <v>30</v>
      </c>
      <c r="AC2121" t="s">
        <v>4852</v>
      </c>
      <c r="AE2121" s="135"/>
    </row>
    <row r="2122" spans="1:31" ht="12.5" customHeight="1" x14ac:dyDescent="0.35">
      <c r="A2122" t="s">
        <v>396</v>
      </c>
      <c r="C2122" t="s">
        <v>4853</v>
      </c>
      <c r="D2122" t="s">
        <v>385</v>
      </c>
      <c r="E2122" s="133">
        <v>45841</v>
      </c>
      <c r="F2122" s="2">
        <v>0.1187037037037037</v>
      </c>
      <c r="G2122">
        <v>2</v>
      </c>
      <c r="H2122" s="133">
        <v>45840</v>
      </c>
      <c r="I2122" s="2">
        <v>0.61870370370370364</v>
      </c>
      <c r="J2122">
        <v>14</v>
      </c>
      <c r="R2122" t="s">
        <v>30</v>
      </c>
      <c r="W2122">
        <v>1</v>
      </c>
      <c r="X2122" t="s">
        <v>30</v>
      </c>
      <c r="AC2122" t="s">
        <v>4854</v>
      </c>
      <c r="AE2122" s="135"/>
    </row>
    <row r="2123" spans="1:31" ht="12.5" customHeight="1" x14ac:dyDescent="0.35">
      <c r="A2123" t="s">
        <v>396</v>
      </c>
      <c r="C2123" t="s">
        <v>4855</v>
      </c>
      <c r="D2123" t="s">
        <v>385</v>
      </c>
      <c r="E2123" s="133">
        <v>45841</v>
      </c>
      <c r="F2123" s="2">
        <v>0.11881944444444444</v>
      </c>
      <c r="G2123">
        <v>2</v>
      </c>
      <c r="H2123" s="133">
        <v>45840</v>
      </c>
      <c r="I2123" s="2">
        <v>0.61881944444444448</v>
      </c>
      <c r="J2123">
        <v>14</v>
      </c>
      <c r="R2123" t="s">
        <v>30</v>
      </c>
      <c r="W2123">
        <v>1</v>
      </c>
      <c r="X2123" t="s">
        <v>30</v>
      </c>
      <c r="AC2123" t="s">
        <v>4856</v>
      </c>
      <c r="AE2123" s="135"/>
    </row>
    <row r="2124" spans="1:31" ht="12.5" customHeight="1" x14ac:dyDescent="0.35">
      <c r="A2124" t="s">
        <v>396</v>
      </c>
      <c r="C2124" t="s">
        <v>4857</v>
      </c>
      <c r="D2124" t="s">
        <v>385</v>
      </c>
      <c r="E2124" s="133">
        <v>45841</v>
      </c>
      <c r="F2124" s="2">
        <v>0.11891203703703705</v>
      </c>
      <c r="G2124">
        <v>2</v>
      </c>
      <c r="H2124" s="133">
        <v>45840</v>
      </c>
      <c r="I2124" s="2">
        <v>0.61891203703703701</v>
      </c>
      <c r="J2124">
        <v>14</v>
      </c>
      <c r="R2124" t="s">
        <v>30</v>
      </c>
      <c r="W2124">
        <v>1</v>
      </c>
      <c r="X2124" t="s">
        <v>30</v>
      </c>
      <c r="AC2124" t="s">
        <v>4858</v>
      </c>
      <c r="AE2124" s="135"/>
    </row>
    <row r="2125" spans="1:31" ht="12.5" customHeight="1" x14ac:dyDescent="0.35">
      <c r="A2125" t="s">
        <v>396</v>
      </c>
      <c r="C2125" t="s">
        <v>4859</v>
      </c>
      <c r="D2125" t="s">
        <v>385</v>
      </c>
      <c r="E2125" s="133">
        <v>45841</v>
      </c>
      <c r="F2125" s="2">
        <v>0.11900462962962964</v>
      </c>
      <c r="G2125">
        <v>2</v>
      </c>
      <c r="H2125" s="133">
        <v>45840</v>
      </c>
      <c r="I2125" s="2">
        <v>0.61900462962962965</v>
      </c>
      <c r="J2125">
        <v>14</v>
      </c>
      <c r="R2125" t="s">
        <v>30</v>
      </c>
      <c r="W2125">
        <v>1</v>
      </c>
      <c r="X2125" t="s">
        <v>30</v>
      </c>
      <c r="AC2125" t="s">
        <v>4860</v>
      </c>
      <c r="AE2125" s="135"/>
    </row>
    <row r="2126" spans="1:31" ht="12.5" customHeight="1" x14ac:dyDescent="0.35">
      <c r="A2126" t="s">
        <v>396</v>
      </c>
      <c r="C2126" t="s">
        <v>4861</v>
      </c>
      <c r="D2126" t="s">
        <v>385</v>
      </c>
      <c r="E2126" s="133">
        <v>45841</v>
      </c>
      <c r="F2126" s="2">
        <v>0.11909722222222223</v>
      </c>
      <c r="G2126">
        <v>2</v>
      </c>
      <c r="H2126" s="133">
        <v>45840</v>
      </c>
      <c r="I2126" s="2">
        <v>0.61909722222222219</v>
      </c>
      <c r="J2126">
        <v>14</v>
      </c>
      <c r="R2126" t="s">
        <v>30</v>
      </c>
      <c r="W2126">
        <v>1</v>
      </c>
      <c r="X2126" t="s">
        <v>30</v>
      </c>
      <c r="AC2126" t="s">
        <v>4862</v>
      </c>
      <c r="AE2126" s="135"/>
    </row>
    <row r="2127" spans="1:31" ht="12.5" customHeight="1" x14ac:dyDescent="0.35">
      <c r="A2127" t="s">
        <v>396</v>
      </c>
      <c r="C2127" t="s">
        <v>4863</v>
      </c>
      <c r="D2127" t="s">
        <v>385</v>
      </c>
      <c r="E2127" s="133">
        <v>45841</v>
      </c>
      <c r="F2127" s="2">
        <v>0.11921296296296297</v>
      </c>
      <c r="G2127">
        <v>2</v>
      </c>
      <c r="H2127" s="133">
        <v>45840</v>
      </c>
      <c r="I2127" s="2">
        <v>0.61921296296296291</v>
      </c>
      <c r="J2127">
        <v>14</v>
      </c>
      <c r="R2127" t="s">
        <v>30</v>
      </c>
      <c r="W2127">
        <v>1</v>
      </c>
      <c r="X2127" t="s">
        <v>30</v>
      </c>
      <c r="AC2127" t="s">
        <v>4864</v>
      </c>
      <c r="AE2127" s="135"/>
    </row>
    <row r="2128" spans="1:31" ht="12.5" customHeight="1" x14ac:dyDescent="0.35">
      <c r="A2128" t="s">
        <v>396</v>
      </c>
      <c r="C2128" t="s">
        <v>4865</v>
      </c>
      <c r="D2128" t="s">
        <v>385</v>
      </c>
      <c r="E2128" s="133">
        <v>45841</v>
      </c>
      <c r="F2128" s="2">
        <v>0.11930555555555555</v>
      </c>
      <c r="G2128">
        <v>2</v>
      </c>
      <c r="H2128" s="133">
        <v>45840</v>
      </c>
      <c r="I2128" s="2">
        <v>0.61930555555555555</v>
      </c>
      <c r="J2128">
        <v>14</v>
      </c>
      <c r="R2128" t="s">
        <v>30</v>
      </c>
      <c r="W2128">
        <v>1</v>
      </c>
      <c r="X2128" t="s">
        <v>30</v>
      </c>
      <c r="AC2128" t="s">
        <v>4866</v>
      </c>
      <c r="AE2128" s="135"/>
    </row>
    <row r="2129" spans="1:31" ht="12.5" customHeight="1" x14ac:dyDescent="0.35">
      <c r="A2129" t="s">
        <v>396</v>
      </c>
      <c r="C2129" t="s">
        <v>4867</v>
      </c>
      <c r="D2129" t="s">
        <v>385</v>
      </c>
      <c r="E2129" s="133">
        <v>45841</v>
      </c>
      <c r="F2129" s="2">
        <v>0.11937500000000001</v>
      </c>
      <c r="G2129">
        <v>2</v>
      </c>
      <c r="H2129" s="133">
        <v>45840</v>
      </c>
      <c r="I2129" s="2">
        <v>0.61937500000000001</v>
      </c>
      <c r="J2129">
        <v>14</v>
      </c>
      <c r="R2129" t="s">
        <v>30</v>
      </c>
      <c r="W2129">
        <v>1</v>
      </c>
      <c r="X2129" t="s">
        <v>30</v>
      </c>
      <c r="AC2129" t="s">
        <v>4868</v>
      </c>
      <c r="AE2129" s="135"/>
    </row>
    <row r="2130" spans="1:31" ht="12.5" customHeight="1" x14ac:dyDescent="0.35">
      <c r="A2130" t="s">
        <v>396</v>
      </c>
      <c r="C2130" t="s">
        <v>4869</v>
      </c>
      <c r="D2130" t="s">
        <v>385</v>
      </c>
      <c r="E2130" s="133">
        <v>45841</v>
      </c>
      <c r="F2130" s="2">
        <v>0.1194675925925926</v>
      </c>
      <c r="G2130">
        <v>2</v>
      </c>
      <c r="H2130" s="133">
        <v>45840</v>
      </c>
      <c r="I2130" s="2">
        <v>0.61946759259259265</v>
      </c>
      <c r="J2130">
        <v>14</v>
      </c>
      <c r="R2130" t="s">
        <v>30</v>
      </c>
      <c r="W2130">
        <v>1</v>
      </c>
      <c r="X2130" t="s">
        <v>30</v>
      </c>
      <c r="AC2130" t="s">
        <v>4870</v>
      </c>
      <c r="AE2130" s="135"/>
    </row>
    <row r="2131" spans="1:31" ht="12.5" customHeight="1" x14ac:dyDescent="0.35">
      <c r="A2131" t="s">
        <v>396</v>
      </c>
      <c r="C2131" t="s">
        <v>4871</v>
      </c>
      <c r="D2131" t="s">
        <v>385</v>
      </c>
      <c r="E2131" s="133">
        <v>45841</v>
      </c>
      <c r="F2131" s="2">
        <v>0.11953703703703704</v>
      </c>
      <c r="G2131">
        <v>2</v>
      </c>
      <c r="H2131" s="133">
        <v>45840</v>
      </c>
      <c r="I2131" s="2">
        <v>0.61953703703703711</v>
      </c>
      <c r="J2131">
        <v>14</v>
      </c>
      <c r="R2131" t="s">
        <v>30</v>
      </c>
      <c r="W2131">
        <v>1</v>
      </c>
      <c r="X2131" t="s">
        <v>30</v>
      </c>
      <c r="AC2131" t="s">
        <v>4872</v>
      </c>
      <c r="AE2131" s="135"/>
    </row>
    <row r="2132" spans="1:31" ht="12.5" customHeight="1" x14ac:dyDescent="0.35">
      <c r="A2132" t="s">
        <v>396</v>
      </c>
      <c r="C2132" t="s">
        <v>4873</v>
      </c>
      <c r="D2132" t="s">
        <v>385</v>
      </c>
      <c r="E2132" s="133">
        <v>45841</v>
      </c>
      <c r="F2132" s="2">
        <v>0.11965277777777777</v>
      </c>
      <c r="G2132">
        <v>2</v>
      </c>
      <c r="H2132" s="133">
        <v>45840</v>
      </c>
      <c r="I2132" s="2">
        <v>0.61965277777777772</v>
      </c>
      <c r="J2132">
        <v>14</v>
      </c>
      <c r="R2132" t="s">
        <v>30</v>
      </c>
      <c r="W2132">
        <v>1</v>
      </c>
      <c r="X2132" t="s">
        <v>30</v>
      </c>
      <c r="AC2132" t="s">
        <v>4874</v>
      </c>
      <c r="AE2132" s="135"/>
    </row>
    <row r="2133" spans="1:31" ht="12.5" customHeight="1" x14ac:dyDescent="0.35">
      <c r="A2133" t="s">
        <v>396</v>
      </c>
      <c r="C2133" t="s">
        <v>4875</v>
      </c>
      <c r="D2133" t="s">
        <v>385</v>
      </c>
      <c r="E2133" s="133">
        <v>45841</v>
      </c>
      <c r="F2133" s="2">
        <v>0.11974537037037036</v>
      </c>
      <c r="G2133">
        <v>2</v>
      </c>
      <c r="H2133" s="133">
        <v>45840</v>
      </c>
      <c r="I2133" s="2">
        <v>0.61974537037037036</v>
      </c>
      <c r="J2133">
        <v>14</v>
      </c>
      <c r="R2133" t="s">
        <v>30</v>
      </c>
      <c r="W2133">
        <v>1</v>
      </c>
      <c r="X2133" t="s">
        <v>30</v>
      </c>
      <c r="AC2133" t="s">
        <v>4876</v>
      </c>
      <c r="AE2133" s="135"/>
    </row>
    <row r="2134" spans="1:31" ht="12.5" customHeight="1" x14ac:dyDescent="0.35">
      <c r="A2134" t="s">
        <v>396</v>
      </c>
      <c r="C2134" t="s">
        <v>4877</v>
      </c>
      <c r="D2134" t="s">
        <v>385</v>
      </c>
      <c r="E2134" s="133">
        <v>45841</v>
      </c>
      <c r="F2134" s="2">
        <v>0.11983796296296297</v>
      </c>
      <c r="G2134">
        <v>2</v>
      </c>
      <c r="H2134" s="133">
        <v>45840</v>
      </c>
      <c r="I2134" s="2">
        <v>0.61983796296296301</v>
      </c>
      <c r="J2134">
        <v>14</v>
      </c>
      <c r="R2134" t="s">
        <v>30</v>
      </c>
      <c r="W2134">
        <v>1</v>
      </c>
      <c r="X2134" t="s">
        <v>30</v>
      </c>
      <c r="AC2134" t="s">
        <v>4878</v>
      </c>
      <c r="AE2134" s="135"/>
    </row>
    <row r="2135" spans="1:31" ht="12.5" customHeight="1" x14ac:dyDescent="0.35">
      <c r="A2135" t="s">
        <v>396</v>
      </c>
      <c r="C2135" t="s">
        <v>4879</v>
      </c>
      <c r="D2135" t="s">
        <v>385</v>
      </c>
      <c r="E2135" s="133">
        <v>45841</v>
      </c>
      <c r="F2135" s="2">
        <v>0.11993055555555555</v>
      </c>
      <c r="G2135">
        <v>2</v>
      </c>
      <c r="H2135" s="133">
        <v>45840</v>
      </c>
      <c r="I2135" s="2">
        <v>0.61993055555555554</v>
      </c>
      <c r="J2135">
        <v>14</v>
      </c>
      <c r="R2135" t="s">
        <v>30</v>
      </c>
      <c r="W2135">
        <v>1</v>
      </c>
      <c r="X2135" t="s">
        <v>30</v>
      </c>
      <c r="AC2135" t="s">
        <v>4880</v>
      </c>
      <c r="AE2135" s="135"/>
    </row>
    <row r="2136" spans="1:31" ht="12.5" customHeight="1" x14ac:dyDescent="0.35">
      <c r="A2136" t="s">
        <v>396</v>
      </c>
      <c r="C2136" t="s">
        <v>4881</v>
      </c>
      <c r="D2136" t="s">
        <v>385</v>
      </c>
      <c r="E2136" s="133">
        <v>45841</v>
      </c>
      <c r="F2136" s="2">
        <v>0.1200462962962963</v>
      </c>
      <c r="G2136">
        <v>2</v>
      </c>
      <c r="H2136" s="133">
        <v>45840</v>
      </c>
      <c r="I2136" s="2">
        <v>0.62004629629629626</v>
      </c>
      <c r="J2136">
        <v>14</v>
      </c>
      <c r="R2136" t="s">
        <v>30</v>
      </c>
      <c r="W2136">
        <v>1</v>
      </c>
      <c r="X2136" t="s">
        <v>30</v>
      </c>
      <c r="AC2136" t="s">
        <v>4882</v>
      </c>
      <c r="AE2136" s="135"/>
    </row>
    <row r="2137" spans="1:31" ht="12.5" customHeight="1" x14ac:dyDescent="0.35">
      <c r="A2137" t="s">
        <v>396</v>
      </c>
      <c r="C2137" t="s">
        <v>4883</v>
      </c>
      <c r="D2137" t="s">
        <v>385</v>
      </c>
      <c r="E2137" s="133">
        <v>45841</v>
      </c>
      <c r="F2137" s="2">
        <v>0.12013888888888889</v>
      </c>
      <c r="G2137">
        <v>2</v>
      </c>
      <c r="H2137" s="133">
        <v>45840</v>
      </c>
      <c r="I2137" s="2">
        <v>0.62013888888888891</v>
      </c>
      <c r="J2137">
        <v>14</v>
      </c>
      <c r="R2137" t="s">
        <v>30</v>
      </c>
      <c r="W2137">
        <v>1</v>
      </c>
      <c r="X2137" t="s">
        <v>30</v>
      </c>
      <c r="AC2137" t="s">
        <v>4884</v>
      </c>
      <c r="AE2137" s="135"/>
    </row>
    <row r="2138" spans="1:31" ht="12.5" customHeight="1" x14ac:dyDescent="0.35">
      <c r="A2138" t="s">
        <v>396</v>
      </c>
      <c r="C2138" t="s">
        <v>4885</v>
      </c>
      <c r="D2138" t="s">
        <v>385</v>
      </c>
      <c r="E2138" s="133">
        <v>45841</v>
      </c>
      <c r="F2138" s="2">
        <v>0.12020833333333332</v>
      </c>
      <c r="G2138">
        <v>2</v>
      </c>
      <c r="H2138" s="133">
        <v>45840</v>
      </c>
      <c r="I2138" s="2">
        <v>0.62020833333333336</v>
      </c>
      <c r="J2138">
        <v>14</v>
      </c>
      <c r="R2138" t="s">
        <v>30</v>
      </c>
      <c r="W2138">
        <v>1</v>
      </c>
      <c r="X2138" t="s">
        <v>30</v>
      </c>
      <c r="AC2138" t="s">
        <v>4886</v>
      </c>
      <c r="AE2138" s="135"/>
    </row>
    <row r="2139" spans="1:31" ht="12.5" customHeight="1" x14ac:dyDescent="0.35">
      <c r="A2139" t="s">
        <v>396</v>
      </c>
      <c r="C2139" t="s">
        <v>4887</v>
      </c>
      <c r="D2139" t="s">
        <v>385</v>
      </c>
      <c r="E2139" s="133">
        <v>45841</v>
      </c>
      <c r="F2139" s="2">
        <v>0.12030092592592594</v>
      </c>
      <c r="G2139">
        <v>2</v>
      </c>
      <c r="H2139" s="133">
        <v>45840</v>
      </c>
      <c r="I2139" s="2">
        <v>0.62030092592592589</v>
      </c>
      <c r="J2139">
        <v>14</v>
      </c>
      <c r="R2139" t="s">
        <v>30</v>
      </c>
      <c r="W2139">
        <v>1</v>
      </c>
      <c r="X2139" t="s">
        <v>30</v>
      </c>
      <c r="AC2139" t="s">
        <v>4888</v>
      </c>
      <c r="AE2139" s="135"/>
    </row>
    <row r="2140" spans="1:31" ht="12.5" customHeight="1" x14ac:dyDescent="0.35">
      <c r="A2140" t="s">
        <v>396</v>
      </c>
      <c r="C2140" t="s">
        <v>4889</v>
      </c>
      <c r="D2140" t="s">
        <v>385</v>
      </c>
      <c r="E2140" s="133">
        <v>45841</v>
      </c>
      <c r="F2140" s="2">
        <v>0.12039351851851852</v>
      </c>
      <c r="G2140">
        <v>2</v>
      </c>
      <c r="H2140" s="133">
        <v>45840</v>
      </c>
      <c r="I2140" s="2">
        <v>0.62039351851851854</v>
      </c>
      <c r="J2140">
        <v>14</v>
      </c>
      <c r="R2140" t="s">
        <v>30</v>
      </c>
      <c r="W2140">
        <v>1</v>
      </c>
      <c r="X2140" t="s">
        <v>30</v>
      </c>
      <c r="AC2140" t="s">
        <v>4890</v>
      </c>
      <c r="AE2140" s="135"/>
    </row>
    <row r="2141" spans="1:31" ht="12.5" customHeight="1" x14ac:dyDescent="0.35">
      <c r="A2141" t="s">
        <v>396</v>
      </c>
      <c r="C2141" t="s">
        <v>4891</v>
      </c>
      <c r="D2141" t="s">
        <v>385</v>
      </c>
      <c r="E2141" s="133">
        <v>45841</v>
      </c>
      <c r="F2141" s="2">
        <v>0.12048611111111111</v>
      </c>
      <c r="G2141">
        <v>2</v>
      </c>
      <c r="H2141" s="133">
        <v>45840</v>
      </c>
      <c r="I2141" s="2">
        <v>0.62048611111111118</v>
      </c>
      <c r="J2141">
        <v>14</v>
      </c>
      <c r="R2141" t="s">
        <v>30</v>
      </c>
      <c r="W2141">
        <v>1</v>
      </c>
      <c r="X2141" t="s">
        <v>30</v>
      </c>
      <c r="AC2141" t="s">
        <v>4892</v>
      </c>
      <c r="AE2141" s="135"/>
    </row>
    <row r="2142" spans="1:31" ht="12.5" customHeight="1" x14ac:dyDescent="0.35">
      <c r="A2142" t="s">
        <v>396</v>
      </c>
      <c r="C2142" t="s">
        <v>4893</v>
      </c>
      <c r="D2142" t="s">
        <v>385</v>
      </c>
      <c r="E2142" s="133">
        <v>45841</v>
      </c>
      <c r="F2142" s="2">
        <v>0.12060185185185185</v>
      </c>
      <c r="G2142">
        <v>2</v>
      </c>
      <c r="H2142" s="133">
        <v>45840</v>
      </c>
      <c r="I2142" s="2">
        <v>0.62060185185185179</v>
      </c>
      <c r="J2142">
        <v>14</v>
      </c>
      <c r="R2142" t="s">
        <v>30</v>
      </c>
      <c r="W2142">
        <v>1</v>
      </c>
      <c r="X2142" t="s">
        <v>30</v>
      </c>
      <c r="AC2142" t="s">
        <v>4894</v>
      </c>
      <c r="AE2142" s="135"/>
    </row>
    <row r="2143" spans="1:31" ht="12.5" customHeight="1" x14ac:dyDescent="0.35">
      <c r="A2143" t="s">
        <v>396</v>
      </c>
      <c r="C2143" t="s">
        <v>4895</v>
      </c>
      <c r="D2143" t="s">
        <v>385</v>
      </c>
      <c r="E2143" s="133">
        <v>45841</v>
      </c>
      <c r="F2143" s="2">
        <v>0.12069444444444444</v>
      </c>
      <c r="G2143">
        <v>2</v>
      </c>
      <c r="H2143" s="133">
        <v>45840</v>
      </c>
      <c r="I2143" s="2">
        <v>0.62069444444444444</v>
      </c>
      <c r="J2143">
        <v>14</v>
      </c>
      <c r="R2143" t="s">
        <v>30</v>
      </c>
      <c r="W2143">
        <v>1</v>
      </c>
      <c r="X2143" t="s">
        <v>30</v>
      </c>
      <c r="AC2143" t="s">
        <v>4896</v>
      </c>
      <c r="AE2143" s="135"/>
    </row>
    <row r="2144" spans="1:31" ht="12.5" customHeight="1" x14ac:dyDescent="0.35">
      <c r="A2144" t="s">
        <v>396</v>
      </c>
      <c r="C2144" t="s">
        <v>4897</v>
      </c>
      <c r="D2144" t="s">
        <v>385</v>
      </c>
      <c r="E2144" s="133">
        <v>45841</v>
      </c>
      <c r="F2144" s="2">
        <v>0.12087962962962963</v>
      </c>
      <c r="G2144">
        <v>2</v>
      </c>
      <c r="H2144" s="133">
        <v>45840</v>
      </c>
      <c r="I2144" s="2">
        <v>0.62087962962962961</v>
      </c>
      <c r="J2144">
        <v>14</v>
      </c>
      <c r="R2144" t="s">
        <v>30</v>
      </c>
      <c r="W2144">
        <v>1</v>
      </c>
      <c r="X2144" t="s">
        <v>30</v>
      </c>
      <c r="AC2144" t="s">
        <v>4898</v>
      </c>
      <c r="AE2144" s="135"/>
    </row>
    <row r="2145" spans="1:31" ht="12.5" customHeight="1" x14ac:dyDescent="0.35">
      <c r="A2145" t="s">
        <v>396</v>
      </c>
      <c r="C2145" t="s">
        <v>4899</v>
      </c>
      <c r="D2145" t="s">
        <v>385</v>
      </c>
      <c r="E2145" s="133">
        <v>45841</v>
      </c>
      <c r="F2145" s="2">
        <v>0.12094907407407407</v>
      </c>
      <c r="G2145">
        <v>2</v>
      </c>
      <c r="H2145" s="133">
        <v>45840</v>
      </c>
      <c r="I2145" s="2">
        <v>0.62094907407407407</v>
      </c>
      <c r="J2145">
        <v>14</v>
      </c>
      <c r="R2145" t="s">
        <v>30</v>
      </c>
      <c r="W2145">
        <v>1</v>
      </c>
      <c r="X2145" t="s">
        <v>30</v>
      </c>
      <c r="AC2145" t="s">
        <v>4900</v>
      </c>
      <c r="AE2145" s="135"/>
    </row>
    <row r="2146" spans="1:31" ht="12.5" customHeight="1" x14ac:dyDescent="0.35">
      <c r="A2146" t="s">
        <v>396</v>
      </c>
      <c r="C2146" t="s">
        <v>4901</v>
      </c>
      <c r="D2146" t="s">
        <v>385</v>
      </c>
      <c r="E2146" s="133">
        <v>45841</v>
      </c>
      <c r="F2146" s="2">
        <v>0.12104166666666666</v>
      </c>
      <c r="G2146">
        <v>2</v>
      </c>
      <c r="H2146" s="133">
        <v>45840</v>
      </c>
      <c r="I2146" s="2">
        <v>0.6210416666666666</v>
      </c>
      <c r="J2146">
        <v>14</v>
      </c>
      <c r="R2146" t="s">
        <v>30</v>
      </c>
      <c r="W2146">
        <v>1</v>
      </c>
      <c r="X2146" t="s">
        <v>30</v>
      </c>
      <c r="AC2146" t="s">
        <v>4902</v>
      </c>
      <c r="AE2146" s="135"/>
    </row>
    <row r="2147" spans="1:31" ht="12.5" customHeight="1" x14ac:dyDescent="0.35">
      <c r="A2147" t="s">
        <v>396</v>
      </c>
      <c r="C2147" t="s">
        <v>4903</v>
      </c>
      <c r="D2147" t="s">
        <v>385</v>
      </c>
      <c r="E2147" s="133">
        <v>45841</v>
      </c>
      <c r="F2147" s="2">
        <v>0.12111111111111111</v>
      </c>
      <c r="G2147">
        <v>2</v>
      </c>
      <c r="H2147" s="133">
        <v>45840</v>
      </c>
      <c r="I2147" s="2">
        <v>0.62111111111111106</v>
      </c>
      <c r="J2147">
        <v>14</v>
      </c>
      <c r="R2147" t="s">
        <v>30</v>
      </c>
      <c r="W2147">
        <v>1</v>
      </c>
      <c r="X2147" t="s">
        <v>30</v>
      </c>
      <c r="AC2147" t="s">
        <v>4904</v>
      </c>
      <c r="AE2147" s="135"/>
    </row>
    <row r="2148" spans="1:31" ht="12.5" customHeight="1" x14ac:dyDescent="0.35">
      <c r="A2148" t="s">
        <v>396</v>
      </c>
      <c r="C2148" t="s">
        <v>4905</v>
      </c>
      <c r="D2148" t="s">
        <v>385</v>
      </c>
      <c r="E2148" s="133">
        <v>45841</v>
      </c>
      <c r="F2148" s="2">
        <v>0.12129629629629629</v>
      </c>
      <c r="G2148">
        <v>2</v>
      </c>
      <c r="H2148" s="133">
        <v>45840</v>
      </c>
      <c r="I2148" s="2">
        <v>0.62129629629629635</v>
      </c>
      <c r="J2148">
        <v>14</v>
      </c>
      <c r="R2148" t="s">
        <v>30</v>
      </c>
      <c r="W2148">
        <v>1</v>
      </c>
      <c r="X2148" t="s">
        <v>30</v>
      </c>
      <c r="AC2148" t="s">
        <v>4906</v>
      </c>
      <c r="AE2148" s="135"/>
    </row>
    <row r="2149" spans="1:31" ht="12.5" customHeight="1" x14ac:dyDescent="0.35">
      <c r="A2149" t="s">
        <v>396</v>
      </c>
      <c r="C2149" t="s">
        <v>4907</v>
      </c>
      <c r="D2149" t="s">
        <v>385</v>
      </c>
      <c r="E2149" s="133">
        <v>45841</v>
      </c>
      <c r="F2149" s="2">
        <v>0.12138888888888888</v>
      </c>
      <c r="G2149">
        <v>2</v>
      </c>
      <c r="H2149" s="133">
        <v>45840</v>
      </c>
      <c r="I2149" s="2">
        <v>0.62138888888888888</v>
      </c>
      <c r="J2149">
        <v>14</v>
      </c>
      <c r="R2149" t="s">
        <v>30</v>
      </c>
      <c r="W2149">
        <v>1</v>
      </c>
      <c r="X2149" t="s">
        <v>30</v>
      </c>
      <c r="AC2149" t="s">
        <v>4908</v>
      </c>
      <c r="AE2149" s="135"/>
    </row>
    <row r="2150" spans="1:31" ht="12.5" customHeight="1" x14ac:dyDescent="0.35">
      <c r="A2150" t="s">
        <v>396</v>
      </c>
      <c r="C2150" t="s">
        <v>4909</v>
      </c>
      <c r="D2150" t="s">
        <v>385</v>
      </c>
      <c r="E2150" s="133">
        <v>45841</v>
      </c>
      <c r="F2150" s="2">
        <v>0.12150462962962964</v>
      </c>
      <c r="G2150">
        <v>2</v>
      </c>
      <c r="H2150" s="133">
        <v>45840</v>
      </c>
      <c r="I2150" s="2">
        <v>0.6215046296296296</v>
      </c>
      <c r="J2150">
        <v>14</v>
      </c>
      <c r="R2150" t="s">
        <v>30</v>
      </c>
      <c r="W2150">
        <v>1</v>
      </c>
      <c r="X2150" t="s">
        <v>30</v>
      </c>
      <c r="AC2150" t="s">
        <v>4910</v>
      </c>
      <c r="AE2150" s="135"/>
    </row>
    <row r="2151" spans="1:31" ht="12.5" customHeight="1" x14ac:dyDescent="0.35">
      <c r="A2151" t="s">
        <v>396</v>
      </c>
      <c r="C2151" t="s">
        <v>4911</v>
      </c>
      <c r="D2151" t="s">
        <v>385</v>
      </c>
      <c r="E2151" s="133">
        <v>45841</v>
      </c>
      <c r="F2151" s="2">
        <v>0.12157407407407407</v>
      </c>
      <c r="G2151">
        <v>2</v>
      </c>
      <c r="H2151" s="133">
        <v>45840</v>
      </c>
      <c r="I2151" s="2">
        <v>0.62157407407407406</v>
      </c>
      <c r="J2151">
        <v>14</v>
      </c>
      <c r="R2151" t="s">
        <v>30</v>
      </c>
      <c r="W2151">
        <v>1</v>
      </c>
      <c r="X2151" t="s">
        <v>30</v>
      </c>
      <c r="AC2151" t="s">
        <v>4912</v>
      </c>
      <c r="AE2151" s="135"/>
    </row>
    <row r="2152" spans="1:31" ht="12.5" customHeight="1" x14ac:dyDescent="0.35">
      <c r="A2152" t="s">
        <v>396</v>
      </c>
      <c r="C2152" t="s">
        <v>4913</v>
      </c>
      <c r="D2152" t="s">
        <v>385</v>
      </c>
      <c r="E2152" s="133">
        <v>45841</v>
      </c>
      <c r="F2152" s="2">
        <v>0.12166666666666666</v>
      </c>
      <c r="G2152">
        <v>2</v>
      </c>
      <c r="H2152" s="133">
        <v>45840</v>
      </c>
      <c r="I2152" s="2">
        <v>0.6216666666666667</v>
      </c>
      <c r="J2152">
        <v>14</v>
      </c>
      <c r="R2152" t="s">
        <v>30</v>
      </c>
      <c r="W2152">
        <v>1</v>
      </c>
      <c r="X2152" t="s">
        <v>30</v>
      </c>
      <c r="AC2152" t="s">
        <v>4914</v>
      </c>
      <c r="AE2152" s="135"/>
    </row>
    <row r="2153" spans="1:31" ht="12.5" customHeight="1" x14ac:dyDescent="0.35">
      <c r="A2153" t="s">
        <v>396</v>
      </c>
      <c r="C2153" t="s">
        <v>4915</v>
      </c>
      <c r="D2153" t="s">
        <v>385</v>
      </c>
      <c r="E2153" s="133">
        <v>45841</v>
      </c>
      <c r="F2153" s="2">
        <v>0.12173611111111111</v>
      </c>
      <c r="G2153">
        <v>2</v>
      </c>
      <c r="H2153" s="133">
        <v>45840</v>
      </c>
      <c r="I2153" s="2">
        <v>0.62173611111111116</v>
      </c>
      <c r="J2153">
        <v>14</v>
      </c>
      <c r="R2153" t="s">
        <v>30</v>
      </c>
      <c r="W2153">
        <v>1</v>
      </c>
      <c r="X2153" t="s">
        <v>30</v>
      </c>
      <c r="AC2153" t="s">
        <v>4916</v>
      </c>
      <c r="AE2153" s="135"/>
    </row>
    <row r="2154" spans="1:31" ht="12.5" customHeight="1" x14ac:dyDescent="0.35">
      <c r="A2154" t="s">
        <v>396</v>
      </c>
      <c r="C2154" t="s">
        <v>4917</v>
      </c>
      <c r="D2154" t="s">
        <v>385</v>
      </c>
      <c r="E2154" s="133">
        <v>45841</v>
      </c>
      <c r="F2154" s="2">
        <v>0.1218287037037037</v>
      </c>
      <c r="G2154">
        <v>2</v>
      </c>
      <c r="H2154" s="133">
        <v>45840</v>
      </c>
      <c r="I2154" s="2">
        <v>0.62182870370370369</v>
      </c>
      <c r="J2154">
        <v>14</v>
      </c>
      <c r="R2154" t="s">
        <v>30</v>
      </c>
      <c r="W2154">
        <v>1</v>
      </c>
      <c r="X2154" t="s">
        <v>30</v>
      </c>
      <c r="AC2154" t="s">
        <v>4918</v>
      </c>
      <c r="AE2154" s="135"/>
    </row>
    <row r="2155" spans="1:31" ht="12.5" customHeight="1" x14ac:dyDescent="0.35">
      <c r="A2155" t="s">
        <v>396</v>
      </c>
      <c r="C2155" t="s">
        <v>4919</v>
      </c>
      <c r="D2155" t="s">
        <v>385</v>
      </c>
      <c r="E2155" s="133">
        <v>45841</v>
      </c>
      <c r="F2155" s="2">
        <v>0.12189814814814814</v>
      </c>
      <c r="G2155">
        <v>2</v>
      </c>
      <c r="H2155" s="133">
        <v>45840</v>
      </c>
      <c r="I2155" s="2">
        <v>0.62189814814814814</v>
      </c>
      <c r="J2155">
        <v>14</v>
      </c>
      <c r="R2155" t="s">
        <v>30</v>
      </c>
      <c r="W2155">
        <v>1</v>
      </c>
      <c r="X2155" t="s">
        <v>30</v>
      </c>
      <c r="AC2155" t="s">
        <v>4920</v>
      </c>
      <c r="AE2155" s="135"/>
    </row>
    <row r="2156" spans="1:31" ht="12.5" customHeight="1" x14ac:dyDescent="0.35">
      <c r="A2156" t="s">
        <v>396</v>
      </c>
      <c r="C2156" t="s">
        <v>4921</v>
      </c>
      <c r="D2156" t="s">
        <v>385</v>
      </c>
      <c r="E2156" s="133">
        <v>45841</v>
      </c>
      <c r="F2156" s="2">
        <v>0.12203703703703704</v>
      </c>
      <c r="G2156">
        <v>2</v>
      </c>
      <c r="H2156" s="133">
        <v>45840</v>
      </c>
      <c r="I2156" s="2">
        <v>0.62203703703703705</v>
      </c>
      <c r="J2156">
        <v>14</v>
      </c>
      <c r="R2156" t="s">
        <v>30</v>
      </c>
      <c r="W2156">
        <v>1</v>
      </c>
      <c r="X2156" t="s">
        <v>30</v>
      </c>
      <c r="AC2156" t="s">
        <v>4922</v>
      </c>
      <c r="AE2156" s="135"/>
    </row>
    <row r="2157" spans="1:31" ht="12.5" customHeight="1" x14ac:dyDescent="0.35">
      <c r="A2157" t="s">
        <v>396</v>
      </c>
      <c r="C2157" t="s">
        <v>4923</v>
      </c>
      <c r="D2157" t="s">
        <v>385</v>
      </c>
      <c r="E2157" s="133">
        <v>45841</v>
      </c>
      <c r="F2157" s="2">
        <v>0.12212962962962963</v>
      </c>
      <c r="G2157">
        <v>2</v>
      </c>
      <c r="H2157" s="133">
        <v>45840</v>
      </c>
      <c r="I2157" s="2">
        <v>0.62212962962962959</v>
      </c>
      <c r="J2157">
        <v>14</v>
      </c>
      <c r="R2157" t="s">
        <v>30</v>
      </c>
      <c r="W2157">
        <v>1</v>
      </c>
      <c r="X2157" t="s">
        <v>30</v>
      </c>
      <c r="AC2157" t="s">
        <v>4924</v>
      </c>
      <c r="AE2157" s="135"/>
    </row>
    <row r="2158" spans="1:31" ht="12.5" customHeight="1" x14ac:dyDescent="0.35">
      <c r="A2158" t="s">
        <v>396</v>
      </c>
      <c r="C2158" t="s">
        <v>4925</v>
      </c>
      <c r="D2158" t="s">
        <v>385</v>
      </c>
      <c r="E2158" s="133">
        <v>45841</v>
      </c>
      <c r="F2158" s="2">
        <v>0.12219907407407408</v>
      </c>
      <c r="G2158">
        <v>2</v>
      </c>
      <c r="H2158" s="133">
        <v>45840</v>
      </c>
      <c r="I2158" s="2">
        <v>0.62219907407407404</v>
      </c>
      <c r="J2158">
        <v>14</v>
      </c>
      <c r="R2158" t="s">
        <v>30</v>
      </c>
      <c r="W2158">
        <v>1</v>
      </c>
      <c r="X2158" t="s">
        <v>30</v>
      </c>
      <c r="AC2158" t="s">
        <v>4926</v>
      </c>
      <c r="AE2158" s="135"/>
    </row>
    <row r="2159" spans="1:31" ht="12.5" customHeight="1" x14ac:dyDescent="0.35">
      <c r="A2159" t="s">
        <v>396</v>
      </c>
      <c r="C2159" t="s">
        <v>4927</v>
      </c>
      <c r="D2159" t="s">
        <v>385</v>
      </c>
      <c r="E2159" s="133">
        <v>45841</v>
      </c>
      <c r="F2159" s="2">
        <v>0.12229166666666667</v>
      </c>
      <c r="G2159">
        <v>2</v>
      </c>
      <c r="H2159" s="133">
        <v>45840</v>
      </c>
      <c r="I2159" s="2">
        <v>0.62229166666666669</v>
      </c>
      <c r="J2159">
        <v>14</v>
      </c>
      <c r="R2159" t="s">
        <v>30</v>
      </c>
      <c r="W2159">
        <v>1</v>
      </c>
      <c r="X2159" t="s">
        <v>30</v>
      </c>
      <c r="AC2159" t="s">
        <v>4928</v>
      </c>
      <c r="AE2159" s="135"/>
    </row>
    <row r="2160" spans="1:31" ht="12.5" customHeight="1" x14ac:dyDescent="0.35">
      <c r="A2160" t="s">
        <v>396</v>
      </c>
      <c r="C2160" t="s">
        <v>4929</v>
      </c>
      <c r="D2160" t="s">
        <v>385</v>
      </c>
      <c r="E2160" s="133">
        <v>45841</v>
      </c>
      <c r="F2160" s="2">
        <v>0.12238425925925926</v>
      </c>
      <c r="G2160">
        <v>2</v>
      </c>
      <c r="H2160" s="133">
        <v>45840</v>
      </c>
      <c r="I2160" s="2">
        <v>0.62238425925925933</v>
      </c>
      <c r="J2160">
        <v>14</v>
      </c>
      <c r="R2160" t="s">
        <v>30</v>
      </c>
      <c r="W2160">
        <v>1</v>
      </c>
      <c r="X2160" t="s">
        <v>30</v>
      </c>
      <c r="AC2160" t="s">
        <v>4930</v>
      </c>
      <c r="AE2160" s="135"/>
    </row>
    <row r="2161" spans="1:31" ht="12.5" customHeight="1" x14ac:dyDescent="0.35">
      <c r="A2161" t="s">
        <v>396</v>
      </c>
      <c r="C2161" t="s">
        <v>4931</v>
      </c>
      <c r="D2161" t="s">
        <v>385</v>
      </c>
      <c r="E2161" s="133">
        <v>45841</v>
      </c>
      <c r="F2161" s="2">
        <v>0.12247685185185185</v>
      </c>
      <c r="G2161">
        <v>2</v>
      </c>
      <c r="H2161" s="133">
        <v>45840</v>
      </c>
      <c r="I2161" s="2">
        <v>0.62247685185185186</v>
      </c>
      <c r="J2161">
        <v>14</v>
      </c>
      <c r="R2161" t="s">
        <v>30</v>
      </c>
      <c r="W2161">
        <v>1</v>
      </c>
      <c r="X2161" t="s">
        <v>30</v>
      </c>
      <c r="AC2161" t="s">
        <v>4932</v>
      </c>
      <c r="AE2161" s="135"/>
    </row>
    <row r="2162" spans="1:31" ht="12.5" customHeight="1" x14ac:dyDescent="0.35">
      <c r="A2162" t="s">
        <v>396</v>
      </c>
      <c r="C2162" t="s">
        <v>4933</v>
      </c>
      <c r="D2162" t="s">
        <v>385</v>
      </c>
      <c r="E2162" s="133">
        <v>45841</v>
      </c>
      <c r="F2162" s="2">
        <v>0.12256944444444444</v>
      </c>
      <c r="G2162">
        <v>2</v>
      </c>
      <c r="H2162" s="133">
        <v>45840</v>
      </c>
      <c r="I2162" s="2">
        <v>0.6225694444444444</v>
      </c>
      <c r="J2162">
        <v>14</v>
      </c>
      <c r="K2162" t="s">
        <v>434</v>
      </c>
      <c r="R2162" t="s">
        <v>384</v>
      </c>
      <c r="S2162">
        <v>6</v>
      </c>
      <c r="T2162">
        <v>5</v>
      </c>
      <c r="U2162" t="s">
        <v>476</v>
      </c>
      <c r="V2162" t="s">
        <v>4934</v>
      </c>
      <c r="W2162">
        <v>1</v>
      </c>
      <c r="X2162" t="s">
        <v>282</v>
      </c>
      <c r="AC2162" t="s">
        <v>4935</v>
      </c>
      <c r="AE2162" s="135"/>
    </row>
    <row r="2163" spans="1:31" ht="12.5" customHeight="1" x14ac:dyDescent="0.35">
      <c r="A2163" t="s">
        <v>396</v>
      </c>
      <c r="C2163" t="s">
        <v>4936</v>
      </c>
      <c r="D2163" t="s">
        <v>385</v>
      </c>
      <c r="E2163" s="133">
        <v>45841</v>
      </c>
      <c r="F2163" s="2">
        <v>0.12266203703703704</v>
      </c>
      <c r="G2163">
        <v>2</v>
      </c>
      <c r="H2163" s="133">
        <v>45840</v>
      </c>
      <c r="I2163" s="2">
        <v>0.62266203703703704</v>
      </c>
      <c r="J2163">
        <v>14</v>
      </c>
      <c r="K2163" t="s">
        <v>390</v>
      </c>
      <c r="R2163" t="s">
        <v>384</v>
      </c>
      <c r="S2163">
        <v>7</v>
      </c>
      <c r="T2163">
        <v>6</v>
      </c>
      <c r="U2163" t="s">
        <v>922</v>
      </c>
      <c r="V2163" t="s">
        <v>4937</v>
      </c>
      <c r="W2163">
        <v>1</v>
      </c>
      <c r="X2163" t="s">
        <v>282</v>
      </c>
      <c r="AC2163" t="s">
        <v>4938</v>
      </c>
      <c r="AE2163" s="135"/>
    </row>
    <row r="2164" spans="1:31" ht="12.5" customHeight="1" x14ac:dyDescent="0.35">
      <c r="A2164" t="s">
        <v>396</v>
      </c>
      <c r="C2164" t="s">
        <v>4939</v>
      </c>
      <c r="D2164" t="s">
        <v>385</v>
      </c>
      <c r="E2164" s="133">
        <v>45841</v>
      </c>
      <c r="F2164" s="2">
        <v>0.12273148148148148</v>
      </c>
      <c r="G2164">
        <v>2</v>
      </c>
      <c r="H2164" s="133">
        <v>45840</v>
      </c>
      <c r="I2164" s="2">
        <v>0.6227314814814815</v>
      </c>
      <c r="J2164">
        <v>14</v>
      </c>
      <c r="K2164" t="s">
        <v>434</v>
      </c>
      <c r="R2164" t="s">
        <v>384</v>
      </c>
      <c r="S2164">
        <v>12</v>
      </c>
      <c r="T2164">
        <v>6</v>
      </c>
      <c r="U2164" t="s">
        <v>449</v>
      </c>
      <c r="V2164" t="s">
        <v>4940</v>
      </c>
      <c r="W2164">
        <v>1</v>
      </c>
      <c r="X2164" t="s">
        <v>282</v>
      </c>
      <c r="AC2164" t="s">
        <v>4941</v>
      </c>
      <c r="AE2164" s="135"/>
    </row>
    <row r="2165" spans="1:31" ht="12.5" customHeight="1" x14ac:dyDescent="0.35">
      <c r="A2165" t="s">
        <v>396</v>
      </c>
      <c r="C2165" t="s">
        <v>4942</v>
      </c>
      <c r="D2165" t="s">
        <v>385</v>
      </c>
      <c r="E2165" s="133">
        <v>45841</v>
      </c>
      <c r="F2165" s="2">
        <v>0.12282407407407407</v>
      </c>
      <c r="G2165">
        <v>2</v>
      </c>
      <c r="H2165" s="133">
        <v>45840</v>
      </c>
      <c r="I2165" s="2">
        <v>0.62282407407407414</v>
      </c>
      <c r="J2165">
        <v>14</v>
      </c>
      <c r="K2165" t="s">
        <v>390</v>
      </c>
      <c r="L2165" t="s">
        <v>434</v>
      </c>
      <c r="R2165" t="s">
        <v>384</v>
      </c>
      <c r="S2165">
        <v>14</v>
      </c>
      <c r="T2165">
        <v>9</v>
      </c>
      <c r="U2165" t="s">
        <v>1637</v>
      </c>
      <c r="V2165" t="s">
        <v>4943</v>
      </c>
      <c r="W2165">
        <v>1</v>
      </c>
      <c r="X2165" t="s">
        <v>282</v>
      </c>
      <c r="AC2165" t="s">
        <v>4944</v>
      </c>
      <c r="AE2165" s="135"/>
    </row>
    <row r="2166" spans="1:31" ht="12.5" customHeight="1" x14ac:dyDescent="0.35">
      <c r="A2166" t="s">
        <v>396</v>
      </c>
      <c r="C2166" t="s">
        <v>4945</v>
      </c>
      <c r="D2166" t="s">
        <v>385</v>
      </c>
      <c r="E2166" s="133">
        <v>45841</v>
      </c>
      <c r="F2166" s="2">
        <v>0.12291666666666667</v>
      </c>
      <c r="G2166">
        <v>2</v>
      </c>
      <c r="H2166" s="133">
        <v>45840</v>
      </c>
      <c r="I2166" s="2">
        <v>0.62291666666666667</v>
      </c>
      <c r="J2166">
        <v>14</v>
      </c>
      <c r="R2166" t="s">
        <v>384</v>
      </c>
      <c r="S2166">
        <v>13</v>
      </c>
      <c r="T2166">
        <v>11</v>
      </c>
      <c r="U2166" t="s">
        <v>909</v>
      </c>
      <c r="V2166" t="s">
        <v>4946</v>
      </c>
      <c r="W2166">
        <v>1</v>
      </c>
      <c r="X2166" t="s">
        <v>282</v>
      </c>
      <c r="AC2166" t="s">
        <v>4947</v>
      </c>
      <c r="AE2166" s="135"/>
    </row>
    <row r="2167" spans="1:31" ht="12.5" customHeight="1" x14ac:dyDescent="0.35">
      <c r="A2167" t="s">
        <v>396</v>
      </c>
      <c r="C2167" t="s">
        <v>4948</v>
      </c>
      <c r="D2167" t="s">
        <v>385</v>
      </c>
      <c r="E2167" s="133">
        <v>45841</v>
      </c>
      <c r="F2167" s="2">
        <v>0.12298611111111112</v>
      </c>
      <c r="G2167">
        <v>2</v>
      </c>
      <c r="H2167" s="133">
        <v>45840</v>
      </c>
      <c r="I2167" s="2">
        <v>0.62298611111111113</v>
      </c>
      <c r="J2167">
        <v>14</v>
      </c>
      <c r="K2167" t="s">
        <v>434</v>
      </c>
      <c r="R2167" t="s">
        <v>384</v>
      </c>
      <c r="S2167">
        <v>11</v>
      </c>
      <c r="T2167">
        <v>10</v>
      </c>
      <c r="U2167" t="s">
        <v>787</v>
      </c>
      <c r="V2167" t="s">
        <v>4949</v>
      </c>
      <c r="W2167">
        <v>1</v>
      </c>
      <c r="X2167" t="s">
        <v>282</v>
      </c>
      <c r="AC2167" t="s">
        <v>4950</v>
      </c>
      <c r="AE2167" s="135"/>
    </row>
    <row r="2168" spans="1:31" ht="12.5" customHeight="1" x14ac:dyDescent="0.35">
      <c r="A2168" t="s">
        <v>396</v>
      </c>
      <c r="C2168" t="s">
        <v>4951</v>
      </c>
      <c r="D2168" t="s">
        <v>385</v>
      </c>
      <c r="E2168" s="133">
        <v>45841</v>
      </c>
      <c r="F2168" s="2">
        <v>0.12314814814814816</v>
      </c>
      <c r="G2168">
        <v>2</v>
      </c>
      <c r="H2168" s="133">
        <v>45840</v>
      </c>
      <c r="I2168" s="2">
        <v>0.62314814814814812</v>
      </c>
      <c r="J2168">
        <v>14</v>
      </c>
      <c r="R2168" t="s">
        <v>384</v>
      </c>
      <c r="S2168">
        <v>19</v>
      </c>
      <c r="T2168">
        <v>15</v>
      </c>
      <c r="U2168" t="s">
        <v>1370</v>
      </c>
      <c r="V2168" t="s">
        <v>4952</v>
      </c>
      <c r="W2168">
        <v>1</v>
      </c>
      <c r="X2168" t="s">
        <v>282</v>
      </c>
      <c r="AC2168" t="s">
        <v>4953</v>
      </c>
      <c r="AE2168" s="135"/>
    </row>
    <row r="2169" spans="1:31" ht="12.5" customHeight="1" x14ac:dyDescent="0.35">
      <c r="A2169" t="s">
        <v>396</v>
      </c>
      <c r="C2169" t="s">
        <v>4954</v>
      </c>
      <c r="D2169" t="s">
        <v>385</v>
      </c>
      <c r="E2169" s="133">
        <v>45841</v>
      </c>
      <c r="F2169" s="2">
        <v>0.1232638888888889</v>
      </c>
      <c r="G2169">
        <v>2</v>
      </c>
      <c r="H2169" s="133">
        <v>45840</v>
      </c>
      <c r="I2169" s="2">
        <v>0.62326388888888895</v>
      </c>
      <c r="J2169">
        <v>14</v>
      </c>
      <c r="K2169" t="s">
        <v>1108</v>
      </c>
      <c r="R2169" t="s">
        <v>384</v>
      </c>
      <c r="S2169">
        <v>19</v>
      </c>
      <c r="T2169">
        <v>18</v>
      </c>
      <c r="U2169" t="s">
        <v>391</v>
      </c>
      <c r="V2169" t="s">
        <v>4955</v>
      </c>
      <c r="W2169">
        <v>1</v>
      </c>
      <c r="X2169" t="s">
        <v>282</v>
      </c>
      <c r="AC2169" t="s">
        <v>4956</v>
      </c>
      <c r="AE2169" s="135"/>
    </row>
    <row r="2170" spans="1:31" ht="12.5" customHeight="1" x14ac:dyDescent="0.35">
      <c r="A2170" t="s">
        <v>396</v>
      </c>
      <c r="C2170" t="s">
        <v>4957</v>
      </c>
      <c r="D2170" t="s">
        <v>385</v>
      </c>
      <c r="E2170" s="133">
        <v>45841</v>
      </c>
      <c r="F2170" s="2">
        <v>0.12335648148148148</v>
      </c>
      <c r="G2170">
        <v>2</v>
      </c>
      <c r="H2170" s="133">
        <v>45840</v>
      </c>
      <c r="I2170" s="2">
        <v>0.62335648148148148</v>
      </c>
      <c r="J2170">
        <v>14</v>
      </c>
      <c r="R2170" t="s">
        <v>384</v>
      </c>
      <c r="S2170">
        <v>17</v>
      </c>
      <c r="T2170">
        <v>15</v>
      </c>
      <c r="U2170" t="s">
        <v>1179</v>
      </c>
      <c r="V2170" t="s">
        <v>4958</v>
      </c>
      <c r="W2170">
        <v>1</v>
      </c>
      <c r="X2170" t="s">
        <v>282</v>
      </c>
      <c r="AC2170" t="s">
        <v>4959</v>
      </c>
      <c r="AE2170" s="135"/>
    </row>
    <row r="2171" spans="1:31" ht="12.5" customHeight="1" x14ac:dyDescent="0.35">
      <c r="A2171" t="s">
        <v>396</v>
      </c>
      <c r="C2171" t="s">
        <v>4960</v>
      </c>
      <c r="D2171" t="s">
        <v>385</v>
      </c>
      <c r="E2171" s="133">
        <v>45841</v>
      </c>
      <c r="F2171" s="2">
        <v>0.12344907407407407</v>
      </c>
      <c r="G2171">
        <v>2</v>
      </c>
      <c r="H2171" s="133">
        <v>45840</v>
      </c>
      <c r="I2171" s="2">
        <v>0.62344907407407402</v>
      </c>
      <c r="J2171">
        <v>14</v>
      </c>
      <c r="K2171" t="s">
        <v>434</v>
      </c>
      <c r="R2171" t="s">
        <v>384</v>
      </c>
      <c r="S2171">
        <v>10</v>
      </c>
      <c r="T2171">
        <v>7</v>
      </c>
      <c r="U2171" t="s">
        <v>1613</v>
      </c>
      <c r="V2171" t="s">
        <v>4961</v>
      </c>
      <c r="W2171">
        <v>1</v>
      </c>
      <c r="X2171" t="s">
        <v>282</v>
      </c>
      <c r="AC2171" t="s">
        <v>4962</v>
      </c>
      <c r="AE2171" s="135"/>
    </row>
    <row r="2172" spans="1:31" ht="12.5" customHeight="1" x14ac:dyDescent="0.35">
      <c r="A2172" t="s">
        <v>396</v>
      </c>
      <c r="C2172" t="s">
        <v>4963</v>
      </c>
      <c r="D2172" t="s">
        <v>385</v>
      </c>
      <c r="E2172" s="133">
        <v>45841</v>
      </c>
      <c r="F2172" s="2">
        <v>0.12351851851851851</v>
      </c>
      <c r="G2172">
        <v>2</v>
      </c>
      <c r="H2172" s="133">
        <v>45840</v>
      </c>
      <c r="I2172" s="2">
        <v>0.62351851851851847</v>
      </c>
      <c r="J2172">
        <v>14</v>
      </c>
      <c r="R2172" t="s">
        <v>384</v>
      </c>
      <c r="S2172">
        <v>5</v>
      </c>
      <c r="T2172">
        <v>4</v>
      </c>
      <c r="U2172" t="s">
        <v>496</v>
      </c>
      <c r="V2172" t="s">
        <v>4964</v>
      </c>
      <c r="W2172">
        <v>1</v>
      </c>
      <c r="X2172" t="s">
        <v>282</v>
      </c>
      <c r="AC2172" t="s">
        <v>4965</v>
      </c>
      <c r="AE2172" s="135"/>
    </row>
    <row r="2173" spans="1:31" ht="12.5" customHeight="1" x14ac:dyDescent="0.35">
      <c r="A2173" t="s">
        <v>396</v>
      </c>
      <c r="C2173" t="s">
        <v>4966</v>
      </c>
      <c r="D2173" t="s">
        <v>385</v>
      </c>
      <c r="E2173" s="133">
        <v>45841</v>
      </c>
      <c r="F2173" s="2">
        <v>0.12363425925925926</v>
      </c>
      <c r="G2173">
        <v>2</v>
      </c>
      <c r="H2173" s="133">
        <v>45840</v>
      </c>
      <c r="I2173" s="2">
        <v>0.6236342592592593</v>
      </c>
      <c r="J2173">
        <v>14</v>
      </c>
      <c r="R2173" t="s">
        <v>432</v>
      </c>
      <c r="S2173">
        <v>12</v>
      </c>
      <c r="T2173">
        <v>0</v>
      </c>
      <c r="U2173">
        <v>0</v>
      </c>
      <c r="V2173">
        <v>0</v>
      </c>
      <c r="W2173">
        <v>1</v>
      </c>
      <c r="X2173" t="s">
        <v>282</v>
      </c>
      <c r="AC2173" t="s">
        <v>4967</v>
      </c>
      <c r="AE2173" s="135"/>
    </row>
    <row r="2174" spans="1:31" ht="12.5" customHeight="1" x14ac:dyDescent="0.35">
      <c r="A2174" t="s">
        <v>396</v>
      </c>
      <c r="C2174" t="s">
        <v>4968</v>
      </c>
      <c r="D2174" t="s">
        <v>385</v>
      </c>
      <c r="E2174" s="133">
        <v>45841</v>
      </c>
      <c r="F2174" s="2">
        <v>0.12372685185185185</v>
      </c>
      <c r="G2174">
        <v>2</v>
      </c>
      <c r="H2174" s="133">
        <v>45840</v>
      </c>
      <c r="I2174" s="2">
        <v>0.62372685185185184</v>
      </c>
      <c r="J2174">
        <v>14</v>
      </c>
      <c r="R2174" t="s">
        <v>30</v>
      </c>
      <c r="W2174">
        <v>1</v>
      </c>
      <c r="X2174" t="s">
        <v>30</v>
      </c>
      <c r="AC2174" t="s">
        <v>4969</v>
      </c>
      <c r="AE2174" s="135"/>
    </row>
    <row r="2175" spans="1:31" ht="12.5" customHeight="1" x14ac:dyDescent="0.35">
      <c r="A2175" t="s">
        <v>396</v>
      </c>
      <c r="C2175" t="s">
        <v>4970</v>
      </c>
      <c r="D2175" t="s">
        <v>385</v>
      </c>
      <c r="E2175" s="133">
        <v>45841</v>
      </c>
      <c r="F2175" s="2">
        <v>0.12379629629629629</v>
      </c>
      <c r="G2175">
        <v>2</v>
      </c>
      <c r="H2175" s="133">
        <v>45840</v>
      </c>
      <c r="I2175" s="2">
        <v>0.62379629629629629</v>
      </c>
      <c r="J2175">
        <v>14</v>
      </c>
      <c r="R2175" t="s">
        <v>30</v>
      </c>
      <c r="W2175">
        <v>1</v>
      </c>
      <c r="X2175" t="s">
        <v>30</v>
      </c>
      <c r="AC2175" t="s">
        <v>4971</v>
      </c>
      <c r="AE2175" s="135"/>
    </row>
    <row r="2176" spans="1:31" ht="12.5" customHeight="1" x14ac:dyDescent="0.35">
      <c r="A2176" t="s">
        <v>396</v>
      </c>
      <c r="C2176" t="s">
        <v>4972</v>
      </c>
      <c r="D2176" t="s">
        <v>385</v>
      </c>
      <c r="E2176" s="133">
        <v>45841</v>
      </c>
      <c r="F2176" s="2">
        <v>0.12388888888888888</v>
      </c>
      <c r="G2176">
        <v>2</v>
      </c>
      <c r="H2176" s="133">
        <v>45840</v>
      </c>
      <c r="I2176" s="2">
        <v>0.62388888888888883</v>
      </c>
      <c r="J2176">
        <v>14</v>
      </c>
      <c r="R2176" t="s">
        <v>30</v>
      </c>
      <c r="W2176">
        <v>1</v>
      </c>
      <c r="X2176" t="s">
        <v>30</v>
      </c>
      <c r="AC2176" t="s">
        <v>4973</v>
      </c>
      <c r="AE2176" s="135"/>
    </row>
    <row r="2177" spans="1:31" ht="12.5" customHeight="1" x14ac:dyDescent="0.35">
      <c r="A2177" t="s">
        <v>396</v>
      </c>
      <c r="C2177" t="s">
        <v>4974</v>
      </c>
      <c r="D2177" t="s">
        <v>385</v>
      </c>
      <c r="E2177" s="133">
        <v>45841</v>
      </c>
      <c r="F2177" s="2">
        <v>0.12395833333333334</v>
      </c>
      <c r="G2177">
        <v>2</v>
      </c>
      <c r="H2177" s="133">
        <v>45840</v>
      </c>
      <c r="I2177" s="2">
        <v>0.62395833333333328</v>
      </c>
      <c r="J2177">
        <v>14</v>
      </c>
      <c r="R2177" t="s">
        <v>30</v>
      </c>
      <c r="W2177">
        <v>1</v>
      </c>
      <c r="X2177" t="s">
        <v>30</v>
      </c>
      <c r="AC2177" t="s">
        <v>4975</v>
      </c>
      <c r="AE2177" s="135"/>
    </row>
    <row r="2178" spans="1:31" ht="12.5" customHeight="1" x14ac:dyDescent="0.35">
      <c r="A2178" t="s">
        <v>396</v>
      </c>
      <c r="C2178" t="s">
        <v>4976</v>
      </c>
      <c r="D2178" t="s">
        <v>385</v>
      </c>
      <c r="E2178" s="133">
        <v>45841</v>
      </c>
      <c r="F2178" s="2">
        <v>0.12409722222222223</v>
      </c>
      <c r="G2178">
        <v>2</v>
      </c>
      <c r="H2178" s="133">
        <v>45840</v>
      </c>
      <c r="I2178" s="2">
        <v>0.62409722222222219</v>
      </c>
      <c r="J2178">
        <v>14</v>
      </c>
      <c r="R2178" t="s">
        <v>30</v>
      </c>
      <c r="W2178">
        <v>1</v>
      </c>
      <c r="X2178" t="s">
        <v>30</v>
      </c>
      <c r="AC2178" t="s">
        <v>4977</v>
      </c>
      <c r="AE2178" s="135"/>
    </row>
    <row r="2179" spans="1:31" ht="12.5" customHeight="1" x14ac:dyDescent="0.35">
      <c r="A2179" t="s">
        <v>396</v>
      </c>
      <c r="C2179" t="s">
        <v>4978</v>
      </c>
      <c r="D2179" t="s">
        <v>385</v>
      </c>
      <c r="E2179" s="133">
        <v>45841</v>
      </c>
      <c r="F2179" s="2">
        <v>0.12416666666666666</v>
      </c>
      <c r="G2179">
        <v>2</v>
      </c>
      <c r="H2179" s="133">
        <v>45840</v>
      </c>
      <c r="I2179" s="2">
        <v>0.62416666666666665</v>
      </c>
      <c r="J2179">
        <v>14</v>
      </c>
      <c r="R2179" t="s">
        <v>30</v>
      </c>
      <c r="W2179">
        <v>1</v>
      </c>
      <c r="X2179" t="s">
        <v>30</v>
      </c>
      <c r="AC2179" t="s">
        <v>4979</v>
      </c>
      <c r="AE2179" s="135"/>
    </row>
    <row r="2180" spans="1:31" ht="12.5" customHeight="1" x14ac:dyDescent="0.35">
      <c r="A2180" t="s">
        <v>396</v>
      </c>
      <c r="C2180" t="s">
        <v>4980</v>
      </c>
      <c r="D2180" t="s">
        <v>385</v>
      </c>
      <c r="E2180" s="133">
        <v>45841</v>
      </c>
      <c r="F2180" s="2">
        <v>0.12428240740740741</v>
      </c>
      <c r="G2180">
        <v>2</v>
      </c>
      <c r="H2180" s="133">
        <v>45840</v>
      </c>
      <c r="I2180" s="2">
        <v>0.62428240740740748</v>
      </c>
      <c r="J2180">
        <v>14</v>
      </c>
      <c r="R2180" t="s">
        <v>30</v>
      </c>
      <c r="W2180">
        <v>1</v>
      </c>
      <c r="X2180" t="s">
        <v>30</v>
      </c>
      <c r="AC2180" t="s">
        <v>4981</v>
      </c>
      <c r="AE2180" s="135"/>
    </row>
    <row r="2181" spans="1:31" ht="12.5" customHeight="1" x14ac:dyDescent="0.35">
      <c r="A2181" t="s">
        <v>396</v>
      </c>
      <c r="C2181" t="s">
        <v>4982</v>
      </c>
      <c r="D2181" t="s">
        <v>385</v>
      </c>
      <c r="E2181" s="133">
        <v>45841</v>
      </c>
      <c r="F2181" s="2">
        <v>0.12439814814814815</v>
      </c>
      <c r="G2181">
        <v>2</v>
      </c>
      <c r="H2181" s="133">
        <v>45840</v>
      </c>
      <c r="I2181" s="2">
        <v>0.62439814814814809</v>
      </c>
      <c r="J2181">
        <v>14</v>
      </c>
      <c r="R2181" t="s">
        <v>30</v>
      </c>
      <c r="W2181">
        <v>1</v>
      </c>
      <c r="X2181" t="s">
        <v>30</v>
      </c>
      <c r="AC2181" t="s">
        <v>4983</v>
      </c>
      <c r="AE2181" s="135"/>
    </row>
    <row r="2182" spans="1:31" ht="12.5" customHeight="1" x14ac:dyDescent="0.35">
      <c r="A2182" t="s">
        <v>396</v>
      </c>
      <c r="C2182" t="s">
        <v>4984</v>
      </c>
      <c r="D2182" t="s">
        <v>385</v>
      </c>
      <c r="E2182" s="133">
        <v>45841</v>
      </c>
      <c r="F2182" s="2">
        <v>0.12449074074074074</v>
      </c>
      <c r="G2182">
        <v>2</v>
      </c>
      <c r="H2182" s="133">
        <v>45840</v>
      </c>
      <c r="I2182" s="2">
        <v>0.62449074074074074</v>
      </c>
      <c r="J2182">
        <v>14</v>
      </c>
      <c r="R2182" t="s">
        <v>30</v>
      </c>
      <c r="W2182">
        <v>1</v>
      </c>
      <c r="X2182" t="s">
        <v>30</v>
      </c>
      <c r="AC2182" t="s">
        <v>4985</v>
      </c>
      <c r="AE2182" s="135"/>
    </row>
    <row r="2183" spans="1:31" ht="12.5" customHeight="1" x14ac:dyDescent="0.35">
      <c r="A2183" t="s">
        <v>396</v>
      </c>
      <c r="C2183" t="s">
        <v>4986</v>
      </c>
      <c r="D2183" t="s">
        <v>385</v>
      </c>
      <c r="E2183" s="133">
        <v>45841</v>
      </c>
      <c r="F2183" s="2">
        <v>0.12456018518518519</v>
      </c>
      <c r="G2183">
        <v>2</v>
      </c>
      <c r="H2183" s="133">
        <v>45840</v>
      </c>
      <c r="I2183" s="2">
        <v>0.62456018518518519</v>
      </c>
      <c r="J2183">
        <v>14</v>
      </c>
      <c r="R2183" t="s">
        <v>30</v>
      </c>
      <c r="W2183">
        <v>1</v>
      </c>
      <c r="X2183" t="s">
        <v>30</v>
      </c>
      <c r="AC2183" t="s">
        <v>4987</v>
      </c>
      <c r="AE2183" s="135"/>
    </row>
    <row r="2184" spans="1:31" ht="12.5" customHeight="1" x14ac:dyDescent="0.35">
      <c r="A2184" t="s">
        <v>396</v>
      </c>
      <c r="C2184" t="s">
        <v>4988</v>
      </c>
      <c r="D2184" t="s">
        <v>385</v>
      </c>
      <c r="E2184" s="133">
        <v>45841</v>
      </c>
      <c r="F2184" s="2">
        <v>0.12472222222222222</v>
      </c>
      <c r="G2184">
        <v>2</v>
      </c>
      <c r="H2184" s="133">
        <v>45840</v>
      </c>
      <c r="I2184" s="2">
        <v>0.62472222222222229</v>
      </c>
      <c r="J2184">
        <v>14</v>
      </c>
      <c r="R2184" t="s">
        <v>30</v>
      </c>
      <c r="W2184">
        <v>1</v>
      </c>
      <c r="X2184" t="s">
        <v>30</v>
      </c>
      <c r="AC2184" t="s">
        <v>4989</v>
      </c>
      <c r="AE2184" s="135"/>
    </row>
    <row r="2185" spans="1:31" ht="12.5" customHeight="1" x14ac:dyDescent="0.35">
      <c r="A2185" t="s">
        <v>396</v>
      </c>
      <c r="C2185" t="s">
        <v>4990</v>
      </c>
      <c r="D2185" t="s">
        <v>385</v>
      </c>
      <c r="E2185" s="133">
        <v>45841</v>
      </c>
      <c r="F2185" s="2">
        <v>0.12481481481481482</v>
      </c>
      <c r="G2185">
        <v>2</v>
      </c>
      <c r="H2185" s="133">
        <v>45840</v>
      </c>
      <c r="I2185" s="2">
        <v>0.62481481481481482</v>
      </c>
      <c r="J2185">
        <v>14</v>
      </c>
      <c r="R2185" t="s">
        <v>432</v>
      </c>
      <c r="S2185">
        <v>2</v>
      </c>
      <c r="T2185">
        <v>0</v>
      </c>
      <c r="U2185">
        <v>0</v>
      </c>
      <c r="V2185">
        <v>0</v>
      </c>
      <c r="W2185">
        <v>1</v>
      </c>
      <c r="X2185" t="s">
        <v>30</v>
      </c>
      <c r="AC2185" t="s">
        <v>4991</v>
      </c>
      <c r="AE2185" s="135"/>
    </row>
    <row r="2186" spans="1:31" ht="12.5" customHeight="1" x14ac:dyDescent="0.35">
      <c r="A2186" t="s">
        <v>396</v>
      </c>
      <c r="C2186" t="s">
        <v>4992</v>
      </c>
      <c r="D2186" t="s">
        <v>385</v>
      </c>
      <c r="E2186" s="133">
        <v>45841</v>
      </c>
      <c r="F2186" s="2">
        <v>0.12497685185185185</v>
      </c>
      <c r="G2186">
        <v>2</v>
      </c>
      <c r="H2186" s="133">
        <v>45840</v>
      </c>
      <c r="I2186" s="2">
        <v>0.62497685185185181</v>
      </c>
      <c r="J2186">
        <v>14</v>
      </c>
      <c r="R2186" t="s">
        <v>30</v>
      </c>
      <c r="W2186">
        <v>1</v>
      </c>
      <c r="X2186" t="s">
        <v>30</v>
      </c>
      <c r="AC2186" t="s">
        <v>4993</v>
      </c>
      <c r="AE2186" s="135"/>
    </row>
    <row r="2187" spans="1:31" ht="12.5" customHeight="1" x14ac:dyDescent="0.35">
      <c r="A2187" t="s">
        <v>396</v>
      </c>
      <c r="C2187" t="s">
        <v>4994</v>
      </c>
      <c r="D2187" t="s">
        <v>385</v>
      </c>
      <c r="E2187" s="133">
        <v>45841</v>
      </c>
      <c r="F2187" s="2">
        <v>0.12509259259259259</v>
      </c>
      <c r="G2187">
        <v>3</v>
      </c>
      <c r="H2187" s="133">
        <v>45840</v>
      </c>
      <c r="I2187" s="2">
        <v>0.62509259259259264</v>
      </c>
      <c r="J2187">
        <v>15</v>
      </c>
      <c r="R2187" t="s">
        <v>30</v>
      </c>
      <c r="W2187">
        <v>1</v>
      </c>
      <c r="X2187" t="s">
        <v>30</v>
      </c>
      <c r="AC2187" t="s">
        <v>4995</v>
      </c>
      <c r="AE2187" s="135"/>
    </row>
    <row r="2188" spans="1:31" ht="12.5" customHeight="1" x14ac:dyDescent="0.35">
      <c r="A2188" t="s">
        <v>396</v>
      </c>
      <c r="C2188" t="s">
        <v>4996</v>
      </c>
      <c r="D2188" t="s">
        <v>385</v>
      </c>
      <c r="E2188" s="133">
        <v>45841</v>
      </c>
      <c r="F2188" s="2">
        <v>0.12516203703703704</v>
      </c>
      <c r="G2188">
        <v>3</v>
      </c>
      <c r="H2188" s="133">
        <v>45840</v>
      </c>
      <c r="I2188" s="2">
        <v>0.6251620370370371</v>
      </c>
      <c r="J2188">
        <v>15</v>
      </c>
      <c r="R2188" t="s">
        <v>30</v>
      </c>
      <c r="W2188">
        <v>1</v>
      </c>
      <c r="X2188" t="s">
        <v>30</v>
      </c>
      <c r="AC2188" t="s">
        <v>4997</v>
      </c>
      <c r="AE2188" s="135"/>
    </row>
    <row r="2189" spans="1:31" ht="12.5" customHeight="1" x14ac:dyDescent="0.35">
      <c r="A2189" t="s">
        <v>396</v>
      </c>
      <c r="C2189" t="s">
        <v>4998</v>
      </c>
      <c r="D2189" t="s">
        <v>385</v>
      </c>
      <c r="E2189" s="133">
        <v>45841</v>
      </c>
      <c r="F2189" s="2">
        <v>0.12525462962962963</v>
      </c>
      <c r="G2189">
        <v>3</v>
      </c>
      <c r="H2189" s="133">
        <v>45840</v>
      </c>
      <c r="I2189" s="2">
        <v>0.62525462962962963</v>
      </c>
      <c r="J2189">
        <v>15</v>
      </c>
      <c r="R2189" t="s">
        <v>30</v>
      </c>
      <c r="W2189">
        <v>1</v>
      </c>
      <c r="X2189" t="s">
        <v>30</v>
      </c>
      <c r="AC2189" t="s">
        <v>4999</v>
      </c>
      <c r="AE2189" s="135"/>
    </row>
    <row r="2190" spans="1:31" ht="12.5" customHeight="1" x14ac:dyDescent="0.35">
      <c r="A2190" t="s">
        <v>396</v>
      </c>
      <c r="C2190" t="s">
        <v>5000</v>
      </c>
      <c r="D2190" t="s">
        <v>385</v>
      </c>
      <c r="E2190" s="133">
        <v>45841</v>
      </c>
      <c r="F2190" s="2">
        <v>0.12532407407407406</v>
      </c>
      <c r="G2190">
        <v>3</v>
      </c>
      <c r="H2190" s="133">
        <v>45840</v>
      </c>
      <c r="I2190" s="2">
        <v>0.62532407407407409</v>
      </c>
      <c r="J2190">
        <v>15</v>
      </c>
      <c r="R2190" t="s">
        <v>30</v>
      </c>
      <c r="W2190">
        <v>1</v>
      </c>
      <c r="X2190" t="s">
        <v>30</v>
      </c>
      <c r="AC2190" t="s">
        <v>5001</v>
      </c>
      <c r="AE2190" s="135"/>
    </row>
    <row r="2191" spans="1:31" ht="12.5" customHeight="1" x14ac:dyDescent="0.35">
      <c r="A2191" t="s">
        <v>396</v>
      </c>
      <c r="C2191" t="s">
        <v>5002</v>
      </c>
      <c r="D2191" t="s">
        <v>385</v>
      </c>
      <c r="E2191" s="133">
        <v>45841</v>
      </c>
      <c r="F2191" s="2">
        <v>0.12541666666666665</v>
      </c>
      <c r="G2191">
        <v>3</v>
      </c>
      <c r="H2191" s="133">
        <v>45840</v>
      </c>
      <c r="I2191" s="2">
        <v>0.62541666666666662</v>
      </c>
      <c r="J2191">
        <v>15</v>
      </c>
      <c r="R2191" t="s">
        <v>30</v>
      </c>
      <c r="W2191">
        <v>1</v>
      </c>
      <c r="X2191" t="s">
        <v>30</v>
      </c>
      <c r="AC2191" t="s">
        <v>5003</v>
      </c>
      <c r="AE2191" s="135"/>
    </row>
    <row r="2192" spans="1:31" ht="12.5" customHeight="1" x14ac:dyDescent="0.35">
      <c r="A2192" t="s">
        <v>396</v>
      </c>
      <c r="C2192" t="s">
        <v>5004</v>
      </c>
      <c r="D2192" t="s">
        <v>385</v>
      </c>
      <c r="E2192" s="133">
        <v>45841</v>
      </c>
      <c r="F2192" s="2">
        <v>0.12550925925925926</v>
      </c>
      <c r="G2192">
        <v>3</v>
      </c>
      <c r="H2192" s="133">
        <v>45840</v>
      </c>
      <c r="I2192" s="2">
        <v>0.62550925925925926</v>
      </c>
      <c r="J2192">
        <v>15</v>
      </c>
      <c r="R2192" t="s">
        <v>30</v>
      </c>
      <c r="W2192">
        <v>1</v>
      </c>
      <c r="X2192" t="s">
        <v>30</v>
      </c>
      <c r="AC2192" t="s">
        <v>5005</v>
      </c>
      <c r="AE2192" s="135"/>
    </row>
    <row r="2193" spans="1:31" ht="12.5" customHeight="1" x14ac:dyDescent="0.35">
      <c r="A2193" t="s">
        <v>396</v>
      </c>
      <c r="C2193" t="s">
        <v>5006</v>
      </c>
      <c r="D2193" t="s">
        <v>385</v>
      </c>
      <c r="E2193" s="133">
        <v>45841</v>
      </c>
      <c r="F2193" s="2">
        <v>0.12560185185185185</v>
      </c>
      <c r="G2193">
        <v>3</v>
      </c>
      <c r="H2193" s="133">
        <v>45840</v>
      </c>
      <c r="I2193" s="2">
        <v>0.62560185185185191</v>
      </c>
      <c r="J2193">
        <v>15</v>
      </c>
      <c r="R2193" t="s">
        <v>30</v>
      </c>
      <c r="W2193">
        <v>1</v>
      </c>
      <c r="X2193" t="s">
        <v>30</v>
      </c>
      <c r="AC2193" t="s">
        <v>5007</v>
      </c>
      <c r="AE2193" s="135"/>
    </row>
    <row r="2194" spans="1:31" ht="12.5" customHeight="1" x14ac:dyDescent="0.35">
      <c r="A2194" t="s">
        <v>396</v>
      </c>
      <c r="C2194" t="s">
        <v>5008</v>
      </c>
      <c r="D2194" t="s">
        <v>385</v>
      </c>
      <c r="E2194" s="133">
        <v>45841</v>
      </c>
      <c r="F2194" s="2">
        <v>0.12569444444444444</v>
      </c>
      <c r="G2194">
        <v>3</v>
      </c>
      <c r="H2194" s="133">
        <v>45840</v>
      </c>
      <c r="I2194" s="2">
        <v>0.62569444444444444</v>
      </c>
      <c r="J2194">
        <v>15</v>
      </c>
      <c r="R2194" t="s">
        <v>30</v>
      </c>
      <c r="W2194">
        <v>1</v>
      </c>
      <c r="X2194" t="s">
        <v>30</v>
      </c>
      <c r="AC2194" t="s">
        <v>5009</v>
      </c>
      <c r="AE2194" s="135"/>
    </row>
    <row r="2195" spans="1:31" ht="12.5" customHeight="1" x14ac:dyDescent="0.35">
      <c r="A2195" t="s">
        <v>396</v>
      </c>
      <c r="C2195" t="s">
        <v>5010</v>
      </c>
      <c r="D2195" t="s">
        <v>385</v>
      </c>
      <c r="E2195" s="133">
        <v>45841</v>
      </c>
      <c r="F2195" s="2">
        <v>0.12578703703703703</v>
      </c>
      <c r="G2195">
        <v>3</v>
      </c>
      <c r="H2195" s="133">
        <v>45840</v>
      </c>
      <c r="I2195" s="2">
        <v>0.62578703703703698</v>
      </c>
      <c r="J2195">
        <v>15</v>
      </c>
      <c r="R2195" t="s">
        <v>30</v>
      </c>
      <c r="W2195">
        <v>1</v>
      </c>
      <c r="X2195" t="s">
        <v>30</v>
      </c>
      <c r="AC2195" t="s">
        <v>5011</v>
      </c>
      <c r="AE2195" s="135"/>
    </row>
    <row r="2196" spans="1:31" ht="12.5" customHeight="1" x14ac:dyDescent="0.35">
      <c r="A2196" t="s">
        <v>396</v>
      </c>
      <c r="C2196" t="s">
        <v>5012</v>
      </c>
      <c r="D2196" t="s">
        <v>385</v>
      </c>
      <c r="E2196" s="133">
        <v>45841</v>
      </c>
      <c r="F2196" s="2">
        <v>0.12590277777777778</v>
      </c>
      <c r="G2196">
        <v>3</v>
      </c>
      <c r="H2196" s="133">
        <v>45840</v>
      </c>
      <c r="I2196" s="2">
        <v>0.62590277777777781</v>
      </c>
      <c r="J2196">
        <v>15</v>
      </c>
      <c r="R2196" t="s">
        <v>30</v>
      </c>
      <c r="W2196">
        <v>1</v>
      </c>
      <c r="X2196" t="s">
        <v>30</v>
      </c>
      <c r="AC2196" t="s">
        <v>5013</v>
      </c>
      <c r="AE2196" s="135"/>
    </row>
    <row r="2197" spans="1:31" ht="12.5" customHeight="1" x14ac:dyDescent="0.35">
      <c r="A2197" t="s">
        <v>396</v>
      </c>
      <c r="C2197" t="s">
        <v>5014</v>
      </c>
      <c r="D2197" t="s">
        <v>385</v>
      </c>
      <c r="E2197" s="133">
        <v>45841</v>
      </c>
      <c r="F2197" s="2">
        <v>0.12599537037037037</v>
      </c>
      <c r="G2197">
        <v>3</v>
      </c>
      <c r="H2197" s="133">
        <v>45840</v>
      </c>
      <c r="I2197" s="2">
        <v>0.62599537037037034</v>
      </c>
      <c r="J2197">
        <v>15</v>
      </c>
      <c r="R2197" t="s">
        <v>30</v>
      </c>
      <c r="W2197">
        <v>1</v>
      </c>
      <c r="X2197" t="s">
        <v>30</v>
      </c>
      <c r="AC2197" t="s">
        <v>5015</v>
      </c>
      <c r="AE2197" s="135"/>
    </row>
    <row r="2198" spans="1:31" ht="12.5" customHeight="1" x14ac:dyDescent="0.35">
      <c r="A2198" t="s">
        <v>396</v>
      </c>
      <c r="C2198" t="s">
        <v>5016</v>
      </c>
      <c r="D2198" t="s">
        <v>385</v>
      </c>
      <c r="E2198" s="133">
        <v>45841</v>
      </c>
      <c r="F2198" s="2">
        <v>0.12606481481481482</v>
      </c>
      <c r="G2198">
        <v>3</v>
      </c>
      <c r="H2198" s="133">
        <v>45840</v>
      </c>
      <c r="I2198" s="2">
        <v>0.6260648148148148</v>
      </c>
      <c r="J2198">
        <v>15</v>
      </c>
      <c r="R2198" t="s">
        <v>30</v>
      </c>
      <c r="W2198">
        <v>1</v>
      </c>
      <c r="X2198" t="s">
        <v>30</v>
      </c>
      <c r="AC2198" t="s">
        <v>5017</v>
      </c>
      <c r="AE2198" s="135"/>
    </row>
    <row r="2199" spans="1:31" ht="12.5" customHeight="1" x14ac:dyDescent="0.35">
      <c r="A2199" t="s">
        <v>396</v>
      </c>
      <c r="C2199" t="s">
        <v>5018</v>
      </c>
      <c r="D2199" t="s">
        <v>385</v>
      </c>
      <c r="E2199" s="133">
        <v>45841</v>
      </c>
      <c r="F2199" s="2">
        <v>0.12615740740740741</v>
      </c>
      <c r="G2199">
        <v>3</v>
      </c>
      <c r="H2199" s="133">
        <v>45840</v>
      </c>
      <c r="I2199" s="2">
        <v>0.62615740740740744</v>
      </c>
      <c r="J2199">
        <v>15</v>
      </c>
      <c r="R2199" t="s">
        <v>30</v>
      </c>
      <c r="W2199">
        <v>1</v>
      </c>
      <c r="X2199" t="s">
        <v>30</v>
      </c>
      <c r="AC2199" t="s">
        <v>5019</v>
      </c>
      <c r="AE2199" s="135"/>
    </row>
    <row r="2200" spans="1:31" ht="12.5" customHeight="1" x14ac:dyDescent="0.35">
      <c r="A2200" t="s">
        <v>396</v>
      </c>
      <c r="C2200" t="s">
        <v>5020</v>
      </c>
      <c r="D2200" t="s">
        <v>385</v>
      </c>
      <c r="E2200" s="133">
        <v>45841</v>
      </c>
      <c r="F2200" s="2">
        <v>0.12627314814814813</v>
      </c>
      <c r="G2200">
        <v>3</v>
      </c>
      <c r="H2200" s="133">
        <v>45840</v>
      </c>
      <c r="I2200" s="2">
        <v>0.62627314814814816</v>
      </c>
      <c r="J2200">
        <v>15</v>
      </c>
      <c r="R2200" t="s">
        <v>30</v>
      </c>
      <c r="W2200">
        <v>1</v>
      </c>
      <c r="X2200" t="s">
        <v>30</v>
      </c>
      <c r="AC2200" t="s">
        <v>5021</v>
      </c>
      <c r="AE2200" s="135"/>
    </row>
    <row r="2201" spans="1:31" ht="12.5" customHeight="1" x14ac:dyDescent="0.35">
      <c r="A2201" t="s">
        <v>396</v>
      </c>
      <c r="C2201" t="s">
        <v>5022</v>
      </c>
      <c r="D2201" t="s">
        <v>385</v>
      </c>
      <c r="E2201" s="133">
        <v>45841</v>
      </c>
      <c r="F2201" s="2">
        <v>0.12638888888888888</v>
      </c>
      <c r="G2201">
        <v>3</v>
      </c>
      <c r="H2201" s="133">
        <v>45840</v>
      </c>
      <c r="I2201" s="2">
        <v>0.62638888888888888</v>
      </c>
      <c r="J2201">
        <v>15</v>
      </c>
      <c r="R2201" t="s">
        <v>30</v>
      </c>
      <c r="W2201">
        <v>1</v>
      </c>
      <c r="X2201" t="s">
        <v>30</v>
      </c>
      <c r="AC2201" t="s">
        <v>5023</v>
      </c>
      <c r="AE2201" s="135"/>
    </row>
    <row r="2202" spans="1:31" ht="12.5" customHeight="1" x14ac:dyDescent="0.35">
      <c r="A2202" t="s">
        <v>396</v>
      </c>
      <c r="C2202" t="s">
        <v>5024</v>
      </c>
      <c r="D2202" t="s">
        <v>385</v>
      </c>
      <c r="E2202" s="133">
        <v>45841</v>
      </c>
      <c r="F2202" s="2">
        <v>0.12648148148148147</v>
      </c>
      <c r="G2202">
        <v>3</v>
      </c>
      <c r="H2202" s="133">
        <v>45840</v>
      </c>
      <c r="I2202" s="2">
        <v>0.62648148148148153</v>
      </c>
      <c r="J2202">
        <v>15</v>
      </c>
      <c r="R2202" t="s">
        <v>30</v>
      </c>
      <c r="W2202">
        <v>1</v>
      </c>
      <c r="X2202" t="s">
        <v>30</v>
      </c>
      <c r="AC2202" t="s">
        <v>5025</v>
      </c>
      <c r="AE2202" s="135"/>
    </row>
    <row r="2203" spans="1:31" ht="12.5" customHeight="1" x14ac:dyDescent="0.35">
      <c r="A2203" t="s">
        <v>396</v>
      </c>
      <c r="C2203" t="s">
        <v>5026</v>
      </c>
      <c r="D2203" t="s">
        <v>385</v>
      </c>
      <c r="E2203" s="133">
        <v>45841</v>
      </c>
      <c r="F2203" s="2">
        <v>0.12657407407407409</v>
      </c>
      <c r="G2203">
        <v>3</v>
      </c>
      <c r="H2203" s="133">
        <v>45840</v>
      </c>
      <c r="I2203" s="2">
        <v>0.62657407407407406</v>
      </c>
      <c r="J2203">
        <v>15</v>
      </c>
      <c r="R2203" t="s">
        <v>30</v>
      </c>
      <c r="W2203">
        <v>1</v>
      </c>
      <c r="X2203" t="s">
        <v>30</v>
      </c>
      <c r="AC2203" t="s">
        <v>5027</v>
      </c>
      <c r="AE2203" s="135"/>
    </row>
    <row r="2204" spans="1:31" ht="12.5" customHeight="1" x14ac:dyDescent="0.35">
      <c r="A2204" t="s">
        <v>396</v>
      </c>
      <c r="C2204" t="s">
        <v>5028</v>
      </c>
      <c r="D2204" t="s">
        <v>385</v>
      </c>
      <c r="E2204" s="133">
        <v>45841</v>
      </c>
      <c r="F2204" s="2">
        <v>0.12664351851851852</v>
      </c>
      <c r="G2204">
        <v>3</v>
      </c>
      <c r="H2204" s="133">
        <v>45840</v>
      </c>
      <c r="I2204" s="2">
        <v>0.62664351851851852</v>
      </c>
      <c r="J2204">
        <v>15</v>
      </c>
      <c r="R2204" t="s">
        <v>30</v>
      </c>
      <c r="W2204">
        <v>1</v>
      </c>
      <c r="X2204" t="s">
        <v>30</v>
      </c>
      <c r="AC2204" t="s">
        <v>5029</v>
      </c>
      <c r="AE2204" s="135"/>
    </row>
    <row r="2205" spans="1:31" ht="12.5" customHeight="1" x14ac:dyDescent="0.35">
      <c r="A2205" t="s">
        <v>396</v>
      </c>
      <c r="C2205" t="s">
        <v>5030</v>
      </c>
      <c r="D2205" t="s">
        <v>385</v>
      </c>
      <c r="E2205" s="133">
        <v>45841</v>
      </c>
      <c r="F2205" s="2">
        <v>0.1267361111111111</v>
      </c>
      <c r="G2205">
        <v>3</v>
      </c>
      <c r="H2205" s="133">
        <v>45840</v>
      </c>
      <c r="I2205" s="2">
        <v>0.62673611111111105</v>
      </c>
      <c r="J2205">
        <v>15</v>
      </c>
      <c r="R2205" t="s">
        <v>30</v>
      </c>
      <c r="W2205">
        <v>1</v>
      </c>
      <c r="X2205" t="s">
        <v>30</v>
      </c>
      <c r="AC2205" t="s">
        <v>5031</v>
      </c>
      <c r="AE2205" s="135"/>
    </row>
    <row r="2206" spans="1:31" ht="12.5" customHeight="1" x14ac:dyDescent="0.35">
      <c r="A2206" t="s">
        <v>396</v>
      </c>
      <c r="C2206" t="s">
        <v>5032</v>
      </c>
      <c r="D2206" t="s">
        <v>385</v>
      </c>
      <c r="E2206" s="133">
        <v>45841</v>
      </c>
      <c r="F2206" s="2">
        <v>0.12680555555555556</v>
      </c>
      <c r="G2206">
        <v>3</v>
      </c>
      <c r="H2206" s="133">
        <v>45840</v>
      </c>
      <c r="I2206" s="2">
        <v>0.6268055555555555</v>
      </c>
      <c r="J2206">
        <v>15</v>
      </c>
      <c r="R2206" t="s">
        <v>30</v>
      </c>
      <c r="W2206">
        <v>1</v>
      </c>
      <c r="X2206" t="s">
        <v>30</v>
      </c>
      <c r="AC2206" t="s">
        <v>5033</v>
      </c>
      <c r="AE2206" s="135"/>
    </row>
    <row r="2207" spans="1:31" ht="12.5" customHeight="1" x14ac:dyDescent="0.35">
      <c r="A2207" t="s">
        <v>396</v>
      </c>
      <c r="C2207" t="s">
        <v>5034</v>
      </c>
      <c r="D2207" t="s">
        <v>385</v>
      </c>
      <c r="E2207" s="133">
        <v>45841</v>
      </c>
      <c r="F2207" s="2">
        <v>0.12689814814814815</v>
      </c>
      <c r="G2207">
        <v>3</v>
      </c>
      <c r="H2207" s="133">
        <v>45840</v>
      </c>
      <c r="I2207" s="2">
        <v>0.62689814814814815</v>
      </c>
      <c r="J2207">
        <v>15</v>
      </c>
      <c r="R2207" t="s">
        <v>30</v>
      </c>
      <c r="W2207">
        <v>1</v>
      </c>
      <c r="X2207" t="s">
        <v>30</v>
      </c>
      <c r="AC2207" t="s">
        <v>5035</v>
      </c>
      <c r="AE2207" s="135"/>
    </row>
    <row r="2208" spans="1:31" ht="12.5" customHeight="1" x14ac:dyDescent="0.35">
      <c r="A2208" t="s">
        <v>396</v>
      </c>
      <c r="C2208" t="s">
        <v>5036</v>
      </c>
      <c r="D2208" t="s">
        <v>385</v>
      </c>
      <c r="E2208" s="133">
        <v>45841</v>
      </c>
      <c r="F2208" s="2">
        <v>0.12699074074074074</v>
      </c>
      <c r="G2208">
        <v>3</v>
      </c>
      <c r="H2208" s="133">
        <v>45840</v>
      </c>
      <c r="I2208" s="2">
        <v>0.62699074074074079</v>
      </c>
      <c r="J2208">
        <v>15</v>
      </c>
      <c r="R2208" t="s">
        <v>30</v>
      </c>
      <c r="W2208">
        <v>1</v>
      </c>
      <c r="X2208" t="s">
        <v>30</v>
      </c>
      <c r="AC2208" t="s">
        <v>5037</v>
      </c>
      <c r="AE2208" s="135"/>
    </row>
    <row r="2209" spans="1:31" ht="12.5" customHeight="1" x14ac:dyDescent="0.35">
      <c r="A2209" t="s">
        <v>396</v>
      </c>
      <c r="C2209" t="s">
        <v>5038</v>
      </c>
      <c r="D2209" t="s">
        <v>385</v>
      </c>
      <c r="E2209" s="133">
        <v>45841</v>
      </c>
      <c r="F2209" s="2">
        <v>0.12706018518518519</v>
      </c>
      <c r="G2209">
        <v>3</v>
      </c>
      <c r="H2209" s="133">
        <v>45840</v>
      </c>
      <c r="I2209" s="2">
        <v>0.62706018518518525</v>
      </c>
      <c r="J2209">
        <v>15</v>
      </c>
      <c r="R2209" t="s">
        <v>30</v>
      </c>
      <c r="W2209">
        <v>1</v>
      </c>
      <c r="X2209" t="s">
        <v>30</v>
      </c>
      <c r="AC2209" t="s">
        <v>5039</v>
      </c>
      <c r="AE2209" s="135"/>
    </row>
    <row r="2210" spans="1:31" ht="12.5" customHeight="1" x14ac:dyDescent="0.35">
      <c r="A2210" t="s">
        <v>396</v>
      </c>
      <c r="C2210" t="s">
        <v>5040</v>
      </c>
      <c r="D2210" t="s">
        <v>385</v>
      </c>
      <c r="E2210" s="133">
        <v>45841</v>
      </c>
      <c r="F2210" s="2">
        <v>0.12715277777777778</v>
      </c>
      <c r="G2210">
        <v>3</v>
      </c>
      <c r="H2210" s="133">
        <v>45840</v>
      </c>
      <c r="I2210" s="2">
        <v>0.62715277777777778</v>
      </c>
      <c r="J2210">
        <v>15</v>
      </c>
      <c r="R2210" t="s">
        <v>30</v>
      </c>
      <c r="W2210">
        <v>1</v>
      </c>
      <c r="X2210" t="s">
        <v>30</v>
      </c>
      <c r="AC2210" t="s">
        <v>5041</v>
      </c>
      <c r="AE2210" s="135"/>
    </row>
    <row r="2211" spans="1:31" ht="12.5" customHeight="1" x14ac:dyDescent="0.35">
      <c r="A2211" t="s">
        <v>396</v>
      </c>
      <c r="C2211" t="s">
        <v>5042</v>
      </c>
      <c r="D2211" t="s">
        <v>385</v>
      </c>
      <c r="E2211" s="133">
        <v>45841</v>
      </c>
      <c r="F2211" s="2">
        <v>0.12722222222222221</v>
      </c>
      <c r="G2211">
        <v>3</v>
      </c>
      <c r="H2211" s="133">
        <v>45840</v>
      </c>
      <c r="I2211" s="2">
        <v>0.62722222222222224</v>
      </c>
      <c r="J2211">
        <v>15</v>
      </c>
      <c r="R2211" t="s">
        <v>30</v>
      </c>
      <c r="W2211">
        <v>1</v>
      </c>
      <c r="X2211" t="s">
        <v>30</v>
      </c>
      <c r="AC2211" t="s">
        <v>5043</v>
      </c>
      <c r="AE2211" s="135"/>
    </row>
    <row r="2212" spans="1:31" ht="12.5" customHeight="1" x14ac:dyDescent="0.35">
      <c r="A2212" t="s">
        <v>396</v>
      </c>
      <c r="C2212" t="s">
        <v>5044</v>
      </c>
      <c r="D2212" t="s">
        <v>385</v>
      </c>
      <c r="E2212" s="133">
        <v>45841</v>
      </c>
      <c r="F2212" s="2">
        <v>0.12729166666666666</v>
      </c>
      <c r="G2212">
        <v>3</v>
      </c>
      <c r="H2212" s="133">
        <v>45840</v>
      </c>
      <c r="I2212" s="2">
        <v>0.62729166666666669</v>
      </c>
      <c r="J2212">
        <v>15</v>
      </c>
      <c r="R2212" t="s">
        <v>30</v>
      </c>
      <c r="W2212">
        <v>1</v>
      </c>
      <c r="X2212" t="s">
        <v>30</v>
      </c>
      <c r="AC2212" t="s">
        <v>5045</v>
      </c>
      <c r="AE2212" s="135"/>
    </row>
    <row r="2213" spans="1:31" ht="12.5" customHeight="1" x14ac:dyDescent="0.35">
      <c r="A2213" t="s">
        <v>396</v>
      </c>
      <c r="C2213" t="s">
        <v>5046</v>
      </c>
      <c r="D2213" t="s">
        <v>385</v>
      </c>
      <c r="E2213" s="133">
        <v>45841</v>
      </c>
      <c r="F2213" s="2">
        <v>0.12738425925925925</v>
      </c>
      <c r="G2213">
        <v>3</v>
      </c>
      <c r="H2213" s="133">
        <v>45840</v>
      </c>
      <c r="I2213" s="2">
        <v>0.62738425925925922</v>
      </c>
      <c r="J2213">
        <v>15</v>
      </c>
      <c r="R2213" t="s">
        <v>30</v>
      </c>
      <c r="W2213">
        <v>1</v>
      </c>
      <c r="X2213" t="s">
        <v>30</v>
      </c>
      <c r="AC2213" t="s">
        <v>5047</v>
      </c>
      <c r="AE2213" s="135"/>
    </row>
    <row r="2214" spans="1:31" ht="12.5" customHeight="1" x14ac:dyDescent="0.35">
      <c r="A2214" t="s">
        <v>396</v>
      </c>
      <c r="C2214" t="s">
        <v>5048</v>
      </c>
      <c r="D2214" t="s">
        <v>385</v>
      </c>
      <c r="E2214" s="133">
        <v>45841</v>
      </c>
      <c r="F2214" s="2">
        <v>0.12745370370370371</v>
      </c>
      <c r="G2214">
        <v>3</v>
      </c>
      <c r="H2214" s="133">
        <v>45840</v>
      </c>
      <c r="I2214" s="2">
        <v>0.62745370370370368</v>
      </c>
      <c r="J2214">
        <v>15</v>
      </c>
      <c r="R2214" t="s">
        <v>30</v>
      </c>
      <c r="W2214">
        <v>1</v>
      </c>
      <c r="X2214" t="s">
        <v>30</v>
      </c>
      <c r="AC2214" t="s">
        <v>5049</v>
      </c>
      <c r="AE2214" s="135"/>
    </row>
    <row r="2215" spans="1:31" ht="12.5" customHeight="1" x14ac:dyDescent="0.35">
      <c r="A2215" t="s">
        <v>396</v>
      </c>
      <c r="C2215" t="s">
        <v>5050</v>
      </c>
      <c r="D2215" t="s">
        <v>385</v>
      </c>
      <c r="E2215" s="133">
        <v>45841</v>
      </c>
      <c r="F2215" s="2">
        <v>0.1275462962962963</v>
      </c>
      <c r="G2215">
        <v>3</v>
      </c>
      <c r="H2215" s="133">
        <v>45840</v>
      </c>
      <c r="I2215" s="2">
        <v>0.62754629629629632</v>
      </c>
      <c r="J2215">
        <v>15</v>
      </c>
      <c r="R2215" t="s">
        <v>30</v>
      </c>
      <c r="W2215">
        <v>1</v>
      </c>
      <c r="X2215" t="s">
        <v>30</v>
      </c>
      <c r="AC2215" t="s">
        <v>5051</v>
      </c>
      <c r="AE2215" s="135"/>
    </row>
    <row r="2216" spans="1:31" ht="12.5" customHeight="1" x14ac:dyDescent="0.35">
      <c r="A2216" t="s">
        <v>396</v>
      </c>
      <c r="C2216" t="s">
        <v>5052</v>
      </c>
      <c r="D2216" t="s">
        <v>385</v>
      </c>
      <c r="E2216" s="133">
        <v>45841</v>
      </c>
      <c r="F2216" s="2">
        <v>0.12763888888888889</v>
      </c>
      <c r="G2216">
        <v>3</v>
      </c>
      <c r="H2216" s="133">
        <v>45840</v>
      </c>
      <c r="I2216" s="2">
        <v>0.62763888888888886</v>
      </c>
      <c r="J2216">
        <v>15</v>
      </c>
      <c r="R2216" t="s">
        <v>30</v>
      </c>
      <c r="W2216">
        <v>1</v>
      </c>
      <c r="X2216" t="s">
        <v>30</v>
      </c>
      <c r="AC2216" t="s">
        <v>5053</v>
      </c>
      <c r="AE2216" s="135"/>
    </row>
    <row r="2217" spans="1:31" ht="12.5" customHeight="1" x14ac:dyDescent="0.35">
      <c r="A2217" t="s">
        <v>396</v>
      </c>
      <c r="C2217" t="s">
        <v>5054</v>
      </c>
      <c r="D2217" t="s">
        <v>385</v>
      </c>
      <c r="E2217" s="133">
        <v>45841</v>
      </c>
      <c r="F2217" s="2">
        <v>0.12770833333333334</v>
      </c>
      <c r="G2217">
        <v>3</v>
      </c>
      <c r="H2217" s="133">
        <v>45840</v>
      </c>
      <c r="I2217" s="2">
        <v>0.62770833333333331</v>
      </c>
      <c r="J2217">
        <v>15</v>
      </c>
      <c r="R2217" t="s">
        <v>30</v>
      </c>
      <c r="W2217">
        <v>1</v>
      </c>
      <c r="X2217" t="s">
        <v>30</v>
      </c>
      <c r="AC2217" t="s">
        <v>5055</v>
      </c>
      <c r="AE2217" s="135"/>
    </row>
    <row r="2218" spans="1:31" ht="12.5" customHeight="1" x14ac:dyDescent="0.35">
      <c r="A2218" t="s">
        <v>396</v>
      </c>
      <c r="C2218" t="s">
        <v>5056</v>
      </c>
      <c r="D2218" t="s">
        <v>385</v>
      </c>
      <c r="E2218" s="133">
        <v>45841</v>
      </c>
      <c r="F2218" s="2">
        <v>0.12780092592592593</v>
      </c>
      <c r="G2218">
        <v>3</v>
      </c>
      <c r="H2218" s="133">
        <v>45840</v>
      </c>
      <c r="I2218" s="2">
        <v>0.62780092592592596</v>
      </c>
      <c r="J2218">
        <v>15</v>
      </c>
      <c r="R2218" t="s">
        <v>30</v>
      </c>
      <c r="W2218">
        <v>1</v>
      </c>
      <c r="X2218" t="s">
        <v>30</v>
      </c>
      <c r="AC2218" t="s">
        <v>5057</v>
      </c>
      <c r="AE2218" s="135"/>
    </row>
    <row r="2219" spans="1:31" ht="12.5" customHeight="1" x14ac:dyDescent="0.35">
      <c r="A2219" t="s">
        <v>396</v>
      </c>
      <c r="C2219" t="s">
        <v>5058</v>
      </c>
      <c r="D2219" t="s">
        <v>385</v>
      </c>
      <c r="E2219" s="133">
        <v>45841</v>
      </c>
      <c r="F2219" s="2">
        <v>0.12787037037037038</v>
      </c>
      <c r="G2219">
        <v>3</v>
      </c>
      <c r="H2219" s="133">
        <v>45840</v>
      </c>
      <c r="I2219" s="2">
        <v>0.62787037037037041</v>
      </c>
      <c r="J2219">
        <v>15</v>
      </c>
      <c r="R2219" t="s">
        <v>30</v>
      </c>
      <c r="W2219">
        <v>1</v>
      </c>
      <c r="X2219" t="s">
        <v>30</v>
      </c>
      <c r="AC2219" t="s">
        <v>5059</v>
      </c>
      <c r="AE2219" s="135"/>
    </row>
    <row r="2220" spans="1:31" ht="12.5" customHeight="1" x14ac:dyDescent="0.35">
      <c r="A2220" t="s">
        <v>396</v>
      </c>
      <c r="C2220" t="s">
        <v>5060</v>
      </c>
      <c r="D2220" t="s">
        <v>385</v>
      </c>
      <c r="E2220" s="133">
        <v>45841</v>
      </c>
      <c r="F2220" s="2">
        <v>0.12796296296296297</v>
      </c>
      <c r="G2220">
        <v>3</v>
      </c>
      <c r="H2220" s="133">
        <v>45840</v>
      </c>
      <c r="I2220" s="2">
        <v>0.62796296296296295</v>
      </c>
      <c r="J2220">
        <v>15</v>
      </c>
      <c r="R2220" t="s">
        <v>30</v>
      </c>
      <c r="W2220">
        <v>1</v>
      </c>
      <c r="X2220" t="s">
        <v>30</v>
      </c>
      <c r="AC2220" t="s">
        <v>5061</v>
      </c>
      <c r="AE2220" s="135"/>
    </row>
    <row r="2221" spans="1:31" ht="12.5" customHeight="1" x14ac:dyDescent="0.35">
      <c r="A2221" t="s">
        <v>396</v>
      </c>
      <c r="C2221" t="s">
        <v>5062</v>
      </c>
      <c r="D2221" t="s">
        <v>385</v>
      </c>
      <c r="E2221" s="133">
        <v>45841</v>
      </c>
      <c r="F2221" s="2">
        <v>0.12807870370370369</v>
      </c>
      <c r="G2221">
        <v>3</v>
      </c>
      <c r="H2221" s="133">
        <v>45840</v>
      </c>
      <c r="I2221" s="2">
        <v>0.62807870370370367</v>
      </c>
      <c r="J2221">
        <v>15</v>
      </c>
      <c r="R2221" t="s">
        <v>30</v>
      </c>
      <c r="W2221">
        <v>1</v>
      </c>
      <c r="X2221" t="s">
        <v>30</v>
      </c>
      <c r="AC2221" t="s">
        <v>5063</v>
      </c>
      <c r="AE2221" s="135"/>
    </row>
    <row r="2222" spans="1:31" ht="12.5" customHeight="1" x14ac:dyDescent="0.35">
      <c r="A2222" t="s">
        <v>396</v>
      </c>
      <c r="C2222" t="s">
        <v>5064</v>
      </c>
      <c r="D2222" t="s">
        <v>385</v>
      </c>
      <c r="E2222" s="133">
        <v>45841</v>
      </c>
      <c r="F2222" s="2">
        <v>0.12814814814814815</v>
      </c>
      <c r="G2222">
        <v>3</v>
      </c>
      <c r="H2222" s="133">
        <v>45840</v>
      </c>
      <c r="I2222" s="2">
        <v>0.62814814814814812</v>
      </c>
      <c r="J2222">
        <v>15</v>
      </c>
      <c r="R2222" t="s">
        <v>30</v>
      </c>
      <c r="W2222">
        <v>1</v>
      </c>
      <c r="X2222" t="s">
        <v>30</v>
      </c>
      <c r="AC2222" t="s">
        <v>5065</v>
      </c>
      <c r="AE2222" s="135"/>
    </row>
    <row r="2223" spans="1:31" ht="12.5" customHeight="1" x14ac:dyDescent="0.35">
      <c r="A2223" t="s">
        <v>396</v>
      </c>
      <c r="C2223" t="s">
        <v>5066</v>
      </c>
      <c r="D2223" t="s">
        <v>385</v>
      </c>
      <c r="E2223" s="133">
        <v>45841</v>
      </c>
      <c r="F2223" s="2">
        <v>0.12821759259259261</v>
      </c>
      <c r="G2223">
        <v>3</v>
      </c>
      <c r="H2223" s="133">
        <v>45840</v>
      </c>
      <c r="I2223" s="2">
        <v>0.62821759259259258</v>
      </c>
      <c r="J2223">
        <v>15</v>
      </c>
      <c r="R2223" t="s">
        <v>30</v>
      </c>
      <c r="W2223">
        <v>1</v>
      </c>
      <c r="X2223" t="s">
        <v>30</v>
      </c>
      <c r="AC2223" t="s">
        <v>5067</v>
      </c>
      <c r="AE2223" s="135"/>
    </row>
    <row r="2224" spans="1:31" ht="12.5" customHeight="1" x14ac:dyDescent="0.35">
      <c r="A2224" t="s">
        <v>396</v>
      </c>
      <c r="C2224" t="s">
        <v>5068</v>
      </c>
      <c r="D2224" t="s">
        <v>385</v>
      </c>
      <c r="E2224" s="133">
        <v>45841</v>
      </c>
      <c r="F2224" s="2">
        <v>0.12831018518518519</v>
      </c>
      <c r="G2224">
        <v>3</v>
      </c>
      <c r="H2224" s="133">
        <v>45840</v>
      </c>
      <c r="I2224" s="2">
        <v>0.62831018518518522</v>
      </c>
      <c r="J2224">
        <v>15</v>
      </c>
      <c r="R2224" t="s">
        <v>30</v>
      </c>
      <c r="W2224">
        <v>1</v>
      </c>
      <c r="X2224" t="s">
        <v>30</v>
      </c>
      <c r="AC2224" t="s">
        <v>5069</v>
      </c>
      <c r="AE2224" s="135"/>
    </row>
    <row r="2225" spans="1:31" ht="12.5" customHeight="1" x14ac:dyDescent="0.35">
      <c r="A2225" t="s">
        <v>396</v>
      </c>
      <c r="C2225" t="s">
        <v>5070</v>
      </c>
      <c r="D2225" t="s">
        <v>385</v>
      </c>
      <c r="E2225" s="133">
        <v>45841</v>
      </c>
      <c r="F2225" s="2">
        <v>0.12842592592592592</v>
      </c>
      <c r="G2225">
        <v>3</v>
      </c>
      <c r="H2225" s="133">
        <v>45840</v>
      </c>
      <c r="I2225" s="2">
        <v>0.62842592592592594</v>
      </c>
      <c r="J2225">
        <v>15</v>
      </c>
      <c r="R2225" t="s">
        <v>30</v>
      </c>
      <c r="W2225">
        <v>1</v>
      </c>
      <c r="X2225" t="s">
        <v>30</v>
      </c>
      <c r="AC2225" t="s">
        <v>5071</v>
      </c>
      <c r="AE2225" s="135"/>
    </row>
    <row r="2226" spans="1:31" ht="12.5" customHeight="1" x14ac:dyDescent="0.35">
      <c r="A2226" t="s">
        <v>396</v>
      </c>
      <c r="C2226" t="s">
        <v>5072</v>
      </c>
      <c r="D2226" t="s">
        <v>385</v>
      </c>
      <c r="E2226" s="133">
        <v>45841</v>
      </c>
      <c r="F2226" s="2">
        <v>0.12856481481481483</v>
      </c>
      <c r="G2226">
        <v>3</v>
      </c>
      <c r="H2226" s="133">
        <v>45840</v>
      </c>
      <c r="I2226" s="2">
        <v>0.62856481481481474</v>
      </c>
      <c r="J2226">
        <v>15</v>
      </c>
      <c r="R2226" t="s">
        <v>30</v>
      </c>
      <c r="W2226">
        <v>1</v>
      </c>
      <c r="X2226" t="s">
        <v>30</v>
      </c>
      <c r="AC2226" t="s">
        <v>5073</v>
      </c>
      <c r="AE2226" s="135"/>
    </row>
    <row r="2227" spans="1:31" ht="12.5" customHeight="1" x14ac:dyDescent="0.35">
      <c r="A2227" t="s">
        <v>396</v>
      </c>
      <c r="C2227" t="s">
        <v>5074</v>
      </c>
      <c r="D2227" t="s">
        <v>385</v>
      </c>
      <c r="E2227" s="133">
        <v>45841</v>
      </c>
      <c r="F2227" s="2">
        <v>0.12865740740740741</v>
      </c>
      <c r="G2227">
        <v>3</v>
      </c>
      <c r="H2227" s="133">
        <v>45840</v>
      </c>
      <c r="I2227" s="2">
        <v>0.62865740740740739</v>
      </c>
      <c r="J2227">
        <v>15</v>
      </c>
      <c r="R2227" t="s">
        <v>30</v>
      </c>
      <c r="W2227">
        <v>1</v>
      </c>
      <c r="X2227" t="s">
        <v>30</v>
      </c>
      <c r="AC2227" t="s">
        <v>5075</v>
      </c>
      <c r="AE2227" s="135"/>
    </row>
    <row r="2228" spans="1:31" ht="12.5" customHeight="1" x14ac:dyDescent="0.35">
      <c r="A2228" t="s">
        <v>396</v>
      </c>
      <c r="C2228" t="s">
        <v>5076</v>
      </c>
      <c r="D2228" t="s">
        <v>385</v>
      </c>
      <c r="E2228" s="133">
        <v>45841</v>
      </c>
      <c r="F2228" s="2">
        <v>0.12875</v>
      </c>
      <c r="G2228">
        <v>3</v>
      </c>
      <c r="H2228" s="133">
        <v>45840</v>
      </c>
      <c r="I2228" s="2">
        <v>0.62875000000000003</v>
      </c>
      <c r="J2228">
        <v>15</v>
      </c>
      <c r="R2228" t="s">
        <v>30</v>
      </c>
      <c r="W2228">
        <v>1</v>
      </c>
      <c r="X2228" t="s">
        <v>30</v>
      </c>
      <c r="AC2228" t="s">
        <v>5077</v>
      </c>
      <c r="AE2228" s="135"/>
    </row>
    <row r="2229" spans="1:31" ht="12.5" customHeight="1" x14ac:dyDescent="0.35">
      <c r="A2229" t="s">
        <v>396</v>
      </c>
      <c r="C2229" t="s">
        <v>5078</v>
      </c>
      <c r="D2229" t="s">
        <v>385</v>
      </c>
      <c r="E2229" s="133">
        <v>45841</v>
      </c>
      <c r="F2229" s="2">
        <v>0.12886574074074073</v>
      </c>
      <c r="G2229">
        <v>3</v>
      </c>
      <c r="H2229" s="133">
        <v>45840</v>
      </c>
      <c r="I2229" s="2">
        <v>0.62886574074074075</v>
      </c>
      <c r="J2229">
        <v>15</v>
      </c>
      <c r="R2229" t="s">
        <v>30</v>
      </c>
      <c r="W2229">
        <v>1</v>
      </c>
      <c r="X2229" t="s">
        <v>30</v>
      </c>
      <c r="AC2229" t="s">
        <v>5079</v>
      </c>
      <c r="AE2229" s="135"/>
    </row>
    <row r="2230" spans="1:31" ht="12.5" customHeight="1" x14ac:dyDescent="0.35">
      <c r="A2230" t="s">
        <v>396</v>
      </c>
      <c r="C2230" t="s">
        <v>5080</v>
      </c>
      <c r="D2230" t="s">
        <v>385</v>
      </c>
      <c r="E2230" s="133">
        <v>45841</v>
      </c>
      <c r="F2230" s="2">
        <v>0.12895833333333334</v>
      </c>
      <c r="G2230">
        <v>3</v>
      </c>
      <c r="H2230" s="133">
        <v>45840</v>
      </c>
      <c r="I2230" s="2">
        <v>0.6289583333333334</v>
      </c>
      <c r="J2230">
        <v>15</v>
      </c>
      <c r="R2230" t="s">
        <v>30</v>
      </c>
      <c r="W2230">
        <v>1</v>
      </c>
      <c r="X2230" t="s">
        <v>30</v>
      </c>
      <c r="AC2230" t="s">
        <v>5081</v>
      </c>
      <c r="AE2230" s="135"/>
    </row>
    <row r="2231" spans="1:31" ht="12.5" customHeight="1" x14ac:dyDescent="0.35">
      <c r="A2231" t="s">
        <v>396</v>
      </c>
      <c r="C2231" t="s">
        <v>5082</v>
      </c>
      <c r="D2231" t="s">
        <v>385</v>
      </c>
      <c r="E2231" s="133">
        <v>45841</v>
      </c>
      <c r="F2231" s="2">
        <v>0.12902777777777777</v>
      </c>
      <c r="G2231">
        <v>3</v>
      </c>
      <c r="H2231" s="133">
        <v>45840</v>
      </c>
      <c r="I2231" s="2">
        <v>0.62902777777777774</v>
      </c>
      <c r="J2231">
        <v>15</v>
      </c>
      <c r="R2231" t="s">
        <v>30</v>
      </c>
      <c r="W2231">
        <v>1</v>
      </c>
      <c r="X2231" t="s">
        <v>30</v>
      </c>
      <c r="AC2231" t="s">
        <v>5083</v>
      </c>
      <c r="AE2231" s="135"/>
    </row>
    <row r="2232" spans="1:31" ht="12.5" customHeight="1" x14ac:dyDescent="0.35">
      <c r="A2232" t="s">
        <v>396</v>
      </c>
      <c r="C2232" t="s">
        <v>5084</v>
      </c>
      <c r="D2232" t="s">
        <v>385</v>
      </c>
      <c r="E2232" s="133">
        <v>45841</v>
      </c>
      <c r="F2232" s="2">
        <v>0.12912037037037036</v>
      </c>
      <c r="G2232">
        <v>3</v>
      </c>
      <c r="H2232" s="133">
        <v>45840</v>
      </c>
      <c r="I2232" s="2">
        <v>0.62912037037037039</v>
      </c>
      <c r="J2232">
        <v>15</v>
      </c>
      <c r="R2232" t="s">
        <v>30</v>
      </c>
      <c r="W2232">
        <v>1</v>
      </c>
      <c r="X2232" t="s">
        <v>30</v>
      </c>
      <c r="AC2232" t="s">
        <v>5085</v>
      </c>
      <c r="AE2232" s="135"/>
    </row>
    <row r="2233" spans="1:31" ht="12.5" customHeight="1" x14ac:dyDescent="0.35">
      <c r="A2233" t="s">
        <v>396</v>
      </c>
      <c r="C2233" t="s">
        <v>5086</v>
      </c>
      <c r="D2233" t="s">
        <v>385</v>
      </c>
      <c r="E2233" s="133">
        <v>45841</v>
      </c>
      <c r="F2233" s="2">
        <v>0.12921296296296295</v>
      </c>
      <c r="G2233">
        <v>3</v>
      </c>
      <c r="H2233" s="133">
        <v>45840</v>
      </c>
      <c r="I2233" s="2">
        <v>0.62921296296296292</v>
      </c>
      <c r="J2233">
        <v>15</v>
      </c>
      <c r="R2233" t="s">
        <v>30</v>
      </c>
      <c r="W2233">
        <v>1</v>
      </c>
      <c r="X2233" t="s">
        <v>30</v>
      </c>
      <c r="AC2233" t="s">
        <v>5087</v>
      </c>
      <c r="AE2233" s="135"/>
    </row>
    <row r="2234" spans="1:31" ht="12.5" customHeight="1" x14ac:dyDescent="0.35">
      <c r="A2234" t="s">
        <v>396</v>
      </c>
      <c r="C2234" t="s">
        <v>5088</v>
      </c>
      <c r="D2234" t="s">
        <v>385</v>
      </c>
      <c r="E2234" s="133">
        <v>45841</v>
      </c>
      <c r="F2234" s="2">
        <v>0.1293287037037037</v>
      </c>
      <c r="G2234">
        <v>3</v>
      </c>
      <c r="H2234" s="133">
        <v>45840</v>
      </c>
      <c r="I2234" s="2">
        <v>0.62932870370370375</v>
      </c>
      <c r="J2234">
        <v>15</v>
      </c>
      <c r="R2234" t="s">
        <v>30</v>
      </c>
      <c r="W2234">
        <v>1</v>
      </c>
      <c r="X2234" t="s">
        <v>30</v>
      </c>
      <c r="AC2234" t="s">
        <v>5089</v>
      </c>
      <c r="AE2234" s="135"/>
    </row>
    <row r="2235" spans="1:31" ht="12.5" customHeight="1" x14ac:dyDescent="0.35">
      <c r="A2235" t="s">
        <v>396</v>
      </c>
      <c r="C2235" t="s">
        <v>5090</v>
      </c>
      <c r="D2235" t="s">
        <v>385</v>
      </c>
      <c r="E2235" s="133">
        <v>45841</v>
      </c>
      <c r="F2235" s="2">
        <v>0.12939814814814815</v>
      </c>
      <c r="G2235">
        <v>3</v>
      </c>
      <c r="H2235" s="133">
        <v>45840</v>
      </c>
      <c r="I2235" s="2">
        <v>0.62939814814814821</v>
      </c>
      <c r="J2235">
        <v>15</v>
      </c>
      <c r="R2235" t="s">
        <v>30</v>
      </c>
      <c r="W2235">
        <v>1</v>
      </c>
      <c r="X2235" t="s">
        <v>30</v>
      </c>
      <c r="AC2235" t="s">
        <v>5091</v>
      </c>
      <c r="AE2235" s="135"/>
    </row>
    <row r="2236" spans="1:31" ht="12.5" customHeight="1" x14ac:dyDescent="0.35">
      <c r="A2236" t="s">
        <v>396</v>
      </c>
      <c r="C2236" t="s">
        <v>5092</v>
      </c>
      <c r="D2236" t="s">
        <v>385</v>
      </c>
      <c r="E2236" s="133">
        <v>45841</v>
      </c>
      <c r="F2236" s="2">
        <v>0.1295138888888889</v>
      </c>
      <c r="G2236">
        <v>3</v>
      </c>
      <c r="H2236" s="133">
        <v>45840</v>
      </c>
      <c r="I2236" s="2">
        <v>0.62951388888888882</v>
      </c>
      <c r="J2236">
        <v>15</v>
      </c>
      <c r="R2236" t="s">
        <v>30</v>
      </c>
      <c r="W2236">
        <v>1</v>
      </c>
      <c r="X2236" t="s">
        <v>30</v>
      </c>
      <c r="AC2236" t="s">
        <v>5093</v>
      </c>
      <c r="AE2236" s="135"/>
    </row>
    <row r="2237" spans="1:31" ht="12.5" customHeight="1" x14ac:dyDescent="0.35">
      <c r="A2237" t="s">
        <v>396</v>
      </c>
      <c r="C2237" t="s">
        <v>5094</v>
      </c>
      <c r="D2237" t="s">
        <v>385</v>
      </c>
      <c r="E2237" s="133">
        <v>45841</v>
      </c>
      <c r="F2237" s="2">
        <v>0.12974537037037037</v>
      </c>
      <c r="G2237">
        <v>3</v>
      </c>
      <c r="H2237" s="133">
        <v>45840</v>
      </c>
      <c r="I2237" s="2">
        <v>0.62974537037037037</v>
      </c>
      <c r="J2237">
        <v>15</v>
      </c>
      <c r="R2237" t="s">
        <v>432</v>
      </c>
      <c r="S2237">
        <v>2</v>
      </c>
      <c r="T2237">
        <v>0</v>
      </c>
      <c r="U2237">
        <v>0</v>
      </c>
      <c r="V2237">
        <v>0</v>
      </c>
      <c r="W2237">
        <v>1</v>
      </c>
      <c r="X2237" t="s">
        <v>30</v>
      </c>
      <c r="AC2237" t="s">
        <v>5095</v>
      </c>
      <c r="AE2237" s="135"/>
    </row>
    <row r="2238" spans="1:31" ht="12.5" customHeight="1" x14ac:dyDescent="0.35">
      <c r="A2238" t="s">
        <v>396</v>
      </c>
      <c r="C2238" t="s">
        <v>5096</v>
      </c>
      <c r="D2238" t="s">
        <v>385</v>
      </c>
      <c r="E2238" s="133">
        <v>45841</v>
      </c>
      <c r="F2238" s="2">
        <v>0.12983796296296296</v>
      </c>
      <c r="G2238">
        <v>3</v>
      </c>
      <c r="H2238" s="133">
        <v>45840</v>
      </c>
      <c r="I2238" s="2">
        <v>0.62983796296296302</v>
      </c>
      <c r="J2238">
        <v>15</v>
      </c>
      <c r="R2238" t="s">
        <v>30</v>
      </c>
      <c r="W2238">
        <v>1</v>
      </c>
      <c r="X2238" t="s">
        <v>30</v>
      </c>
      <c r="AC2238" t="s">
        <v>5097</v>
      </c>
      <c r="AE2238" s="135"/>
    </row>
    <row r="2239" spans="1:31" ht="12.5" customHeight="1" x14ac:dyDescent="0.35">
      <c r="A2239" t="s">
        <v>396</v>
      </c>
      <c r="C2239" t="s">
        <v>5098</v>
      </c>
      <c r="D2239" t="s">
        <v>385</v>
      </c>
      <c r="E2239" s="133">
        <v>45841</v>
      </c>
      <c r="F2239" s="2">
        <v>0.12990740740740742</v>
      </c>
      <c r="G2239">
        <v>3</v>
      </c>
      <c r="H2239" s="133">
        <v>45840</v>
      </c>
      <c r="I2239" s="2">
        <v>0.62990740740740747</v>
      </c>
      <c r="J2239">
        <v>15</v>
      </c>
      <c r="R2239" t="s">
        <v>432</v>
      </c>
      <c r="S2239">
        <v>2</v>
      </c>
      <c r="T2239">
        <v>0</v>
      </c>
      <c r="U2239">
        <v>0</v>
      </c>
      <c r="V2239">
        <v>0</v>
      </c>
      <c r="W2239">
        <v>1</v>
      </c>
      <c r="X2239" t="s">
        <v>30</v>
      </c>
      <c r="AC2239" t="s">
        <v>5099</v>
      </c>
      <c r="AE2239" s="135"/>
    </row>
    <row r="2240" spans="1:31" ht="12.5" customHeight="1" x14ac:dyDescent="0.35">
      <c r="A2240" t="s">
        <v>396</v>
      </c>
      <c r="C2240" t="s">
        <v>5100</v>
      </c>
      <c r="D2240" t="s">
        <v>385</v>
      </c>
      <c r="E2240" s="133">
        <v>45841</v>
      </c>
      <c r="F2240" s="2">
        <v>0.13</v>
      </c>
      <c r="G2240">
        <v>3</v>
      </c>
      <c r="H2240" s="133">
        <v>45840</v>
      </c>
      <c r="I2240" s="2">
        <v>0.63</v>
      </c>
      <c r="J2240">
        <v>15</v>
      </c>
      <c r="R2240" t="s">
        <v>30</v>
      </c>
      <c r="W2240">
        <v>1</v>
      </c>
      <c r="X2240" t="s">
        <v>30</v>
      </c>
      <c r="AC2240" t="s">
        <v>5101</v>
      </c>
      <c r="AE2240" s="135"/>
    </row>
    <row r="2241" spans="1:31" ht="12.5" customHeight="1" x14ac:dyDescent="0.35">
      <c r="A2241" t="s">
        <v>396</v>
      </c>
      <c r="C2241" t="s">
        <v>5102</v>
      </c>
      <c r="D2241" t="s">
        <v>385</v>
      </c>
      <c r="E2241" s="133">
        <v>45841</v>
      </c>
      <c r="F2241" s="2">
        <v>0.13006944444444443</v>
      </c>
      <c r="G2241">
        <v>3</v>
      </c>
      <c r="H2241" s="133">
        <v>45840</v>
      </c>
      <c r="I2241" s="2">
        <v>0.63006944444444446</v>
      </c>
      <c r="J2241">
        <v>15</v>
      </c>
      <c r="R2241" t="s">
        <v>30</v>
      </c>
      <c r="W2241">
        <v>1</v>
      </c>
      <c r="X2241" t="s">
        <v>30</v>
      </c>
      <c r="AC2241" t="s">
        <v>5103</v>
      </c>
      <c r="AE2241" s="135"/>
    </row>
    <row r="2242" spans="1:31" ht="12.5" customHeight="1" x14ac:dyDescent="0.35">
      <c r="A2242" t="s">
        <v>396</v>
      </c>
      <c r="C2242" t="s">
        <v>5104</v>
      </c>
      <c r="D2242" t="s">
        <v>385</v>
      </c>
      <c r="E2242" s="133">
        <v>45841</v>
      </c>
      <c r="F2242" s="2">
        <v>0.13018518518518518</v>
      </c>
      <c r="G2242">
        <v>3</v>
      </c>
      <c r="H2242" s="133">
        <v>45840</v>
      </c>
      <c r="I2242" s="2">
        <v>0.63018518518518518</v>
      </c>
      <c r="J2242">
        <v>15</v>
      </c>
      <c r="R2242" t="s">
        <v>30</v>
      </c>
      <c r="W2242">
        <v>1</v>
      </c>
      <c r="X2242" t="s">
        <v>30</v>
      </c>
      <c r="AC2242" t="s">
        <v>5105</v>
      </c>
      <c r="AE2242" s="135"/>
    </row>
    <row r="2243" spans="1:31" ht="12.5" customHeight="1" x14ac:dyDescent="0.35">
      <c r="A2243" t="s">
        <v>396</v>
      </c>
      <c r="C2243" t="s">
        <v>5106</v>
      </c>
      <c r="D2243" t="s">
        <v>385</v>
      </c>
      <c r="E2243" s="133">
        <v>45841</v>
      </c>
      <c r="F2243" s="2">
        <v>0.13027777777777777</v>
      </c>
      <c r="G2243">
        <v>3</v>
      </c>
      <c r="H2243" s="133">
        <v>45840</v>
      </c>
      <c r="I2243" s="2">
        <v>0.63027777777777783</v>
      </c>
      <c r="J2243">
        <v>15</v>
      </c>
      <c r="R2243" t="s">
        <v>30</v>
      </c>
      <c r="W2243">
        <v>1</v>
      </c>
      <c r="X2243" t="s">
        <v>30</v>
      </c>
      <c r="AC2243" t="s">
        <v>5107</v>
      </c>
      <c r="AE2243" s="135"/>
    </row>
    <row r="2244" spans="1:31" ht="12.5" customHeight="1" x14ac:dyDescent="0.35">
      <c r="A2244" t="s">
        <v>396</v>
      </c>
      <c r="C2244" t="s">
        <v>5108</v>
      </c>
      <c r="D2244" t="s">
        <v>385</v>
      </c>
      <c r="E2244" s="133">
        <v>45841</v>
      </c>
      <c r="F2244" s="2">
        <v>0.13037037037037039</v>
      </c>
      <c r="G2244">
        <v>3</v>
      </c>
      <c r="H2244" s="133">
        <v>45840</v>
      </c>
      <c r="I2244" s="2">
        <v>0.63037037037037036</v>
      </c>
      <c r="J2244">
        <v>15</v>
      </c>
      <c r="R2244" t="s">
        <v>30</v>
      </c>
      <c r="W2244">
        <v>1</v>
      </c>
      <c r="X2244" t="s">
        <v>30</v>
      </c>
      <c r="AC2244" t="s">
        <v>5109</v>
      </c>
      <c r="AE2244" s="135"/>
    </row>
    <row r="2245" spans="1:31" ht="12.5" customHeight="1" x14ac:dyDescent="0.35">
      <c r="A2245" t="s">
        <v>396</v>
      </c>
      <c r="C2245" t="s">
        <v>5110</v>
      </c>
      <c r="D2245" t="s">
        <v>385</v>
      </c>
      <c r="E2245" s="133">
        <v>45841</v>
      </c>
      <c r="F2245" s="2">
        <v>0.13046296296296298</v>
      </c>
      <c r="G2245">
        <v>3</v>
      </c>
      <c r="H2245" s="133">
        <v>45840</v>
      </c>
      <c r="I2245" s="2">
        <v>0.63046296296296289</v>
      </c>
      <c r="J2245">
        <v>15</v>
      </c>
      <c r="R2245" t="s">
        <v>30</v>
      </c>
      <c r="W2245">
        <v>1</v>
      </c>
      <c r="X2245" t="s">
        <v>30</v>
      </c>
      <c r="AC2245" t="s">
        <v>5111</v>
      </c>
      <c r="AE2245" s="135"/>
    </row>
    <row r="2246" spans="1:31" ht="12.5" customHeight="1" x14ac:dyDescent="0.35">
      <c r="A2246" t="s">
        <v>396</v>
      </c>
      <c r="C2246" t="s">
        <v>5112</v>
      </c>
      <c r="D2246" t="s">
        <v>385</v>
      </c>
      <c r="E2246" s="133">
        <v>45841</v>
      </c>
      <c r="F2246" s="2">
        <v>0.13055555555555556</v>
      </c>
      <c r="G2246">
        <v>3</v>
      </c>
      <c r="H2246" s="133">
        <v>45840</v>
      </c>
      <c r="I2246" s="2">
        <v>0.63055555555555554</v>
      </c>
      <c r="J2246">
        <v>15</v>
      </c>
      <c r="R2246" t="s">
        <v>30</v>
      </c>
      <c r="W2246">
        <v>1</v>
      </c>
      <c r="X2246" t="s">
        <v>30</v>
      </c>
      <c r="AC2246" t="s">
        <v>5113</v>
      </c>
      <c r="AE2246" s="135"/>
    </row>
    <row r="2247" spans="1:31" ht="12.5" customHeight="1" x14ac:dyDescent="0.35">
      <c r="A2247" t="s">
        <v>396</v>
      </c>
      <c r="C2247" t="s">
        <v>5114</v>
      </c>
      <c r="D2247" t="s">
        <v>385</v>
      </c>
      <c r="E2247" s="133">
        <v>45841</v>
      </c>
      <c r="F2247" s="2">
        <v>0.13067129629629629</v>
      </c>
      <c r="G2247">
        <v>3</v>
      </c>
      <c r="H2247" s="133">
        <v>45840</v>
      </c>
      <c r="I2247" s="2">
        <v>0.63067129629629626</v>
      </c>
      <c r="J2247">
        <v>15</v>
      </c>
      <c r="R2247" t="s">
        <v>30</v>
      </c>
      <c r="W2247">
        <v>1</v>
      </c>
      <c r="X2247" t="s">
        <v>30</v>
      </c>
      <c r="AC2247" t="s">
        <v>5115</v>
      </c>
      <c r="AE2247" s="135"/>
    </row>
    <row r="2248" spans="1:31" ht="12.5" customHeight="1" x14ac:dyDescent="0.35">
      <c r="A2248" t="s">
        <v>396</v>
      </c>
      <c r="C2248" t="s">
        <v>5116</v>
      </c>
      <c r="D2248" t="s">
        <v>385</v>
      </c>
      <c r="E2248" s="133">
        <v>45841</v>
      </c>
      <c r="F2248" s="2">
        <v>0.13074074074074074</v>
      </c>
      <c r="G2248">
        <v>3</v>
      </c>
      <c r="H2248" s="133">
        <v>45840</v>
      </c>
      <c r="I2248" s="2">
        <v>0.63074074074074071</v>
      </c>
      <c r="J2248">
        <v>15</v>
      </c>
      <c r="R2248" t="s">
        <v>30</v>
      </c>
      <c r="W2248">
        <v>1</v>
      </c>
      <c r="X2248" t="s">
        <v>30</v>
      </c>
      <c r="AC2248" t="s">
        <v>5117</v>
      </c>
      <c r="AE2248" s="135"/>
    </row>
    <row r="2249" spans="1:31" ht="12.5" customHeight="1" x14ac:dyDescent="0.35">
      <c r="A2249" t="s">
        <v>396</v>
      </c>
      <c r="C2249" t="s">
        <v>5118</v>
      </c>
      <c r="D2249" t="s">
        <v>385</v>
      </c>
      <c r="E2249" s="133">
        <v>45841</v>
      </c>
      <c r="F2249" s="2">
        <v>0.13083333333333333</v>
      </c>
      <c r="G2249">
        <v>3</v>
      </c>
      <c r="H2249" s="133">
        <v>45840</v>
      </c>
      <c r="I2249" s="2">
        <v>0.63083333333333336</v>
      </c>
      <c r="J2249">
        <v>15</v>
      </c>
      <c r="R2249" t="s">
        <v>30</v>
      </c>
      <c r="W2249">
        <v>1</v>
      </c>
      <c r="X2249" t="s">
        <v>30</v>
      </c>
      <c r="AC2249" t="s">
        <v>5119</v>
      </c>
      <c r="AE2249" s="135"/>
    </row>
    <row r="2250" spans="1:31" ht="12.5" customHeight="1" x14ac:dyDescent="0.35">
      <c r="A2250" t="s">
        <v>396</v>
      </c>
      <c r="C2250" t="s">
        <v>5120</v>
      </c>
      <c r="D2250" t="s">
        <v>385</v>
      </c>
      <c r="E2250" s="133">
        <v>45841</v>
      </c>
      <c r="F2250" s="2">
        <v>0.13090277777777778</v>
      </c>
      <c r="G2250">
        <v>3</v>
      </c>
      <c r="H2250" s="133">
        <v>45840</v>
      </c>
      <c r="I2250" s="2">
        <v>0.63090277777777781</v>
      </c>
      <c r="J2250">
        <v>15</v>
      </c>
      <c r="R2250" t="s">
        <v>30</v>
      </c>
      <c r="W2250">
        <v>1</v>
      </c>
      <c r="X2250" t="s">
        <v>30</v>
      </c>
      <c r="AC2250" t="s">
        <v>5121</v>
      </c>
      <c r="AE2250" s="135"/>
    </row>
    <row r="2251" spans="1:31" ht="12.5" customHeight="1" x14ac:dyDescent="0.35">
      <c r="A2251" t="s">
        <v>396</v>
      </c>
      <c r="C2251" t="s">
        <v>5122</v>
      </c>
      <c r="D2251" t="s">
        <v>385</v>
      </c>
      <c r="E2251" s="133">
        <v>45841</v>
      </c>
      <c r="F2251" s="2">
        <v>0.13106481481481483</v>
      </c>
      <c r="G2251">
        <v>3</v>
      </c>
      <c r="H2251" s="133">
        <v>45840</v>
      </c>
      <c r="I2251" s="2">
        <v>0.6310648148148148</v>
      </c>
      <c r="J2251">
        <v>15</v>
      </c>
      <c r="R2251" t="s">
        <v>30</v>
      </c>
      <c r="W2251">
        <v>1</v>
      </c>
      <c r="X2251" t="s">
        <v>30</v>
      </c>
      <c r="AC2251" t="s">
        <v>5123</v>
      </c>
      <c r="AE2251" s="135"/>
    </row>
    <row r="2252" spans="1:31" ht="12.5" customHeight="1" x14ac:dyDescent="0.35">
      <c r="A2252" t="s">
        <v>396</v>
      </c>
      <c r="C2252" t="s">
        <v>5124</v>
      </c>
      <c r="D2252" t="s">
        <v>385</v>
      </c>
      <c r="E2252" s="133">
        <v>45841</v>
      </c>
      <c r="F2252" s="2">
        <v>0.13113425925925926</v>
      </c>
      <c r="G2252">
        <v>3</v>
      </c>
      <c r="H2252" s="133">
        <v>45840</v>
      </c>
      <c r="I2252" s="2">
        <v>0.63113425925925926</v>
      </c>
      <c r="J2252">
        <v>15</v>
      </c>
      <c r="R2252" t="s">
        <v>30</v>
      </c>
      <c r="W2252">
        <v>1</v>
      </c>
      <c r="X2252" t="s">
        <v>30</v>
      </c>
      <c r="AC2252" t="s">
        <v>5125</v>
      </c>
      <c r="AE2252" s="135"/>
    </row>
    <row r="2253" spans="1:31" ht="12.5" customHeight="1" x14ac:dyDescent="0.35">
      <c r="A2253" t="s">
        <v>396</v>
      </c>
      <c r="C2253" t="s">
        <v>5126</v>
      </c>
      <c r="D2253" t="s">
        <v>385</v>
      </c>
      <c r="E2253" s="133">
        <v>45841</v>
      </c>
      <c r="F2253" s="2">
        <v>0.13125000000000001</v>
      </c>
      <c r="G2253">
        <v>3</v>
      </c>
      <c r="H2253" s="133">
        <v>45840</v>
      </c>
      <c r="I2253" s="2">
        <v>0.63124999999999998</v>
      </c>
      <c r="J2253">
        <v>15</v>
      </c>
      <c r="R2253" t="s">
        <v>30</v>
      </c>
      <c r="W2253">
        <v>1</v>
      </c>
      <c r="X2253" t="s">
        <v>30</v>
      </c>
      <c r="AC2253" t="s">
        <v>5127</v>
      </c>
      <c r="AE2253" s="135"/>
    </row>
    <row r="2254" spans="1:31" ht="12.5" customHeight="1" x14ac:dyDescent="0.35">
      <c r="A2254" t="s">
        <v>396</v>
      </c>
      <c r="C2254" t="s">
        <v>5128</v>
      </c>
      <c r="D2254" t="s">
        <v>385</v>
      </c>
      <c r="E2254" s="133">
        <v>45841</v>
      </c>
      <c r="F2254" s="2">
        <v>0.13136574074074073</v>
      </c>
      <c r="G2254">
        <v>3</v>
      </c>
      <c r="H2254" s="133">
        <v>45840</v>
      </c>
      <c r="I2254" s="2">
        <v>0.63136574074074081</v>
      </c>
      <c r="J2254">
        <v>15</v>
      </c>
      <c r="R2254" t="s">
        <v>30</v>
      </c>
      <c r="W2254">
        <v>1</v>
      </c>
      <c r="X2254" t="s">
        <v>30</v>
      </c>
      <c r="AC2254" t="s">
        <v>5129</v>
      </c>
      <c r="AE2254" s="135"/>
    </row>
    <row r="2255" spans="1:31" ht="12.5" customHeight="1" x14ac:dyDescent="0.35">
      <c r="A2255" t="s">
        <v>396</v>
      </c>
      <c r="C2255" t="s">
        <v>5130</v>
      </c>
      <c r="D2255" t="s">
        <v>385</v>
      </c>
      <c r="E2255" s="133">
        <v>45841</v>
      </c>
      <c r="F2255" s="2">
        <v>0.13145833333333332</v>
      </c>
      <c r="G2255">
        <v>3</v>
      </c>
      <c r="H2255" s="133">
        <v>45840</v>
      </c>
      <c r="I2255" s="2">
        <v>0.63145833333333334</v>
      </c>
      <c r="J2255">
        <v>15</v>
      </c>
      <c r="R2255" t="s">
        <v>30</v>
      </c>
      <c r="W2255">
        <v>1</v>
      </c>
      <c r="X2255" t="s">
        <v>30</v>
      </c>
      <c r="AC2255" t="s">
        <v>5131</v>
      </c>
      <c r="AE2255" s="135"/>
    </row>
    <row r="2256" spans="1:31" ht="12.5" customHeight="1" x14ac:dyDescent="0.35">
      <c r="A2256" t="s">
        <v>396</v>
      </c>
      <c r="C2256" t="s">
        <v>5132</v>
      </c>
      <c r="D2256" t="s">
        <v>385</v>
      </c>
      <c r="E2256" s="133">
        <v>45841</v>
      </c>
      <c r="F2256" s="2">
        <v>0.13157407407407407</v>
      </c>
      <c r="G2256">
        <v>3</v>
      </c>
      <c r="H2256" s="133">
        <v>45840</v>
      </c>
      <c r="I2256" s="2">
        <v>0.63157407407407407</v>
      </c>
      <c r="J2256">
        <v>15</v>
      </c>
      <c r="R2256" t="s">
        <v>30</v>
      </c>
      <c r="W2256">
        <v>1</v>
      </c>
      <c r="X2256" t="s">
        <v>30</v>
      </c>
      <c r="AC2256" t="s">
        <v>5133</v>
      </c>
      <c r="AE2256" s="135"/>
    </row>
    <row r="2257" spans="1:31" ht="12.5" customHeight="1" x14ac:dyDescent="0.35">
      <c r="A2257" t="s">
        <v>396</v>
      </c>
      <c r="C2257" t="s">
        <v>5134</v>
      </c>
      <c r="D2257" t="s">
        <v>385</v>
      </c>
      <c r="E2257" s="133">
        <v>45841</v>
      </c>
      <c r="F2257" s="2">
        <v>0.13166666666666668</v>
      </c>
      <c r="G2257">
        <v>3</v>
      </c>
      <c r="H2257" s="133">
        <v>45840</v>
      </c>
      <c r="I2257" s="2">
        <v>0.63166666666666671</v>
      </c>
      <c r="J2257">
        <v>15</v>
      </c>
      <c r="R2257" t="s">
        <v>30</v>
      </c>
      <c r="W2257">
        <v>1</v>
      </c>
      <c r="X2257" t="s">
        <v>30</v>
      </c>
      <c r="AC2257" t="s">
        <v>5135</v>
      </c>
      <c r="AE2257" s="135"/>
    </row>
    <row r="2258" spans="1:31" ht="12.5" customHeight="1" x14ac:dyDescent="0.35">
      <c r="A2258" t="s">
        <v>396</v>
      </c>
      <c r="C2258" t="s">
        <v>5136</v>
      </c>
      <c r="D2258" t="s">
        <v>385</v>
      </c>
      <c r="E2258" s="133">
        <v>45841</v>
      </c>
      <c r="F2258" s="2">
        <v>0.13173611111111111</v>
      </c>
      <c r="G2258">
        <v>3</v>
      </c>
      <c r="H2258" s="133">
        <v>45840</v>
      </c>
      <c r="I2258" s="2">
        <v>0.63173611111111116</v>
      </c>
      <c r="J2258">
        <v>15</v>
      </c>
      <c r="R2258" t="s">
        <v>432</v>
      </c>
      <c r="S2258">
        <v>3</v>
      </c>
      <c r="T2258">
        <v>0</v>
      </c>
      <c r="U2258">
        <v>0</v>
      </c>
      <c r="V2258">
        <v>0</v>
      </c>
      <c r="W2258">
        <v>1</v>
      </c>
      <c r="X2258" t="s">
        <v>30</v>
      </c>
      <c r="AC2258" t="s">
        <v>5137</v>
      </c>
      <c r="AE2258" s="135"/>
    </row>
    <row r="2259" spans="1:31" ht="12.5" customHeight="1" x14ac:dyDescent="0.35">
      <c r="A2259" t="s">
        <v>396</v>
      </c>
      <c r="C2259" t="s">
        <v>5138</v>
      </c>
      <c r="D2259" t="s">
        <v>385</v>
      </c>
      <c r="E2259" s="133">
        <v>45841</v>
      </c>
      <c r="F2259" s="2">
        <v>0.1318287037037037</v>
      </c>
      <c r="G2259">
        <v>3</v>
      </c>
      <c r="H2259" s="133">
        <v>45840</v>
      </c>
      <c r="I2259" s="2">
        <v>0.6318287037037037</v>
      </c>
      <c r="J2259">
        <v>15</v>
      </c>
      <c r="R2259" t="s">
        <v>30</v>
      </c>
      <c r="W2259">
        <v>1</v>
      </c>
      <c r="X2259" t="s">
        <v>30</v>
      </c>
      <c r="AC2259" t="s">
        <v>5139</v>
      </c>
      <c r="AE2259" s="135"/>
    </row>
    <row r="2260" spans="1:31" ht="12.5" customHeight="1" x14ac:dyDescent="0.35">
      <c r="A2260" t="s">
        <v>396</v>
      </c>
      <c r="C2260" t="s">
        <v>5140</v>
      </c>
      <c r="D2260" t="s">
        <v>385</v>
      </c>
      <c r="E2260" s="133">
        <v>45841</v>
      </c>
      <c r="F2260" s="2">
        <v>0.13192129629629631</v>
      </c>
      <c r="G2260">
        <v>3</v>
      </c>
      <c r="H2260" s="133">
        <v>45840</v>
      </c>
      <c r="I2260" s="2">
        <v>0.63192129629629623</v>
      </c>
      <c r="J2260">
        <v>15</v>
      </c>
      <c r="R2260" t="s">
        <v>30</v>
      </c>
      <c r="W2260">
        <v>1</v>
      </c>
      <c r="X2260" t="s">
        <v>30</v>
      </c>
      <c r="AC2260" t="s">
        <v>5141</v>
      </c>
      <c r="AE2260" s="135"/>
    </row>
    <row r="2261" spans="1:31" ht="12.5" customHeight="1" x14ac:dyDescent="0.35">
      <c r="A2261" t="s">
        <v>396</v>
      </c>
      <c r="C2261" t="s">
        <v>5142</v>
      </c>
      <c r="D2261" t="s">
        <v>385</v>
      </c>
      <c r="E2261" s="133">
        <v>45841</v>
      </c>
      <c r="F2261" s="2">
        <v>0.13199074074074074</v>
      </c>
      <c r="G2261">
        <v>3</v>
      </c>
      <c r="H2261" s="133">
        <v>45840</v>
      </c>
      <c r="I2261" s="2">
        <v>0.63199074074074069</v>
      </c>
      <c r="J2261">
        <v>15</v>
      </c>
      <c r="R2261" t="s">
        <v>30</v>
      </c>
      <c r="W2261">
        <v>1</v>
      </c>
      <c r="X2261" t="s">
        <v>30</v>
      </c>
      <c r="AC2261" t="s">
        <v>5143</v>
      </c>
      <c r="AE2261" s="135"/>
    </row>
    <row r="2262" spans="1:31" ht="12.5" customHeight="1" x14ac:dyDescent="0.35">
      <c r="A2262" t="s">
        <v>396</v>
      </c>
      <c r="C2262" t="s">
        <v>5144</v>
      </c>
      <c r="D2262" t="s">
        <v>385</v>
      </c>
      <c r="E2262" s="133">
        <v>45841</v>
      </c>
      <c r="F2262" s="2">
        <v>0.13208333333333333</v>
      </c>
      <c r="G2262">
        <v>3</v>
      </c>
      <c r="H2262" s="133">
        <v>45840</v>
      </c>
      <c r="I2262" s="2">
        <v>0.63208333333333333</v>
      </c>
      <c r="J2262">
        <v>15</v>
      </c>
      <c r="R2262" t="s">
        <v>30</v>
      </c>
      <c r="W2262">
        <v>1</v>
      </c>
      <c r="X2262" t="s">
        <v>30</v>
      </c>
      <c r="AC2262" t="s">
        <v>5145</v>
      </c>
      <c r="AE2262" s="135"/>
    </row>
    <row r="2263" spans="1:31" ht="12.5" customHeight="1" x14ac:dyDescent="0.35">
      <c r="A2263" t="s">
        <v>396</v>
      </c>
      <c r="C2263" t="s">
        <v>5146</v>
      </c>
      <c r="D2263" t="s">
        <v>385</v>
      </c>
      <c r="E2263" s="133">
        <v>45841</v>
      </c>
      <c r="F2263" s="2">
        <v>0.13219907407407408</v>
      </c>
      <c r="G2263">
        <v>3</v>
      </c>
      <c r="H2263" s="133">
        <v>45840</v>
      </c>
      <c r="I2263" s="2">
        <v>0.63219907407407405</v>
      </c>
      <c r="J2263">
        <v>15</v>
      </c>
      <c r="R2263" t="s">
        <v>30</v>
      </c>
      <c r="W2263">
        <v>1</v>
      </c>
      <c r="X2263" t="s">
        <v>30</v>
      </c>
      <c r="AC2263" t="s">
        <v>5147</v>
      </c>
      <c r="AE2263" s="135"/>
    </row>
    <row r="2264" spans="1:31" ht="12.5" customHeight="1" x14ac:dyDescent="0.35">
      <c r="A2264" t="s">
        <v>396</v>
      </c>
      <c r="C2264" t="s">
        <v>5148</v>
      </c>
      <c r="D2264" t="s">
        <v>385</v>
      </c>
      <c r="E2264" s="133">
        <v>45841</v>
      </c>
      <c r="F2264" s="2">
        <v>0.13229166666666667</v>
      </c>
      <c r="G2264">
        <v>3</v>
      </c>
      <c r="H2264" s="133">
        <v>45840</v>
      </c>
      <c r="I2264" s="2">
        <v>0.6322916666666667</v>
      </c>
      <c r="J2264">
        <v>15</v>
      </c>
      <c r="R2264" t="s">
        <v>30</v>
      </c>
      <c r="W2264">
        <v>1</v>
      </c>
      <c r="X2264" t="s">
        <v>30</v>
      </c>
      <c r="AC2264" t="s">
        <v>5149</v>
      </c>
      <c r="AE2264" s="135"/>
    </row>
    <row r="2265" spans="1:31" ht="12.5" customHeight="1" x14ac:dyDescent="0.35">
      <c r="A2265" t="s">
        <v>396</v>
      </c>
      <c r="C2265" t="s">
        <v>5150</v>
      </c>
      <c r="D2265" t="s">
        <v>385</v>
      </c>
      <c r="E2265" s="133">
        <v>45841</v>
      </c>
      <c r="F2265" s="2">
        <v>0.13240740740740739</v>
      </c>
      <c r="G2265">
        <v>3</v>
      </c>
      <c r="H2265" s="133">
        <v>45840</v>
      </c>
      <c r="I2265" s="2">
        <v>0.63240740740740742</v>
      </c>
      <c r="J2265">
        <v>15</v>
      </c>
      <c r="R2265" t="s">
        <v>30</v>
      </c>
      <c r="W2265">
        <v>1</v>
      </c>
      <c r="X2265" t="s">
        <v>30</v>
      </c>
      <c r="AC2265" t="s">
        <v>5151</v>
      </c>
      <c r="AE2265" s="135"/>
    </row>
    <row r="2266" spans="1:31" ht="12.5" customHeight="1" x14ac:dyDescent="0.35">
      <c r="A2266" t="s">
        <v>396</v>
      </c>
      <c r="C2266" t="s">
        <v>5152</v>
      </c>
      <c r="D2266" t="s">
        <v>385</v>
      </c>
      <c r="E2266" s="133">
        <v>45841</v>
      </c>
      <c r="F2266" s="2">
        <v>0.13250000000000001</v>
      </c>
      <c r="G2266">
        <v>3</v>
      </c>
      <c r="H2266" s="133">
        <v>45840</v>
      </c>
      <c r="I2266" s="2">
        <v>0.63249999999999995</v>
      </c>
      <c r="J2266">
        <v>15</v>
      </c>
      <c r="R2266" t="s">
        <v>30</v>
      </c>
      <c r="W2266">
        <v>1</v>
      </c>
      <c r="X2266" t="s">
        <v>30</v>
      </c>
      <c r="AC2266" t="s">
        <v>5153</v>
      </c>
      <c r="AE2266" s="135"/>
    </row>
    <row r="2267" spans="1:31" ht="12.5" customHeight="1" x14ac:dyDescent="0.35">
      <c r="A2267" t="s">
        <v>396</v>
      </c>
      <c r="C2267" t="s">
        <v>5154</v>
      </c>
      <c r="D2267" t="s">
        <v>385</v>
      </c>
      <c r="E2267" s="133">
        <v>45841</v>
      </c>
      <c r="F2267" s="2">
        <v>0.1325925925925926</v>
      </c>
      <c r="G2267">
        <v>3</v>
      </c>
      <c r="H2267" s="133">
        <v>45840</v>
      </c>
      <c r="I2267" s="2">
        <v>0.6325925925925926</v>
      </c>
      <c r="J2267">
        <v>15</v>
      </c>
      <c r="R2267" t="s">
        <v>30</v>
      </c>
      <c r="W2267">
        <v>1</v>
      </c>
      <c r="X2267" t="s">
        <v>30</v>
      </c>
      <c r="AC2267" t="s">
        <v>5155</v>
      </c>
      <c r="AE2267" s="135"/>
    </row>
    <row r="2268" spans="1:31" ht="12.5" customHeight="1" x14ac:dyDescent="0.35">
      <c r="A2268" t="s">
        <v>396</v>
      </c>
      <c r="C2268" t="s">
        <v>5156</v>
      </c>
      <c r="D2268" t="s">
        <v>385</v>
      </c>
      <c r="E2268" s="133">
        <v>45841</v>
      </c>
      <c r="F2268" s="2">
        <v>0.13270833333333334</v>
      </c>
      <c r="G2268">
        <v>3</v>
      </c>
      <c r="H2268" s="133">
        <v>45840</v>
      </c>
      <c r="I2268" s="2">
        <v>0.63270833333333332</v>
      </c>
      <c r="J2268">
        <v>15</v>
      </c>
      <c r="R2268" t="s">
        <v>30</v>
      </c>
      <c r="W2268">
        <v>1</v>
      </c>
      <c r="X2268" t="s">
        <v>30</v>
      </c>
      <c r="AC2268" t="s">
        <v>5157</v>
      </c>
      <c r="AE2268" s="135"/>
    </row>
    <row r="2269" spans="1:31" ht="12.5" customHeight="1" x14ac:dyDescent="0.35">
      <c r="A2269" t="s">
        <v>396</v>
      </c>
      <c r="C2269" t="s">
        <v>5158</v>
      </c>
      <c r="D2269" t="s">
        <v>385</v>
      </c>
      <c r="E2269" s="133">
        <v>45841</v>
      </c>
      <c r="F2269" s="2">
        <v>0.13280092592592593</v>
      </c>
      <c r="G2269">
        <v>3</v>
      </c>
      <c r="H2269" s="133">
        <v>45840</v>
      </c>
      <c r="I2269" s="2">
        <v>0.63280092592592596</v>
      </c>
      <c r="J2269">
        <v>15</v>
      </c>
      <c r="R2269" t="s">
        <v>30</v>
      </c>
      <c r="W2269">
        <v>1</v>
      </c>
      <c r="X2269" t="s">
        <v>30</v>
      </c>
      <c r="AC2269" t="s">
        <v>5159</v>
      </c>
      <c r="AE2269" s="135"/>
    </row>
    <row r="2270" spans="1:31" ht="12.5" customHeight="1" x14ac:dyDescent="0.35">
      <c r="A2270" t="s">
        <v>396</v>
      </c>
      <c r="C2270" t="s">
        <v>5160</v>
      </c>
      <c r="D2270" t="s">
        <v>385</v>
      </c>
      <c r="E2270" s="133">
        <v>45841</v>
      </c>
      <c r="F2270" s="2">
        <v>0.13296296296296298</v>
      </c>
      <c r="G2270">
        <v>3</v>
      </c>
      <c r="H2270" s="133">
        <v>45840</v>
      </c>
      <c r="I2270" s="2">
        <v>0.63296296296296295</v>
      </c>
      <c r="J2270">
        <v>15</v>
      </c>
      <c r="R2270" t="s">
        <v>30</v>
      </c>
      <c r="W2270">
        <v>1</v>
      </c>
      <c r="X2270" t="s">
        <v>30</v>
      </c>
      <c r="AC2270" t="s">
        <v>5161</v>
      </c>
      <c r="AE2270" s="135"/>
    </row>
    <row r="2271" spans="1:31" ht="12.5" customHeight="1" x14ac:dyDescent="0.35">
      <c r="A2271" t="s">
        <v>396</v>
      </c>
      <c r="C2271" t="s">
        <v>5162</v>
      </c>
      <c r="D2271" t="s">
        <v>385</v>
      </c>
      <c r="E2271" s="133">
        <v>45841</v>
      </c>
      <c r="F2271" s="2">
        <v>0.13310185185185186</v>
      </c>
      <c r="G2271">
        <v>3</v>
      </c>
      <c r="H2271" s="133">
        <v>45840</v>
      </c>
      <c r="I2271" s="2">
        <v>0.63310185185185186</v>
      </c>
      <c r="J2271">
        <v>15</v>
      </c>
      <c r="R2271" t="s">
        <v>30</v>
      </c>
      <c r="W2271">
        <v>1</v>
      </c>
      <c r="X2271" t="s">
        <v>30</v>
      </c>
      <c r="AC2271" t="s">
        <v>5163</v>
      </c>
      <c r="AE2271" s="135"/>
    </row>
    <row r="2272" spans="1:31" ht="12.5" customHeight="1" x14ac:dyDescent="0.35">
      <c r="A2272" t="s">
        <v>396</v>
      </c>
      <c r="C2272" t="s">
        <v>5164</v>
      </c>
      <c r="D2272" t="s">
        <v>385</v>
      </c>
      <c r="E2272" s="133">
        <v>45841</v>
      </c>
      <c r="F2272" s="2">
        <v>0.13319444444444445</v>
      </c>
      <c r="G2272">
        <v>3</v>
      </c>
      <c r="H2272" s="133">
        <v>45840</v>
      </c>
      <c r="I2272" s="2">
        <v>0.6331944444444445</v>
      </c>
      <c r="J2272">
        <v>15</v>
      </c>
      <c r="R2272" t="s">
        <v>30</v>
      </c>
      <c r="W2272">
        <v>1</v>
      </c>
      <c r="X2272" t="s">
        <v>30</v>
      </c>
      <c r="AC2272" t="s">
        <v>5165</v>
      </c>
      <c r="AE2272" s="135"/>
    </row>
    <row r="2273" spans="1:31" ht="12.5" customHeight="1" x14ac:dyDescent="0.35">
      <c r="A2273" t="s">
        <v>396</v>
      </c>
      <c r="C2273" t="s">
        <v>5166</v>
      </c>
      <c r="D2273" t="s">
        <v>385</v>
      </c>
      <c r="E2273" s="133">
        <v>45841</v>
      </c>
      <c r="F2273" s="2">
        <v>0.13328703703703704</v>
      </c>
      <c r="G2273">
        <v>3</v>
      </c>
      <c r="H2273" s="133">
        <v>45840</v>
      </c>
      <c r="I2273" s="2">
        <v>0.63328703703703704</v>
      </c>
      <c r="J2273">
        <v>15</v>
      </c>
      <c r="R2273" t="s">
        <v>30</v>
      </c>
      <c r="W2273">
        <v>1</v>
      </c>
      <c r="X2273" t="s">
        <v>30</v>
      </c>
      <c r="AC2273" t="s">
        <v>5167</v>
      </c>
      <c r="AE2273" s="135"/>
    </row>
    <row r="2274" spans="1:31" ht="12.5" customHeight="1" x14ac:dyDescent="0.35">
      <c r="A2274" t="s">
        <v>396</v>
      </c>
      <c r="C2274" t="s">
        <v>5168</v>
      </c>
      <c r="D2274" t="s">
        <v>385</v>
      </c>
      <c r="E2274" s="133">
        <v>45841</v>
      </c>
      <c r="F2274" s="2">
        <v>0.13335648148148146</v>
      </c>
      <c r="G2274">
        <v>3</v>
      </c>
      <c r="H2274" s="133">
        <v>45840</v>
      </c>
      <c r="I2274" s="2">
        <v>0.63335648148148149</v>
      </c>
      <c r="J2274">
        <v>15</v>
      </c>
      <c r="R2274" t="s">
        <v>30</v>
      </c>
      <c r="W2274">
        <v>1</v>
      </c>
      <c r="X2274" t="s">
        <v>30</v>
      </c>
      <c r="AC2274" t="s">
        <v>5169</v>
      </c>
      <c r="AE2274" s="135"/>
    </row>
    <row r="2275" spans="1:31" ht="12.5" customHeight="1" x14ac:dyDescent="0.35">
      <c r="A2275" t="s">
        <v>396</v>
      </c>
      <c r="C2275" t="s">
        <v>5170</v>
      </c>
      <c r="D2275" t="s">
        <v>385</v>
      </c>
      <c r="E2275" s="133">
        <v>45841</v>
      </c>
      <c r="F2275" s="2">
        <v>0.13344907407407408</v>
      </c>
      <c r="G2275">
        <v>3</v>
      </c>
      <c r="H2275" s="133">
        <v>45840</v>
      </c>
      <c r="I2275" s="2">
        <v>0.63344907407407403</v>
      </c>
      <c r="J2275">
        <v>15</v>
      </c>
      <c r="R2275" t="s">
        <v>30</v>
      </c>
      <c r="W2275">
        <v>1</v>
      </c>
      <c r="X2275" t="s">
        <v>30</v>
      </c>
      <c r="AC2275" t="s">
        <v>5171</v>
      </c>
      <c r="AE2275" s="135"/>
    </row>
    <row r="2276" spans="1:31" ht="12.5" customHeight="1" x14ac:dyDescent="0.35">
      <c r="A2276" t="s">
        <v>396</v>
      </c>
      <c r="C2276" t="s">
        <v>5172</v>
      </c>
      <c r="D2276" t="s">
        <v>385</v>
      </c>
      <c r="E2276" s="133">
        <v>45841</v>
      </c>
      <c r="F2276" s="2">
        <v>0.13356481481481483</v>
      </c>
      <c r="G2276">
        <v>3</v>
      </c>
      <c r="H2276" s="133">
        <v>45840</v>
      </c>
      <c r="I2276" s="2">
        <v>0.63356481481481486</v>
      </c>
      <c r="J2276">
        <v>15</v>
      </c>
      <c r="R2276" t="s">
        <v>30</v>
      </c>
      <c r="W2276">
        <v>1</v>
      </c>
      <c r="X2276" t="s">
        <v>30</v>
      </c>
      <c r="AC2276" t="s">
        <v>5173</v>
      </c>
      <c r="AE2276" s="135"/>
    </row>
    <row r="2277" spans="1:31" ht="12.5" customHeight="1" x14ac:dyDescent="0.35">
      <c r="A2277" t="s">
        <v>396</v>
      </c>
      <c r="C2277" t="s">
        <v>5174</v>
      </c>
      <c r="D2277" t="s">
        <v>385</v>
      </c>
      <c r="E2277" s="133">
        <v>45841</v>
      </c>
      <c r="F2277" s="2">
        <v>0.13372685185185185</v>
      </c>
      <c r="G2277">
        <v>3</v>
      </c>
      <c r="H2277" s="133">
        <v>45840</v>
      </c>
      <c r="I2277" s="2">
        <v>0.63372685185185185</v>
      </c>
      <c r="J2277">
        <v>15</v>
      </c>
      <c r="R2277" t="s">
        <v>30</v>
      </c>
      <c r="W2277">
        <v>1</v>
      </c>
      <c r="X2277" t="s">
        <v>30</v>
      </c>
      <c r="AC2277" t="s">
        <v>5175</v>
      </c>
      <c r="AE2277" s="135"/>
    </row>
    <row r="2278" spans="1:31" ht="12.5" customHeight="1" x14ac:dyDescent="0.35">
      <c r="A2278" t="s">
        <v>396</v>
      </c>
      <c r="C2278" t="s">
        <v>5176</v>
      </c>
      <c r="D2278" t="s">
        <v>385</v>
      </c>
      <c r="E2278" s="133">
        <v>45841</v>
      </c>
      <c r="F2278" s="2">
        <v>0.13381944444444444</v>
      </c>
      <c r="G2278">
        <v>3</v>
      </c>
      <c r="H2278" s="133">
        <v>45840</v>
      </c>
      <c r="I2278" s="2">
        <v>0.63381944444444438</v>
      </c>
      <c r="J2278">
        <v>15</v>
      </c>
      <c r="R2278" t="s">
        <v>30</v>
      </c>
      <c r="W2278">
        <v>1</v>
      </c>
      <c r="X2278" t="s">
        <v>30</v>
      </c>
      <c r="AC2278" t="s">
        <v>5177</v>
      </c>
      <c r="AE2278" s="135"/>
    </row>
    <row r="2279" spans="1:31" ht="12.5" customHeight="1" x14ac:dyDescent="0.35">
      <c r="A2279" t="s">
        <v>396</v>
      </c>
      <c r="C2279" t="s">
        <v>5178</v>
      </c>
      <c r="D2279" t="s">
        <v>385</v>
      </c>
      <c r="E2279" s="133">
        <v>45841</v>
      </c>
      <c r="F2279" s="2">
        <v>0.13391203703703705</v>
      </c>
      <c r="G2279">
        <v>3</v>
      </c>
      <c r="H2279" s="133">
        <v>45840</v>
      </c>
      <c r="I2279" s="2">
        <v>0.63391203703703702</v>
      </c>
      <c r="J2279">
        <v>15</v>
      </c>
      <c r="R2279" t="s">
        <v>30</v>
      </c>
      <c r="W2279">
        <v>1</v>
      </c>
      <c r="X2279" t="s">
        <v>30</v>
      </c>
      <c r="AC2279" t="s">
        <v>5179</v>
      </c>
      <c r="AE2279" s="135"/>
    </row>
    <row r="2280" spans="1:31" ht="12.5" customHeight="1" x14ac:dyDescent="0.35">
      <c r="A2280" t="s">
        <v>396</v>
      </c>
      <c r="C2280" t="s">
        <v>5180</v>
      </c>
      <c r="D2280" t="s">
        <v>385</v>
      </c>
      <c r="E2280" s="133">
        <v>45841</v>
      </c>
      <c r="F2280" s="2">
        <v>0.13398148148148148</v>
      </c>
      <c r="G2280">
        <v>3</v>
      </c>
      <c r="H2280" s="133">
        <v>45840</v>
      </c>
      <c r="I2280" s="2">
        <v>0.63398148148148148</v>
      </c>
      <c r="J2280">
        <v>15</v>
      </c>
      <c r="R2280" t="s">
        <v>30</v>
      </c>
      <c r="W2280">
        <v>1</v>
      </c>
      <c r="X2280" t="s">
        <v>30</v>
      </c>
      <c r="AC2280" t="s">
        <v>5181</v>
      </c>
      <c r="AE2280" s="135"/>
    </row>
    <row r="2281" spans="1:31" ht="12.5" customHeight="1" x14ac:dyDescent="0.35">
      <c r="A2281" t="s">
        <v>396</v>
      </c>
      <c r="C2281" t="s">
        <v>5182</v>
      </c>
      <c r="D2281" t="s">
        <v>385</v>
      </c>
      <c r="E2281" s="133">
        <v>45841</v>
      </c>
      <c r="F2281" s="2">
        <v>0.13409722222222223</v>
      </c>
      <c r="G2281">
        <v>3</v>
      </c>
      <c r="H2281" s="133">
        <v>45840</v>
      </c>
      <c r="I2281" s="2">
        <v>0.6340972222222222</v>
      </c>
      <c r="J2281">
        <v>15</v>
      </c>
      <c r="R2281" t="s">
        <v>30</v>
      </c>
      <c r="W2281">
        <v>1</v>
      </c>
      <c r="X2281" t="s">
        <v>30</v>
      </c>
      <c r="AC2281" t="s">
        <v>5183</v>
      </c>
      <c r="AE2281" s="135"/>
    </row>
    <row r="2282" spans="1:31" ht="12.5" customHeight="1" x14ac:dyDescent="0.35">
      <c r="A2282" t="s">
        <v>396</v>
      </c>
      <c r="C2282" t="s">
        <v>5184</v>
      </c>
      <c r="D2282" t="s">
        <v>385</v>
      </c>
      <c r="E2282" s="133">
        <v>45841</v>
      </c>
      <c r="F2282" s="2">
        <v>0.13428240740740741</v>
      </c>
      <c r="G2282">
        <v>3</v>
      </c>
      <c r="H2282" s="133">
        <v>45840</v>
      </c>
      <c r="I2282" s="2">
        <v>0.63428240740740738</v>
      </c>
      <c r="J2282">
        <v>15</v>
      </c>
      <c r="R2282" t="s">
        <v>30</v>
      </c>
      <c r="W2282">
        <v>1</v>
      </c>
      <c r="X2282" t="s">
        <v>30</v>
      </c>
      <c r="AC2282" t="s">
        <v>5185</v>
      </c>
      <c r="AE2282" s="135"/>
    </row>
    <row r="2283" spans="1:31" ht="12.5" customHeight="1" x14ac:dyDescent="0.35">
      <c r="A2283" t="s">
        <v>396</v>
      </c>
      <c r="C2283" t="s">
        <v>5186</v>
      </c>
      <c r="D2283" t="s">
        <v>385</v>
      </c>
      <c r="E2283" s="133">
        <v>45841</v>
      </c>
      <c r="F2283" s="2">
        <v>0.13439814814814816</v>
      </c>
      <c r="G2283">
        <v>3</v>
      </c>
      <c r="H2283" s="133">
        <v>45840</v>
      </c>
      <c r="I2283" s="2">
        <v>0.6343981481481481</v>
      </c>
      <c r="J2283">
        <v>15</v>
      </c>
      <c r="R2283" t="s">
        <v>30</v>
      </c>
      <c r="W2283">
        <v>1</v>
      </c>
      <c r="X2283" t="s">
        <v>30</v>
      </c>
      <c r="AC2283" t="s">
        <v>5187</v>
      </c>
      <c r="AE2283" s="135"/>
    </row>
    <row r="2284" spans="1:31" ht="12.5" customHeight="1" x14ac:dyDescent="0.35">
      <c r="A2284" t="s">
        <v>396</v>
      </c>
      <c r="C2284" t="s">
        <v>5188</v>
      </c>
      <c r="D2284" t="s">
        <v>385</v>
      </c>
      <c r="E2284" s="133">
        <v>45841</v>
      </c>
      <c r="F2284" s="2">
        <v>0.13449074074074074</v>
      </c>
      <c r="G2284">
        <v>3</v>
      </c>
      <c r="H2284" s="133">
        <v>45840</v>
      </c>
      <c r="I2284" s="2">
        <v>0.63449074074074074</v>
      </c>
      <c r="J2284">
        <v>15</v>
      </c>
      <c r="R2284" t="s">
        <v>30</v>
      </c>
      <c r="W2284">
        <v>1</v>
      </c>
      <c r="X2284" t="s">
        <v>30</v>
      </c>
      <c r="AC2284" t="s">
        <v>5189</v>
      </c>
      <c r="AE2284" s="135"/>
    </row>
    <row r="2285" spans="1:31" ht="12.5" customHeight="1" x14ac:dyDescent="0.35">
      <c r="A2285" t="s">
        <v>396</v>
      </c>
      <c r="C2285" t="s">
        <v>5190</v>
      </c>
      <c r="D2285" t="s">
        <v>385</v>
      </c>
      <c r="E2285" s="133">
        <v>45841</v>
      </c>
      <c r="F2285" s="2">
        <v>0.13456018518518517</v>
      </c>
      <c r="G2285">
        <v>3</v>
      </c>
      <c r="H2285" s="133">
        <v>45840</v>
      </c>
      <c r="I2285" s="2">
        <v>0.6345601851851852</v>
      </c>
      <c r="J2285">
        <v>15</v>
      </c>
      <c r="R2285" t="s">
        <v>30</v>
      </c>
      <c r="W2285">
        <v>1</v>
      </c>
      <c r="X2285" t="s">
        <v>30</v>
      </c>
      <c r="AC2285" t="s">
        <v>5191</v>
      </c>
      <c r="AE2285" s="135"/>
    </row>
    <row r="2286" spans="1:31" ht="12.5" customHeight="1" x14ac:dyDescent="0.35">
      <c r="A2286" t="s">
        <v>396</v>
      </c>
      <c r="C2286" t="s">
        <v>5192</v>
      </c>
      <c r="D2286" t="s">
        <v>385</v>
      </c>
      <c r="E2286" s="133">
        <v>45841</v>
      </c>
      <c r="F2286" s="2">
        <v>0.13465277777777776</v>
      </c>
      <c r="G2286">
        <v>3</v>
      </c>
      <c r="H2286" s="133">
        <v>45840</v>
      </c>
      <c r="I2286" s="2">
        <v>0.63465277777777784</v>
      </c>
      <c r="J2286">
        <v>15</v>
      </c>
      <c r="R2286" t="s">
        <v>30</v>
      </c>
      <c r="W2286">
        <v>1</v>
      </c>
      <c r="X2286" t="s">
        <v>30</v>
      </c>
      <c r="AC2286" t="s">
        <v>5193</v>
      </c>
      <c r="AE2286" s="135"/>
    </row>
    <row r="2287" spans="1:31" ht="12.5" customHeight="1" x14ac:dyDescent="0.35">
      <c r="A2287" t="s">
        <v>396</v>
      </c>
      <c r="C2287" t="s">
        <v>5194</v>
      </c>
      <c r="D2287" t="s">
        <v>385</v>
      </c>
      <c r="E2287" s="133">
        <v>45841</v>
      </c>
      <c r="F2287" s="2">
        <v>0.13474537037037038</v>
      </c>
      <c r="G2287">
        <v>3</v>
      </c>
      <c r="H2287" s="133">
        <v>45840</v>
      </c>
      <c r="I2287" s="2">
        <v>0.63474537037037038</v>
      </c>
      <c r="J2287">
        <v>15</v>
      </c>
      <c r="R2287" t="s">
        <v>30</v>
      </c>
      <c r="W2287">
        <v>1</v>
      </c>
      <c r="X2287" t="s">
        <v>30</v>
      </c>
      <c r="AC2287" t="s">
        <v>5195</v>
      </c>
      <c r="AE2287" s="135"/>
    </row>
    <row r="2288" spans="1:31" ht="12.5" customHeight="1" x14ac:dyDescent="0.35">
      <c r="A2288" t="s">
        <v>396</v>
      </c>
      <c r="C2288" t="s">
        <v>5196</v>
      </c>
      <c r="D2288" t="s">
        <v>385</v>
      </c>
      <c r="E2288" s="133">
        <v>45841</v>
      </c>
      <c r="F2288" s="2">
        <v>0.13483796296296297</v>
      </c>
      <c r="G2288">
        <v>3</v>
      </c>
      <c r="H2288" s="133">
        <v>45840</v>
      </c>
      <c r="I2288" s="2">
        <v>0.63483796296296291</v>
      </c>
      <c r="J2288">
        <v>15</v>
      </c>
      <c r="R2288" t="s">
        <v>30</v>
      </c>
      <c r="W2288">
        <v>1</v>
      </c>
      <c r="X2288" t="s">
        <v>30</v>
      </c>
      <c r="AC2288" t="s">
        <v>5197</v>
      </c>
      <c r="AE2288" s="135"/>
    </row>
    <row r="2289" spans="1:31" ht="12.5" customHeight="1" x14ac:dyDescent="0.35">
      <c r="A2289" t="s">
        <v>396</v>
      </c>
      <c r="C2289" t="s">
        <v>5198</v>
      </c>
      <c r="D2289" t="s">
        <v>385</v>
      </c>
      <c r="E2289" s="133">
        <v>45841</v>
      </c>
      <c r="F2289" s="2">
        <v>0.13493055555555555</v>
      </c>
      <c r="G2289">
        <v>3</v>
      </c>
      <c r="H2289" s="133">
        <v>45840</v>
      </c>
      <c r="I2289" s="2">
        <v>0.63493055555555555</v>
      </c>
      <c r="J2289">
        <v>15</v>
      </c>
      <c r="R2289" t="s">
        <v>30</v>
      </c>
      <c r="W2289">
        <v>1</v>
      </c>
      <c r="X2289" t="s">
        <v>30</v>
      </c>
      <c r="AC2289" t="s">
        <v>5199</v>
      </c>
      <c r="AE2289" s="135"/>
    </row>
    <row r="2290" spans="1:31" ht="12.5" customHeight="1" x14ac:dyDescent="0.35">
      <c r="A2290" t="s">
        <v>396</v>
      </c>
      <c r="C2290" t="s">
        <v>5200</v>
      </c>
      <c r="D2290" t="s">
        <v>385</v>
      </c>
      <c r="E2290" s="133">
        <v>45841</v>
      </c>
      <c r="F2290" s="2">
        <v>0.13502314814814814</v>
      </c>
      <c r="G2290">
        <v>3</v>
      </c>
      <c r="H2290" s="133">
        <v>45840</v>
      </c>
      <c r="I2290" s="2">
        <v>0.6350231481481482</v>
      </c>
      <c r="J2290">
        <v>15</v>
      </c>
      <c r="R2290" t="s">
        <v>30</v>
      </c>
      <c r="W2290">
        <v>1</v>
      </c>
      <c r="X2290" t="s">
        <v>30</v>
      </c>
      <c r="AC2290" t="s">
        <v>5201</v>
      </c>
      <c r="AE2290" s="135"/>
    </row>
    <row r="2291" spans="1:31" ht="12.5" customHeight="1" x14ac:dyDescent="0.35">
      <c r="A2291" t="s">
        <v>396</v>
      </c>
      <c r="C2291" t="s">
        <v>5202</v>
      </c>
      <c r="D2291" t="s">
        <v>385</v>
      </c>
      <c r="E2291" s="133">
        <v>45841</v>
      </c>
      <c r="F2291" s="2">
        <v>0.13511574074074076</v>
      </c>
      <c r="G2291">
        <v>3</v>
      </c>
      <c r="H2291" s="133">
        <v>45840</v>
      </c>
      <c r="I2291" s="2">
        <v>0.63511574074074073</v>
      </c>
      <c r="J2291">
        <v>15</v>
      </c>
      <c r="R2291" t="s">
        <v>30</v>
      </c>
      <c r="W2291">
        <v>1</v>
      </c>
      <c r="X2291" t="s">
        <v>30</v>
      </c>
      <c r="AC2291" t="s">
        <v>5203</v>
      </c>
      <c r="AE2291" s="135"/>
    </row>
    <row r="2292" spans="1:31" ht="12.5" customHeight="1" x14ac:dyDescent="0.35">
      <c r="A2292" t="s">
        <v>396</v>
      </c>
      <c r="C2292" t="s">
        <v>5204</v>
      </c>
      <c r="D2292" t="s">
        <v>385</v>
      </c>
      <c r="E2292" s="133">
        <v>45841</v>
      </c>
      <c r="F2292" s="2">
        <v>0.13520833333333335</v>
      </c>
      <c r="G2292">
        <v>3</v>
      </c>
      <c r="H2292" s="133">
        <v>45840</v>
      </c>
      <c r="I2292" s="2">
        <v>0.63520833333333326</v>
      </c>
      <c r="J2292">
        <v>15</v>
      </c>
      <c r="R2292" t="s">
        <v>30</v>
      </c>
      <c r="W2292">
        <v>1</v>
      </c>
      <c r="X2292" t="s">
        <v>30</v>
      </c>
      <c r="AC2292" t="s">
        <v>5205</v>
      </c>
      <c r="AE2292" s="135"/>
    </row>
    <row r="2293" spans="1:31" ht="12.5" customHeight="1" x14ac:dyDescent="0.35">
      <c r="A2293" t="s">
        <v>396</v>
      </c>
      <c r="C2293" t="s">
        <v>5206</v>
      </c>
      <c r="D2293" t="s">
        <v>385</v>
      </c>
      <c r="E2293" s="133">
        <v>45841</v>
      </c>
      <c r="F2293" s="2">
        <v>0.13530092592592594</v>
      </c>
      <c r="G2293">
        <v>3</v>
      </c>
      <c r="H2293" s="133">
        <v>45840</v>
      </c>
      <c r="I2293" s="2">
        <v>0.63530092592592591</v>
      </c>
      <c r="J2293">
        <v>15</v>
      </c>
      <c r="R2293" t="s">
        <v>30</v>
      </c>
      <c r="W2293">
        <v>1</v>
      </c>
      <c r="X2293" t="s">
        <v>30</v>
      </c>
      <c r="AC2293" t="s">
        <v>5207</v>
      </c>
      <c r="AE2293" s="135"/>
    </row>
    <row r="2294" spans="1:31" ht="12.5" customHeight="1" x14ac:dyDescent="0.35">
      <c r="A2294" t="s">
        <v>396</v>
      </c>
      <c r="C2294" t="s">
        <v>5208</v>
      </c>
      <c r="D2294" t="s">
        <v>385</v>
      </c>
      <c r="E2294" s="133">
        <v>45841</v>
      </c>
      <c r="F2294" s="2">
        <v>0.13539351851851852</v>
      </c>
      <c r="G2294">
        <v>3</v>
      </c>
      <c r="H2294" s="133">
        <v>45840</v>
      </c>
      <c r="I2294" s="2">
        <v>0.63539351851851855</v>
      </c>
      <c r="J2294">
        <v>15</v>
      </c>
      <c r="R2294" t="s">
        <v>30</v>
      </c>
      <c r="W2294">
        <v>1</v>
      </c>
      <c r="X2294" t="s">
        <v>30</v>
      </c>
      <c r="AC2294" t="s">
        <v>5209</v>
      </c>
      <c r="AE2294" s="135"/>
    </row>
    <row r="2295" spans="1:31" ht="12.5" customHeight="1" x14ac:dyDescent="0.35">
      <c r="A2295" t="s">
        <v>396</v>
      </c>
      <c r="C2295" t="s">
        <v>5210</v>
      </c>
      <c r="D2295" t="s">
        <v>385</v>
      </c>
      <c r="E2295" s="133">
        <v>45841</v>
      </c>
      <c r="F2295" s="2">
        <v>0.13548611111111111</v>
      </c>
      <c r="G2295">
        <v>3</v>
      </c>
      <c r="H2295" s="133">
        <v>45840</v>
      </c>
      <c r="I2295" s="2">
        <v>0.63548611111111108</v>
      </c>
      <c r="J2295">
        <v>15</v>
      </c>
      <c r="R2295" t="s">
        <v>30</v>
      </c>
      <c r="W2295">
        <v>1</v>
      </c>
      <c r="X2295" t="s">
        <v>30</v>
      </c>
      <c r="AC2295" t="s">
        <v>5211</v>
      </c>
      <c r="AE2295" s="135"/>
    </row>
    <row r="2296" spans="1:31" ht="12.5" customHeight="1" x14ac:dyDescent="0.35">
      <c r="A2296" t="s">
        <v>396</v>
      </c>
      <c r="C2296" t="s">
        <v>5212</v>
      </c>
      <c r="D2296" t="s">
        <v>385</v>
      </c>
      <c r="E2296" s="133">
        <v>45841</v>
      </c>
      <c r="F2296" s="2">
        <v>0.13560185185185183</v>
      </c>
      <c r="G2296">
        <v>3</v>
      </c>
      <c r="H2296" s="133">
        <v>45840</v>
      </c>
      <c r="I2296" s="2">
        <v>0.63560185185185192</v>
      </c>
      <c r="J2296">
        <v>15</v>
      </c>
      <c r="R2296" t="s">
        <v>30</v>
      </c>
      <c r="W2296">
        <v>1</v>
      </c>
      <c r="X2296" t="s">
        <v>30</v>
      </c>
      <c r="AC2296" t="s">
        <v>5213</v>
      </c>
      <c r="AE2296" s="135"/>
    </row>
    <row r="2297" spans="1:31" ht="12.5" customHeight="1" x14ac:dyDescent="0.35">
      <c r="A2297" t="s">
        <v>396</v>
      </c>
      <c r="C2297" t="s">
        <v>5214</v>
      </c>
      <c r="D2297" t="s">
        <v>385</v>
      </c>
      <c r="E2297" s="133">
        <v>45841</v>
      </c>
      <c r="F2297" s="2">
        <v>0.13567129629629629</v>
      </c>
      <c r="G2297">
        <v>3</v>
      </c>
      <c r="H2297" s="133">
        <v>45840</v>
      </c>
      <c r="I2297" s="2">
        <v>0.63567129629629626</v>
      </c>
      <c r="J2297">
        <v>15</v>
      </c>
      <c r="R2297" t="s">
        <v>30</v>
      </c>
      <c r="W2297">
        <v>1</v>
      </c>
      <c r="X2297" t="s">
        <v>30</v>
      </c>
      <c r="AC2297" t="s">
        <v>5215</v>
      </c>
      <c r="AE2297" s="135"/>
    </row>
    <row r="2298" spans="1:31" ht="12.5" customHeight="1" x14ac:dyDescent="0.35">
      <c r="A2298" t="s">
        <v>396</v>
      </c>
      <c r="C2298" t="s">
        <v>5216</v>
      </c>
      <c r="D2298" t="s">
        <v>385</v>
      </c>
      <c r="E2298" s="133">
        <v>45841</v>
      </c>
      <c r="F2298" s="2">
        <v>0.13578703703703704</v>
      </c>
      <c r="G2298">
        <v>3</v>
      </c>
      <c r="H2298" s="133">
        <v>45840</v>
      </c>
      <c r="I2298" s="2">
        <v>0.63578703703703698</v>
      </c>
      <c r="J2298">
        <v>15</v>
      </c>
      <c r="R2298" t="s">
        <v>30</v>
      </c>
      <c r="W2298">
        <v>1</v>
      </c>
      <c r="X2298" t="s">
        <v>30</v>
      </c>
      <c r="AC2298" t="s">
        <v>5217</v>
      </c>
      <c r="AE2298" s="135"/>
    </row>
    <row r="2299" spans="1:31" ht="12.5" customHeight="1" x14ac:dyDescent="0.35">
      <c r="A2299" t="s">
        <v>396</v>
      </c>
      <c r="C2299" t="s">
        <v>5218</v>
      </c>
      <c r="D2299" t="s">
        <v>385</v>
      </c>
      <c r="E2299" s="133">
        <v>45841</v>
      </c>
      <c r="F2299" s="2">
        <v>0.13587962962962963</v>
      </c>
      <c r="G2299">
        <v>3</v>
      </c>
      <c r="H2299" s="133">
        <v>45840</v>
      </c>
      <c r="I2299" s="2">
        <v>0.63587962962962963</v>
      </c>
      <c r="J2299">
        <v>15</v>
      </c>
      <c r="R2299" t="s">
        <v>30</v>
      </c>
      <c r="W2299">
        <v>1</v>
      </c>
      <c r="X2299" t="s">
        <v>30</v>
      </c>
      <c r="AC2299" t="s">
        <v>5219</v>
      </c>
      <c r="AE2299" s="135"/>
    </row>
    <row r="2300" spans="1:31" ht="12.5" customHeight="1" x14ac:dyDescent="0.35">
      <c r="A2300" t="s">
        <v>396</v>
      </c>
      <c r="C2300" t="s">
        <v>5220</v>
      </c>
      <c r="D2300" t="s">
        <v>385</v>
      </c>
      <c r="E2300" s="133">
        <v>45841</v>
      </c>
      <c r="F2300" s="2">
        <v>0.13594907407407408</v>
      </c>
      <c r="G2300">
        <v>3</v>
      </c>
      <c r="H2300" s="133">
        <v>45840</v>
      </c>
      <c r="I2300" s="2">
        <v>0.63594907407407408</v>
      </c>
      <c r="J2300">
        <v>15</v>
      </c>
      <c r="R2300" t="s">
        <v>30</v>
      </c>
      <c r="W2300">
        <v>1</v>
      </c>
      <c r="X2300" t="s">
        <v>30</v>
      </c>
      <c r="AC2300" t="s">
        <v>5221</v>
      </c>
      <c r="AE2300" s="135"/>
    </row>
    <row r="2301" spans="1:31" ht="12.5" customHeight="1" x14ac:dyDescent="0.35">
      <c r="A2301" t="s">
        <v>396</v>
      </c>
      <c r="C2301" t="s">
        <v>5222</v>
      </c>
      <c r="D2301" t="s">
        <v>385</v>
      </c>
      <c r="E2301" s="133">
        <v>45841</v>
      </c>
      <c r="F2301" s="2">
        <v>0.13604166666666667</v>
      </c>
      <c r="G2301">
        <v>3</v>
      </c>
      <c r="H2301" s="133">
        <v>45840</v>
      </c>
      <c r="I2301" s="2">
        <v>0.63604166666666673</v>
      </c>
      <c r="J2301">
        <v>15</v>
      </c>
      <c r="R2301" t="s">
        <v>30</v>
      </c>
      <c r="W2301">
        <v>1</v>
      </c>
      <c r="X2301" t="s">
        <v>30</v>
      </c>
      <c r="AC2301" t="s">
        <v>5223</v>
      </c>
      <c r="AE2301" s="135"/>
    </row>
    <row r="2302" spans="1:31" ht="12.5" customHeight="1" x14ac:dyDescent="0.35">
      <c r="A2302" t="s">
        <v>396</v>
      </c>
      <c r="C2302" t="s">
        <v>5224</v>
      </c>
      <c r="D2302" t="s">
        <v>385</v>
      </c>
      <c r="E2302" s="133">
        <v>45841</v>
      </c>
      <c r="F2302" s="2">
        <v>0.13615740740740742</v>
      </c>
      <c r="G2302">
        <v>3</v>
      </c>
      <c r="H2302" s="133">
        <v>45840</v>
      </c>
      <c r="I2302" s="2">
        <v>0.63615740740740734</v>
      </c>
      <c r="J2302">
        <v>15</v>
      </c>
      <c r="R2302" t="s">
        <v>30</v>
      </c>
      <c r="W2302">
        <v>1</v>
      </c>
      <c r="X2302" t="s">
        <v>30</v>
      </c>
      <c r="AC2302" t="s">
        <v>5225</v>
      </c>
      <c r="AE2302" s="135"/>
    </row>
    <row r="2303" spans="1:31" ht="12.5" customHeight="1" x14ac:dyDescent="0.35">
      <c r="A2303" t="s">
        <v>396</v>
      </c>
      <c r="C2303" t="s">
        <v>5226</v>
      </c>
      <c r="D2303" t="s">
        <v>385</v>
      </c>
      <c r="E2303" s="133">
        <v>45841</v>
      </c>
      <c r="F2303" s="2">
        <v>0.13625000000000001</v>
      </c>
      <c r="G2303">
        <v>3</v>
      </c>
      <c r="H2303" s="133">
        <v>45840</v>
      </c>
      <c r="I2303" s="2">
        <v>0.63624999999999998</v>
      </c>
      <c r="J2303">
        <v>15</v>
      </c>
      <c r="R2303" t="s">
        <v>30</v>
      </c>
      <c r="W2303">
        <v>1</v>
      </c>
      <c r="X2303" t="s">
        <v>30</v>
      </c>
      <c r="AC2303" t="s">
        <v>5227</v>
      </c>
      <c r="AE2303" s="135"/>
    </row>
    <row r="2304" spans="1:31" ht="12.5" customHeight="1" x14ac:dyDescent="0.35">
      <c r="A2304" t="s">
        <v>396</v>
      </c>
      <c r="C2304" t="s">
        <v>5228</v>
      </c>
      <c r="D2304" t="s">
        <v>385</v>
      </c>
      <c r="E2304" s="133">
        <v>45841</v>
      </c>
      <c r="F2304" s="2">
        <v>0.13636574074074073</v>
      </c>
      <c r="G2304">
        <v>3</v>
      </c>
      <c r="H2304" s="133">
        <v>45840</v>
      </c>
      <c r="I2304" s="2">
        <v>0.6363657407407407</v>
      </c>
      <c r="J2304">
        <v>15</v>
      </c>
      <c r="R2304" t="s">
        <v>30</v>
      </c>
      <c r="W2304">
        <v>1</v>
      </c>
      <c r="X2304" t="s">
        <v>30</v>
      </c>
      <c r="AC2304" t="s">
        <v>5229</v>
      </c>
      <c r="AE2304" s="135"/>
    </row>
    <row r="2305" spans="1:31" ht="12.5" customHeight="1" x14ac:dyDescent="0.35">
      <c r="A2305" t="s">
        <v>396</v>
      </c>
      <c r="C2305" t="s">
        <v>5230</v>
      </c>
      <c r="D2305" t="s">
        <v>385</v>
      </c>
      <c r="E2305" s="133">
        <v>45841</v>
      </c>
      <c r="F2305" s="2">
        <v>0.13645833333333332</v>
      </c>
      <c r="G2305">
        <v>3</v>
      </c>
      <c r="H2305" s="133">
        <v>45840</v>
      </c>
      <c r="I2305" s="2">
        <v>0.63645833333333335</v>
      </c>
      <c r="J2305">
        <v>15</v>
      </c>
      <c r="R2305" t="s">
        <v>30</v>
      </c>
      <c r="W2305">
        <v>1</v>
      </c>
      <c r="X2305" t="s">
        <v>30</v>
      </c>
      <c r="AC2305" t="s">
        <v>5231</v>
      </c>
      <c r="AE2305" s="135"/>
    </row>
    <row r="2306" spans="1:31" ht="12.5" customHeight="1" x14ac:dyDescent="0.35">
      <c r="A2306" t="s">
        <v>396</v>
      </c>
      <c r="C2306" t="s">
        <v>5232</v>
      </c>
      <c r="D2306" t="s">
        <v>385</v>
      </c>
      <c r="E2306" s="133">
        <v>45841</v>
      </c>
      <c r="F2306" s="2">
        <v>0.13655092592592591</v>
      </c>
      <c r="G2306">
        <v>3</v>
      </c>
      <c r="H2306" s="133">
        <v>45840</v>
      </c>
      <c r="I2306" s="2">
        <v>0.63655092592592599</v>
      </c>
      <c r="J2306">
        <v>15</v>
      </c>
      <c r="R2306" t="s">
        <v>30</v>
      </c>
      <c r="W2306">
        <v>1</v>
      </c>
      <c r="X2306" t="s">
        <v>30</v>
      </c>
      <c r="AC2306" t="s">
        <v>5233</v>
      </c>
      <c r="AE2306" s="135"/>
    </row>
    <row r="2307" spans="1:31" ht="12.5" customHeight="1" x14ac:dyDescent="0.35">
      <c r="A2307" t="s">
        <v>396</v>
      </c>
      <c r="C2307" t="s">
        <v>5234</v>
      </c>
      <c r="D2307" t="s">
        <v>385</v>
      </c>
      <c r="E2307" s="133">
        <v>45841</v>
      </c>
      <c r="F2307" s="2">
        <v>0.13664351851851853</v>
      </c>
      <c r="G2307">
        <v>3</v>
      </c>
      <c r="H2307" s="133">
        <v>45840</v>
      </c>
      <c r="I2307" s="2">
        <v>0.63664351851851853</v>
      </c>
      <c r="J2307">
        <v>15</v>
      </c>
      <c r="R2307" t="s">
        <v>30</v>
      </c>
      <c r="W2307">
        <v>1</v>
      </c>
      <c r="X2307" t="s">
        <v>30</v>
      </c>
      <c r="AC2307" t="s">
        <v>5235</v>
      </c>
      <c r="AE2307" s="135"/>
    </row>
    <row r="2308" spans="1:31" ht="12.5" customHeight="1" x14ac:dyDescent="0.35">
      <c r="A2308" t="s">
        <v>396</v>
      </c>
      <c r="C2308" t="s">
        <v>5236</v>
      </c>
      <c r="D2308" t="s">
        <v>385</v>
      </c>
      <c r="E2308" s="133">
        <v>45841</v>
      </c>
      <c r="F2308" s="2">
        <v>0.13673611111111111</v>
      </c>
      <c r="G2308">
        <v>3</v>
      </c>
      <c r="H2308" s="133">
        <v>45840</v>
      </c>
      <c r="I2308" s="2">
        <v>0.63673611111111106</v>
      </c>
      <c r="J2308">
        <v>15</v>
      </c>
      <c r="R2308" t="s">
        <v>30</v>
      </c>
      <c r="W2308">
        <v>1</v>
      </c>
      <c r="X2308" t="s">
        <v>30</v>
      </c>
      <c r="AC2308" t="s">
        <v>5237</v>
      </c>
      <c r="AE2308" s="135"/>
    </row>
    <row r="2309" spans="1:31" ht="12.5" customHeight="1" x14ac:dyDescent="0.35">
      <c r="A2309" t="s">
        <v>396</v>
      </c>
      <c r="C2309" t="s">
        <v>5238</v>
      </c>
      <c r="D2309" t="s">
        <v>385</v>
      </c>
      <c r="E2309" s="133">
        <v>45841</v>
      </c>
      <c r="F2309" s="2">
        <v>0.1368287037037037</v>
      </c>
      <c r="G2309">
        <v>3</v>
      </c>
      <c r="H2309" s="133">
        <v>45840</v>
      </c>
      <c r="I2309" s="2">
        <v>0.6368287037037037</v>
      </c>
      <c r="J2309">
        <v>15</v>
      </c>
      <c r="R2309" t="s">
        <v>30</v>
      </c>
      <c r="W2309">
        <v>1</v>
      </c>
      <c r="X2309" t="s">
        <v>30</v>
      </c>
      <c r="AC2309" t="s">
        <v>5239</v>
      </c>
      <c r="AE2309" s="135"/>
    </row>
    <row r="2310" spans="1:31" ht="12.5" customHeight="1" x14ac:dyDescent="0.35">
      <c r="A2310" t="s">
        <v>396</v>
      </c>
      <c r="C2310" t="s">
        <v>5240</v>
      </c>
      <c r="D2310" t="s">
        <v>385</v>
      </c>
      <c r="E2310" s="133">
        <v>45841</v>
      </c>
      <c r="F2310" s="2">
        <v>0.13692129629629629</v>
      </c>
      <c r="G2310">
        <v>3</v>
      </c>
      <c r="H2310" s="133">
        <v>45840</v>
      </c>
      <c r="I2310" s="2">
        <v>0.63692129629629635</v>
      </c>
      <c r="J2310">
        <v>15</v>
      </c>
      <c r="R2310" t="s">
        <v>30</v>
      </c>
      <c r="W2310">
        <v>1</v>
      </c>
      <c r="X2310" t="s">
        <v>30</v>
      </c>
      <c r="AC2310" t="s">
        <v>5241</v>
      </c>
      <c r="AE2310" s="135"/>
    </row>
    <row r="2311" spans="1:31" ht="12.5" customHeight="1" x14ac:dyDescent="0.35">
      <c r="A2311" t="s">
        <v>396</v>
      </c>
      <c r="C2311" t="s">
        <v>5242</v>
      </c>
      <c r="D2311" t="s">
        <v>385</v>
      </c>
      <c r="E2311" s="133">
        <v>45841</v>
      </c>
      <c r="F2311" s="2">
        <v>0.13701388888888888</v>
      </c>
      <c r="G2311">
        <v>3</v>
      </c>
      <c r="H2311" s="133">
        <v>45840</v>
      </c>
      <c r="I2311" s="2">
        <v>0.63701388888888888</v>
      </c>
      <c r="J2311">
        <v>15</v>
      </c>
      <c r="R2311" t="s">
        <v>30</v>
      </c>
      <c r="W2311">
        <v>1</v>
      </c>
      <c r="X2311" t="s">
        <v>30</v>
      </c>
      <c r="AC2311" t="s">
        <v>5243</v>
      </c>
      <c r="AE2311" s="135"/>
    </row>
    <row r="2312" spans="1:31" ht="12.5" customHeight="1" x14ac:dyDescent="0.35">
      <c r="A2312" t="s">
        <v>396</v>
      </c>
      <c r="C2312" t="s">
        <v>5244</v>
      </c>
      <c r="D2312" t="s">
        <v>385</v>
      </c>
      <c r="E2312" s="133">
        <v>45841</v>
      </c>
      <c r="F2312" s="2">
        <v>0.1371064814814815</v>
      </c>
      <c r="G2312">
        <v>3</v>
      </c>
      <c r="H2312" s="133">
        <v>45840</v>
      </c>
      <c r="I2312" s="2">
        <v>0.63710648148148141</v>
      </c>
      <c r="J2312">
        <v>15</v>
      </c>
      <c r="R2312" t="s">
        <v>30</v>
      </c>
      <c r="W2312">
        <v>1</v>
      </c>
      <c r="X2312" t="s">
        <v>30</v>
      </c>
      <c r="AC2312" t="s">
        <v>5245</v>
      </c>
      <c r="AE2312" s="135"/>
    </row>
    <row r="2313" spans="1:31" ht="12.5" customHeight="1" x14ac:dyDescent="0.35">
      <c r="A2313" t="s">
        <v>396</v>
      </c>
      <c r="C2313" t="s">
        <v>5246</v>
      </c>
      <c r="D2313" t="s">
        <v>385</v>
      </c>
      <c r="E2313" s="133">
        <v>45841</v>
      </c>
      <c r="F2313" s="2">
        <v>0.13719907407407408</v>
      </c>
      <c r="G2313">
        <v>3</v>
      </c>
      <c r="H2313" s="133">
        <v>45840</v>
      </c>
      <c r="I2313" s="2">
        <v>0.63719907407407406</v>
      </c>
      <c r="J2313">
        <v>15</v>
      </c>
      <c r="R2313" t="s">
        <v>30</v>
      </c>
      <c r="W2313">
        <v>1</v>
      </c>
      <c r="X2313" t="s">
        <v>30</v>
      </c>
      <c r="AC2313" t="s">
        <v>5247</v>
      </c>
      <c r="AE2313" s="135"/>
    </row>
    <row r="2314" spans="1:31" ht="12.5" customHeight="1" x14ac:dyDescent="0.35">
      <c r="A2314" t="s">
        <v>396</v>
      </c>
      <c r="C2314" t="s">
        <v>5248</v>
      </c>
      <c r="D2314" t="s">
        <v>385</v>
      </c>
      <c r="E2314" s="133">
        <v>45841</v>
      </c>
      <c r="F2314" s="2">
        <v>0.13726851851851851</v>
      </c>
      <c r="G2314">
        <v>3</v>
      </c>
      <c r="H2314" s="133">
        <v>45840</v>
      </c>
      <c r="I2314" s="2">
        <v>0.63726851851851851</v>
      </c>
      <c r="J2314">
        <v>15</v>
      </c>
      <c r="R2314" t="s">
        <v>30</v>
      </c>
      <c r="W2314">
        <v>1</v>
      </c>
      <c r="X2314" t="s">
        <v>30</v>
      </c>
      <c r="AC2314" t="s">
        <v>5249</v>
      </c>
      <c r="AE2314" s="135"/>
    </row>
    <row r="2315" spans="1:31" ht="12.5" customHeight="1" x14ac:dyDescent="0.35">
      <c r="A2315" t="s">
        <v>396</v>
      </c>
      <c r="C2315" t="s">
        <v>5250</v>
      </c>
      <c r="D2315" t="s">
        <v>385</v>
      </c>
      <c r="E2315" s="133">
        <v>45841</v>
      </c>
      <c r="F2315" s="2">
        <v>0.13740740740740739</v>
      </c>
      <c r="G2315">
        <v>3</v>
      </c>
      <c r="H2315" s="133">
        <v>45840</v>
      </c>
      <c r="I2315" s="2">
        <v>0.63740740740740742</v>
      </c>
      <c r="J2315">
        <v>15</v>
      </c>
      <c r="R2315" t="s">
        <v>30</v>
      </c>
      <c r="W2315">
        <v>1</v>
      </c>
      <c r="X2315" t="s">
        <v>30</v>
      </c>
      <c r="AC2315" t="s">
        <v>5251</v>
      </c>
      <c r="AE2315" s="135"/>
    </row>
    <row r="2316" spans="1:31" ht="12.5" customHeight="1" x14ac:dyDescent="0.35">
      <c r="A2316" t="s">
        <v>396</v>
      </c>
      <c r="C2316" t="s">
        <v>5252</v>
      </c>
      <c r="D2316" t="s">
        <v>385</v>
      </c>
      <c r="E2316" s="133">
        <v>45841</v>
      </c>
      <c r="F2316" s="2">
        <v>0.13749999999999998</v>
      </c>
      <c r="G2316">
        <v>3</v>
      </c>
      <c r="H2316" s="133">
        <v>45840</v>
      </c>
      <c r="I2316" s="2">
        <v>0.63750000000000007</v>
      </c>
      <c r="J2316">
        <v>15</v>
      </c>
      <c r="R2316" t="s">
        <v>30</v>
      </c>
      <c r="W2316">
        <v>1</v>
      </c>
      <c r="X2316" t="s">
        <v>30</v>
      </c>
      <c r="AC2316" t="s">
        <v>5253</v>
      </c>
      <c r="AE2316" s="135"/>
    </row>
    <row r="2317" spans="1:31" ht="12.5" customHeight="1" x14ac:dyDescent="0.35">
      <c r="A2317" t="s">
        <v>396</v>
      </c>
      <c r="C2317" t="s">
        <v>5254</v>
      </c>
      <c r="D2317" t="s">
        <v>385</v>
      </c>
      <c r="E2317" s="133">
        <v>45841</v>
      </c>
      <c r="F2317" s="2">
        <v>0.1375925925925926</v>
      </c>
      <c r="G2317">
        <v>3</v>
      </c>
      <c r="H2317" s="133">
        <v>45840</v>
      </c>
      <c r="I2317" s="2">
        <v>0.6375925925925926</v>
      </c>
      <c r="J2317">
        <v>15</v>
      </c>
      <c r="R2317" t="s">
        <v>30</v>
      </c>
      <c r="W2317">
        <v>1</v>
      </c>
      <c r="X2317" t="s">
        <v>30</v>
      </c>
      <c r="AC2317" t="s">
        <v>5255</v>
      </c>
      <c r="AE2317" s="135"/>
    </row>
    <row r="2318" spans="1:31" ht="12.5" customHeight="1" x14ac:dyDescent="0.35">
      <c r="A2318" t="s">
        <v>396</v>
      </c>
      <c r="C2318" t="s">
        <v>5256</v>
      </c>
      <c r="D2318" t="s">
        <v>385</v>
      </c>
      <c r="E2318" s="133">
        <v>45841</v>
      </c>
      <c r="F2318" s="2">
        <v>0.13766203703703703</v>
      </c>
      <c r="G2318">
        <v>3</v>
      </c>
      <c r="H2318" s="133">
        <v>45840</v>
      </c>
      <c r="I2318" s="2">
        <v>0.63766203703703705</v>
      </c>
      <c r="J2318">
        <v>15</v>
      </c>
      <c r="R2318" t="s">
        <v>30</v>
      </c>
      <c r="W2318">
        <v>1</v>
      </c>
      <c r="X2318" t="s">
        <v>30</v>
      </c>
      <c r="AC2318" t="s">
        <v>5257</v>
      </c>
      <c r="AE2318" s="135"/>
    </row>
    <row r="2319" spans="1:31" ht="12.5" customHeight="1" x14ac:dyDescent="0.35">
      <c r="A2319" t="s">
        <v>396</v>
      </c>
      <c r="C2319" t="s">
        <v>5258</v>
      </c>
      <c r="D2319" t="s">
        <v>385</v>
      </c>
      <c r="E2319" s="133">
        <v>45841</v>
      </c>
      <c r="F2319" s="2">
        <v>0.13775462962962962</v>
      </c>
      <c r="G2319">
        <v>3</v>
      </c>
      <c r="H2319" s="133">
        <v>45840</v>
      </c>
      <c r="I2319" s="2">
        <v>0.63775462962962959</v>
      </c>
      <c r="J2319">
        <v>15</v>
      </c>
      <c r="R2319" t="s">
        <v>30</v>
      </c>
      <c r="W2319">
        <v>1</v>
      </c>
      <c r="X2319" t="s">
        <v>30</v>
      </c>
      <c r="AC2319" t="s">
        <v>5259</v>
      </c>
      <c r="AE2319" s="135"/>
    </row>
    <row r="2320" spans="1:31" ht="12.5" customHeight="1" x14ac:dyDescent="0.35">
      <c r="A2320" t="s">
        <v>396</v>
      </c>
      <c r="C2320" t="s">
        <v>5260</v>
      </c>
      <c r="D2320" t="s">
        <v>385</v>
      </c>
      <c r="E2320" s="133">
        <v>45841</v>
      </c>
      <c r="F2320" s="2">
        <v>0.13784722222222223</v>
      </c>
      <c r="G2320">
        <v>3</v>
      </c>
      <c r="H2320" s="133">
        <v>45840</v>
      </c>
      <c r="I2320" s="2">
        <v>0.63784722222222223</v>
      </c>
      <c r="J2320">
        <v>15</v>
      </c>
      <c r="R2320" t="s">
        <v>30</v>
      </c>
      <c r="W2320">
        <v>1</v>
      </c>
      <c r="X2320" t="s">
        <v>30</v>
      </c>
      <c r="AC2320" t="s">
        <v>5261</v>
      </c>
      <c r="AE2320" s="135"/>
    </row>
    <row r="2321" spans="1:31" ht="12.5" customHeight="1" x14ac:dyDescent="0.35">
      <c r="A2321" t="s">
        <v>396</v>
      </c>
      <c r="C2321" t="s">
        <v>5262</v>
      </c>
      <c r="D2321" t="s">
        <v>385</v>
      </c>
      <c r="E2321" s="133">
        <v>45841</v>
      </c>
      <c r="F2321" s="2">
        <v>0.13793981481481482</v>
      </c>
      <c r="G2321">
        <v>3</v>
      </c>
      <c r="H2321" s="133">
        <v>45840</v>
      </c>
      <c r="I2321" s="2">
        <v>0.63793981481481488</v>
      </c>
      <c r="J2321">
        <v>15</v>
      </c>
      <c r="R2321" t="s">
        <v>30</v>
      </c>
      <c r="W2321">
        <v>1</v>
      </c>
      <c r="X2321" t="s">
        <v>30</v>
      </c>
      <c r="AC2321" t="s">
        <v>5263</v>
      </c>
      <c r="AE2321" s="135"/>
    </row>
    <row r="2322" spans="1:31" ht="12.5" customHeight="1" x14ac:dyDescent="0.35">
      <c r="A2322" t="s">
        <v>396</v>
      </c>
      <c r="C2322" t="s">
        <v>5264</v>
      </c>
      <c r="D2322" t="s">
        <v>385</v>
      </c>
      <c r="E2322" s="133">
        <v>45841</v>
      </c>
      <c r="F2322" s="2">
        <v>0.13803240740740741</v>
      </c>
      <c r="G2322">
        <v>3</v>
      </c>
      <c r="H2322" s="133">
        <v>45840</v>
      </c>
      <c r="I2322" s="2">
        <v>0.63803240740740741</v>
      </c>
      <c r="J2322">
        <v>15</v>
      </c>
      <c r="R2322" t="s">
        <v>30</v>
      </c>
      <c r="W2322">
        <v>1</v>
      </c>
      <c r="X2322" t="s">
        <v>30</v>
      </c>
      <c r="AC2322" t="s">
        <v>5265</v>
      </c>
      <c r="AE2322" s="135"/>
    </row>
    <row r="2323" spans="1:31" ht="12.5" customHeight="1" x14ac:dyDescent="0.35">
      <c r="A2323" t="s">
        <v>396</v>
      </c>
      <c r="C2323" t="s">
        <v>5266</v>
      </c>
      <c r="D2323" t="s">
        <v>385</v>
      </c>
      <c r="E2323" s="133">
        <v>45841</v>
      </c>
      <c r="F2323" s="2">
        <v>0.13810185185185184</v>
      </c>
      <c r="G2323">
        <v>3</v>
      </c>
      <c r="H2323" s="133">
        <v>45840</v>
      </c>
      <c r="I2323" s="2">
        <v>0.63810185185185186</v>
      </c>
      <c r="J2323">
        <v>15</v>
      </c>
      <c r="R2323" t="s">
        <v>30</v>
      </c>
      <c r="W2323">
        <v>1</v>
      </c>
      <c r="X2323" t="s">
        <v>30</v>
      </c>
      <c r="AC2323" t="s">
        <v>5267</v>
      </c>
      <c r="AE2323" s="135"/>
    </row>
    <row r="2324" spans="1:31" ht="12.5" customHeight="1" x14ac:dyDescent="0.35">
      <c r="A2324" t="s">
        <v>396</v>
      </c>
      <c r="C2324" t="s">
        <v>5268</v>
      </c>
      <c r="D2324" t="s">
        <v>385</v>
      </c>
      <c r="E2324" s="133">
        <v>45841</v>
      </c>
      <c r="F2324" s="2">
        <v>0.13821759259259259</v>
      </c>
      <c r="G2324">
        <v>3</v>
      </c>
      <c r="H2324" s="133">
        <v>45840</v>
      </c>
      <c r="I2324" s="2">
        <v>0.63821759259259259</v>
      </c>
      <c r="J2324">
        <v>15</v>
      </c>
      <c r="R2324" t="s">
        <v>30</v>
      </c>
      <c r="W2324">
        <v>1</v>
      </c>
      <c r="X2324" t="s">
        <v>30</v>
      </c>
      <c r="AC2324" t="s">
        <v>5269</v>
      </c>
      <c r="AE2324" s="135"/>
    </row>
    <row r="2325" spans="1:31" ht="12.5" customHeight="1" x14ac:dyDescent="0.35">
      <c r="A2325" t="s">
        <v>396</v>
      </c>
      <c r="C2325" t="s">
        <v>5270</v>
      </c>
      <c r="D2325" t="s">
        <v>385</v>
      </c>
      <c r="E2325" s="133">
        <v>45841</v>
      </c>
      <c r="F2325" s="2">
        <v>0.13828703703703704</v>
      </c>
      <c r="G2325">
        <v>3</v>
      </c>
      <c r="H2325" s="133">
        <v>45840</v>
      </c>
      <c r="I2325" s="2">
        <v>0.63828703703703704</v>
      </c>
      <c r="J2325">
        <v>15</v>
      </c>
      <c r="R2325" t="s">
        <v>30</v>
      </c>
      <c r="W2325">
        <v>1</v>
      </c>
      <c r="X2325" t="s">
        <v>30</v>
      </c>
      <c r="AC2325" t="s">
        <v>5271</v>
      </c>
      <c r="AE2325" s="135"/>
    </row>
    <row r="2326" spans="1:31" ht="12.5" customHeight="1" x14ac:dyDescent="0.35">
      <c r="A2326" t="s">
        <v>396</v>
      </c>
      <c r="C2326" t="s">
        <v>5272</v>
      </c>
      <c r="D2326" t="s">
        <v>385</v>
      </c>
      <c r="E2326" s="133">
        <v>45841</v>
      </c>
      <c r="F2326" s="2">
        <v>0.13840277777777779</v>
      </c>
      <c r="G2326">
        <v>3</v>
      </c>
      <c r="H2326" s="133">
        <v>45840</v>
      </c>
      <c r="I2326" s="2">
        <v>0.63840277777777776</v>
      </c>
      <c r="J2326">
        <v>15</v>
      </c>
      <c r="R2326" t="s">
        <v>30</v>
      </c>
      <c r="W2326">
        <v>1</v>
      </c>
      <c r="X2326" t="s">
        <v>30</v>
      </c>
      <c r="AC2326" t="s">
        <v>5273</v>
      </c>
      <c r="AE2326" s="135"/>
    </row>
    <row r="2327" spans="1:31" ht="12.5" customHeight="1" x14ac:dyDescent="0.35">
      <c r="A2327" t="s">
        <v>396</v>
      </c>
      <c r="C2327" t="s">
        <v>5274</v>
      </c>
      <c r="D2327" t="s">
        <v>385</v>
      </c>
      <c r="E2327" s="133">
        <v>45841</v>
      </c>
      <c r="F2327" s="2">
        <v>0.13847222222222222</v>
      </c>
      <c r="G2327">
        <v>3</v>
      </c>
      <c r="H2327" s="133">
        <v>45840</v>
      </c>
      <c r="I2327" s="2">
        <v>0.63847222222222222</v>
      </c>
      <c r="J2327">
        <v>15</v>
      </c>
      <c r="R2327" t="s">
        <v>30</v>
      </c>
      <c r="W2327">
        <v>1</v>
      </c>
      <c r="X2327" t="s">
        <v>30</v>
      </c>
      <c r="AC2327" t="s">
        <v>5275</v>
      </c>
      <c r="AE2327" s="135"/>
    </row>
    <row r="2328" spans="1:31" ht="12.5" customHeight="1" x14ac:dyDescent="0.35">
      <c r="A2328" t="s">
        <v>396</v>
      </c>
      <c r="C2328" t="s">
        <v>5276</v>
      </c>
      <c r="D2328" t="s">
        <v>385</v>
      </c>
      <c r="E2328" s="133">
        <v>45841</v>
      </c>
      <c r="F2328" s="2">
        <v>0.13854166666666667</v>
      </c>
      <c r="G2328">
        <v>3</v>
      </c>
      <c r="H2328" s="133">
        <v>45840</v>
      </c>
      <c r="I2328" s="2">
        <v>0.63854166666666667</v>
      </c>
      <c r="J2328">
        <v>15</v>
      </c>
      <c r="R2328" t="s">
        <v>30</v>
      </c>
      <c r="W2328">
        <v>1</v>
      </c>
      <c r="X2328" t="s">
        <v>30</v>
      </c>
      <c r="AC2328" t="s">
        <v>5277</v>
      </c>
      <c r="AE2328" s="135"/>
    </row>
    <row r="2329" spans="1:31" ht="12.5" customHeight="1" x14ac:dyDescent="0.35">
      <c r="A2329" t="s">
        <v>396</v>
      </c>
      <c r="C2329" t="s">
        <v>5278</v>
      </c>
      <c r="D2329" t="s">
        <v>385</v>
      </c>
      <c r="E2329" s="133">
        <v>45841</v>
      </c>
      <c r="F2329" s="2">
        <v>0.13863425925925926</v>
      </c>
      <c r="G2329">
        <v>3</v>
      </c>
      <c r="H2329" s="133">
        <v>45840</v>
      </c>
      <c r="I2329" s="2">
        <v>0.63863425925925921</v>
      </c>
      <c r="J2329">
        <v>15</v>
      </c>
      <c r="R2329" t="s">
        <v>30</v>
      </c>
      <c r="W2329">
        <v>1</v>
      </c>
      <c r="X2329" t="s">
        <v>30</v>
      </c>
      <c r="AC2329" t="s">
        <v>5279</v>
      </c>
      <c r="AE2329" s="135"/>
    </row>
    <row r="2330" spans="1:31" ht="12.5" customHeight="1" x14ac:dyDescent="0.35">
      <c r="A2330" t="s">
        <v>396</v>
      </c>
      <c r="C2330" t="s">
        <v>5280</v>
      </c>
      <c r="D2330" t="s">
        <v>385</v>
      </c>
      <c r="E2330" s="133">
        <v>45841</v>
      </c>
      <c r="F2330" s="2">
        <v>0.13870370370370369</v>
      </c>
      <c r="G2330">
        <v>3</v>
      </c>
      <c r="H2330" s="133">
        <v>45840</v>
      </c>
      <c r="I2330" s="2">
        <v>0.63870370370370366</v>
      </c>
      <c r="J2330">
        <v>15</v>
      </c>
      <c r="R2330" t="s">
        <v>30</v>
      </c>
      <c r="W2330">
        <v>1</v>
      </c>
      <c r="X2330" t="s">
        <v>30</v>
      </c>
      <c r="AC2330" t="s">
        <v>5281</v>
      </c>
      <c r="AE2330" s="135"/>
    </row>
    <row r="2331" spans="1:31" ht="12.5" customHeight="1" x14ac:dyDescent="0.35">
      <c r="A2331" t="s">
        <v>396</v>
      </c>
      <c r="C2331" t="s">
        <v>5282</v>
      </c>
      <c r="D2331" t="s">
        <v>385</v>
      </c>
      <c r="E2331" s="133">
        <v>45841</v>
      </c>
      <c r="F2331" s="2">
        <v>0.13886574074074073</v>
      </c>
      <c r="G2331">
        <v>3</v>
      </c>
      <c r="H2331" s="133">
        <v>45840</v>
      </c>
      <c r="I2331" s="2">
        <v>0.63886574074074076</v>
      </c>
      <c r="J2331">
        <v>15</v>
      </c>
      <c r="R2331" t="s">
        <v>30</v>
      </c>
      <c r="W2331">
        <v>1</v>
      </c>
      <c r="X2331" t="s">
        <v>30</v>
      </c>
      <c r="AC2331" t="s">
        <v>5283</v>
      </c>
      <c r="AE2331" s="135"/>
    </row>
    <row r="2332" spans="1:31" ht="12.5" customHeight="1" x14ac:dyDescent="0.35">
      <c r="A2332" t="s">
        <v>396</v>
      </c>
      <c r="C2332" t="s">
        <v>5284</v>
      </c>
      <c r="D2332" t="s">
        <v>385</v>
      </c>
      <c r="E2332" s="133">
        <v>45841</v>
      </c>
      <c r="F2332" s="2">
        <v>0.13898148148148148</v>
      </c>
      <c r="G2332">
        <v>3</v>
      </c>
      <c r="H2332" s="133">
        <v>45840</v>
      </c>
      <c r="I2332" s="2">
        <v>0.63898148148148148</v>
      </c>
      <c r="J2332">
        <v>15</v>
      </c>
      <c r="R2332" t="s">
        <v>30</v>
      </c>
      <c r="W2332">
        <v>1</v>
      </c>
      <c r="X2332" t="s">
        <v>30</v>
      </c>
      <c r="AC2332" t="s">
        <v>5285</v>
      </c>
      <c r="AE2332" s="135"/>
    </row>
    <row r="2333" spans="1:31" ht="12.5" customHeight="1" x14ac:dyDescent="0.35">
      <c r="A2333" t="s">
        <v>396</v>
      </c>
      <c r="C2333" t="s">
        <v>5286</v>
      </c>
      <c r="D2333" t="s">
        <v>385</v>
      </c>
      <c r="E2333" s="133">
        <v>45841</v>
      </c>
      <c r="F2333" s="2">
        <v>0.13907407407407407</v>
      </c>
      <c r="G2333">
        <v>3</v>
      </c>
      <c r="H2333" s="133">
        <v>45840</v>
      </c>
      <c r="I2333" s="2">
        <v>0.63907407407407402</v>
      </c>
      <c r="J2333">
        <v>15</v>
      </c>
      <c r="R2333" t="s">
        <v>30</v>
      </c>
      <c r="W2333">
        <v>1</v>
      </c>
      <c r="X2333" t="s">
        <v>30</v>
      </c>
      <c r="AC2333" t="s">
        <v>5287</v>
      </c>
      <c r="AE2333" s="135"/>
    </row>
    <row r="2334" spans="1:31" ht="12.5" customHeight="1" x14ac:dyDescent="0.35">
      <c r="A2334" t="s">
        <v>396</v>
      </c>
      <c r="C2334" t="s">
        <v>5288</v>
      </c>
      <c r="D2334" t="s">
        <v>385</v>
      </c>
      <c r="E2334" s="133">
        <v>45841</v>
      </c>
      <c r="F2334" s="2">
        <v>0.13918981481481482</v>
      </c>
      <c r="G2334">
        <v>3</v>
      </c>
      <c r="H2334" s="133">
        <v>45840</v>
      </c>
      <c r="I2334" s="2">
        <v>0.63918981481481485</v>
      </c>
      <c r="J2334">
        <v>15</v>
      </c>
      <c r="R2334" t="s">
        <v>30</v>
      </c>
      <c r="W2334">
        <v>1</v>
      </c>
      <c r="X2334" t="s">
        <v>30</v>
      </c>
      <c r="AC2334" t="s">
        <v>5289</v>
      </c>
      <c r="AE2334" s="135"/>
    </row>
    <row r="2335" spans="1:31" ht="12.5" customHeight="1" x14ac:dyDescent="0.35">
      <c r="A2335" t="s">
        <v>396</v>
      </c>
      <c r="C2335" t="s">
        <v>5290</v>
      </c>
      <c r="D2335" t="s">
        <v>385</v>
      </c>
      <c r="E2335" s="133">
        <v>45841</v>
      </c>
      <c r="F2335" s="2">
        <v>0.13928240740740741</v>
      </c>
      <c r="G2335">
        <v>3</v>
      </c>
      <c r="H2335" s="133">
        <v>45840</v>
      </c>
      <c r="I2335" s="2">
        <v>0.63928240740740738</v>
      </c>
      <c r="J2335">
        <v>15</v>
      </c>
      <c r="R2335" t="s">
        <v>30</v>
      </c>
      <c r="W2335">
        <v>1</v>
      </c>
      <c r="X2335" t="s">
        <v>30</v>
      </c>
      <c r="AC2335" t="s">
        <v>5291</v>
      </c>
      <c r="AE2335" s="135"/>
    </row>
    <row r="2336" spans="1:31" ht="12.5" customHeight="1" x14ac:dyDescent="0.35">
      <c r="A2336" t="s">
        <v>396</v>
      </c>
      <c r="C2336" t="s">
        <v>5292</v>
      </c>
      <c r="D2336" t="s">
        <v>385</v>
      </c>
      <c r="E2336" s="133">
        <v>45841</v>
      </c>
      <c r="F2336" s="2">
        <v>0.139375</v>
      </c>
      <c r="G2336">
        <v>3</v>
      </c>
      <c r="H2336" s="133">
        <v>45840</v>
      </c>
      <c r="I2336" s="2">
        <v>0.63937500000000003</v>
      </c>
      <c r="J2336">
        <v>15</v>
      </c>
      <c r="R2336" t="s">
        <v>30</v>
      </c>
      <c r="W2336">
        <v>1</v>
      </c>
      <c r="X2336" t="s">
        <v>30</v>
      </c>
      <c r="AC2336" t="s">
        <v>5293</v>
      </c>
      <c r="AE2336" s="135"/>
    </row>
    <row r="2337" spans="1:31" ht="12.5" customHeight="1" x14ac:dyDescent="0.35">
      <c r="A2337" t="s">
        <v>396</v>
      </c>
      <c r="C2337" t="s">
        <v>5294</v>
      </c>
      <c r="D2337" t="s">
        <v>385</v>
      </c>
      <c r="E2337" s="133">
        <v>45841</v>
      </c>
      <c r="F2337" s="2">
        <v>0.13944444444444445</v>
      </c>
      <c r="G2337">
        <v>3</v>
      </c>
      <c r="H2337" s="133">
        <v>45840</v>
      </c>
      <c r="I2337" s="2">
        <v>0.63944444444444448</v>
      </c>
      <c r="J2337">
        <v>15</v>
      </c>
      <c r="R2337" t="s">
        <v>30</v>
      </c>
      <c r="W2337">
        <v>1</v>
      </c>
      <c r="X2337" t="s">
        <v>30</v>
      </c>
      <c r="AC2337" t="s">
        <v>5295</v>
      </c>
      <c r="AE2337" s="135"/>
    </row>
    <row r="2338" spans="1:31" ht="12.5" customHeight="1" x14ac:dyDescent="0.35">
      <c r="A2338" t="s">
        <v>396</v>
      </c>
      <c r="C2338" t="s">
        <v>5296</v>
      </c>
      <c r="D2338" t="s">
        <v>385</v>
      </c>
      <c r="E2338" s="133">
        <v>45841</v>
      </c>
      <c r="F2338" s="2">
        <v>0.13956018518518518</v>
      </c>
      <c r="G2338">
        <v>3</v>
      </c>
      <c r="H2338" s="133">
        <v>45840</v>
      </c>
      <c r="I2338" s="2">
        <v>0.6395601851851852</v>
      </c>
      <c r="J2338">
        <v>15</v>
      </c>
      <c r="R2338" t="s">
        <v>30</v>
      </c>
      <c r="W2338">
        <v>1</v>
      </c>
      <c r="X2338" t="s">
        <v>30</v>
      </c>
      <c r="AC2338" t="s">
        <v>5297</v>
      </c>
      <c r="AE2338" s="135"/>
    </row>
    <row r="2339" spans="1:31" ht="12.5" customHeight="1" x14ac:dyDescent="0.35">
      <c r="A2339" t="s">
        <v>396</v>
      </c>
      <c r="C2339" t="s">
        <v>5298</v>
      </c>
      <c r="D2339" t="s">
        <v>385</v>
      </c>
      <c r="E2339" s="133">
        <v>45841</v>
      </c>
      <c r="F2339" s="2">
        <v>0.13967592592592593</v>
      </c>
      <c r="G2339">
        <v>3</v>
      </c>
      <c r="H2339" s="133">
        <v>45840</v>
      </c>
      <c r="I2339" s="2">
        <v>0.63967592592592593</v>
      </c>
      <c r="J2339">
        <v>15</v>
      </c>
      <c r="R2339" t="s">
        <v>30</v>
      </c>
      <c r="W2339">
        <v>1</v>
      </c>
      <c r="X2339" t="s">
        <v>30</v>
      </c>
      <c r="AC2339" t="s">
        <v>5299</v>
      </c>
      <c r="AE2339" s="135"/>
    </row>
    <row r="2340" spans="1:31" ht="12.5" customHeight="1" x14ac:dyDescent="0.35">
      <c r="A2340" t="s">
        <v>396</v>
      </c>
      <c r="C2340" t="s">
        <v>5300</v>
      </c>
      <c r="D2340" t="s">
        <v>385</v>
      </c>
      <c r="E2340" s="133">
        <v>45841</v>
      </c>
      <c r="F2340" s="2">
        <v>0.13976851851851851</v>
      </c>
      <c r="G2340">
        <v>3</v>
      </c>
      <c r="H2340" s="133">
        <v>45840</v>
      </c>
      <c r="I2340" s="2">
        <v>0.63976851851851857</v>
      </c>
      <c r="J2340">
        <v>15</v>
      </c>
      <c r="R2340" t="s">
        <v>30</v>
      </c>
      <c r="W2340">
        <v>1</v>
      </c>
      <c r="X2340" t="s">
        <v>30</v>
      </c>
      <c r="AC2340" t="s">
        <v>5301</v>
      </c>
      <c r="AE2340" s="135"/>
    </row>
    <row r="2341" spans="1:31" ht="12.5" customHeight="1" x14ac:dyDescent="0.35">
      <c r="A2341" t="s">
        <v>396</v>
      </c>
      <c r="C2341" t="s">
        <v>5302</v>
      </c>
      <c r="D2341" t="s">
        <v>385</v>
      </c>
      <c r="E2341" s="133">
        <v>45841</v>
      </c>
      <c r="F2341" s="2">
        <v>0.13993055555555556</v>
      </c>
      <c r="G2341">
        <v>3</v>
      </c>
      <c r="H2341" s="133">
        <v>45840</v>
      </c>
      <c r="I2341" s="2">
        <v>0.63993055555555556</v>
      </c>
      <c r="J2341">
        <v>15</v>
      </c>
      <c r="R2341" t="s">
        <v>30</v>
      </c>
      <c r="W2341">
        <v>1</v>
      </c>
      <c r="X2341" t="s">
        <v>30</v>
      </c>
      <c r="AC2341" t="s">
        <v>5303</v>
      </c>
      <c r="AE2341" s="135"/>
    </row>
    <row r="2342" spans="1:31" ht="12.5" customHeight="1" x14ac:dyDescent="0.35">
      <c r="A2342" t="s">
        <v>396</v>
      </c>
      <c r="C2342" t="s">
        <v>5304</v>
      </c>
      <c r="D2342" t="s">
        <v>385</v>
      </c>
      <c r="E2342" s="133">
        <v>45841</v>
      </c>
      <c r="F2342" s="2">
        <v>0.14002314814814815</v>
      </c>
      <c r="G2342">
        <v>3</v>
      </c>
      <c r="H2342" s="133">
        <v>45840</v>
      </c>
      <c r="I2342" s="2">
        <v>0.64002314814814809</v>
      </c>
      <c r="J2342">
        <v>15</v>
      </c>
      <c r="R2342" t="s">
        <v>30</v>
      </c>
      <c r="W2342">
        <v>1</v>
      </c>
      <c r="X2342" t="s">
        <v>30</v>
      </c>
      <c r="AC2342" t="s">
        <v>5305</v>
      </c>
      <c r="AE2342" s="135"/>
    </row>
    <row r="2343" spans="1:31" ht="12.5" customHeight="1" x14ac:dyDescent="0.35">
      <c r="A2343" t="s">
        <v>396</v>
      </c>
      <c r="C2343" t="s">
        <v>5306</v>
      </c>
      <c r="D2343" t="s">
        <v>385</v>
      </c>
      <c r="E2343" s="133">
        <v>45841</v>
      </c>
      <c r="F2343" s="2">
        <v>0.14011574074074074</v>
      </c>
      <c r="G2343">
        <v>3</v>
      </c>
      <c r="H2343" s="133">
        <v>45840</v>
      </c>
      <c r="I2343" s="2">
        <v>0.64011574074074074</v>
      </c>
      <c r="J2343">
        <v>15</v>
      </c>
      <c r="R2343" t="s">
        <v>30</v>
      </c>
      <c r="W2343">
        <v>1</v>
      </c>
      <c r="X2343" t="s">
        <v>30</v>
      </c>
      <c r="AC2343" t="s">
        <v>5307</v>
      </c>
      <c r="AE2343" s="135"/>
    </row>
    <row r="2344" spans="1:31" ht="12.5" customHeight="1" x14ac:dyDescent="0.35">
      <c r="A2344" t="s">
        <v>396</v>
      </c>
      <c r="C2344" t="s">
        <v>5308</v>
      </c>
      <c r="D2344" t="s">
        <v>385</v>
      </c>
      <c r="E2344" s="133">
        <v>45841</v>
      </c>
      <c r="F2344" s="2">
        <v>0.14018518518518519</v>
      </c>
      <c r="G2344">
        <v>3</v>
      </c>
      <c r="H2344" s="133">
        <v>45840</v>
      </c>
      <c r="I2344" s="2">
        <v>0.64018518518518519</v>
      </c>
      <c r="J2344">
        <v>15</v>
      </c>
      <c r="R2344" t="s">
        <v>30</v>
      </c>
      <c r="W2344">
        <v>1</v>
      </c>
      <c r="X2344" t="s">
        <v>30</v>
      </c>
      <c r="AC2344" t="s">
        <v>5309</v>
      </c>
      <c r="AE2344" s="135"/>
    </row>
    <row r="2345" spans="1:31" ht="12.5" customHeight="1" x14ac:dyDescent="0.35">
      <c r="A2345" t="s">
        <v>396</v>
      </c>
      <c r="C2345" t="s">
        <v>5310</v>
      </c>
      <c r="D2345" t="s">
        <v>385</v>
      </c>
      <c r="E2345" s="133">
        <v>45841</v>
      </c>
      <c r="F2345" s="2">
        <v>0.14027777777777778</v>
      </c>
      <c r="G2345">
        <v>3</v>
      </c>
      <c r="H2345" s="133">
        <v>45840</v>
      </c>
      <c r="I2345" s="2">
        <v>0.64027777777777783</v>
      </c>
      <c r="J2345">
        <v>15</v>
      </c>
      <c r="R2345" t="s">
        <v>30</v>
      </c>
      <c r="W2345">
        <v>1</v>
      </c>
      <c r="X2345" t="s">
        <v>30</v>
      </c>
      <c r="AC2345" t="s">
        <v>5311</v>
      </c>
      <c r="AE2345" s="135"/>
    </row>
    <row r="2346" spans="1:31" ht="12.5" customHeight="1" x14ac:dyDescent="0.35">
      <c r="A2346" t="s">
        <v>396</v>
      </c>
      <c r="C2346" t="s">
        <v>5312</v>
      </c>
      <c r="D2346" t="s">
        <v>385</v>
      </c>
      <c r="E2346" s="133">
        <v>45841</v>
      </c>
      <c r="F2346" s="2">
        <v>0.14037037037037037</v>
      </c>
      <c r="G2346">
        <v>3</v>
      </c>
      <c r="H2346" s="133">
        <v>45840</v>
      </c>
      <c r="I2346" s="2">
        <v>0.64037037037037037</v>
      </c>
      <c r="J2346">
        <v>15</v>
      </c>
      <c r="R2346" t="s">
        <v>30</v>
      </c>
      <c r="W2346">
        <v>1</v>
      </c>
      <c r="X2346" t="s">
        <v>30</v>
      </c>
      <c r="AC2346" t="s">
        <v>5313</v>
      </c>
      <c r="AE2346" s="135"/>
    </row>
    <row r="2347" spans="1:31" ht="12.5" customHeight="1" x14ac:dyDescent="0.35">
      <c r="A2347" t="s">
        <v>396</v>
      </c>
      <c r="C2347" t="s">
        <v>5314</v>
      </c>
      <c r="D2347" t="s">
        <v>385</v>
      </c>
      <c r="E2347" s="133">
        <v>45841</v>
      </c>
      <c r="F2347" s="2">
        <v>0.14046296296296296</v>
      </c>
      <c r="G2347">
        <v>3</v>
      </c>
      <c r="H2347" s="133">
        <v>45840</v>
      </c>
      <c r="I2347" s="2">
        <v>0.6404629629629629</v>
      </c>
      <c r="J2347">
        <v>15</v>
      </c>
      <c r="R2347" t="s">
        <v>30</v>
      </c>
      <c r="W2347">
        <v>1</v>
      </c>
      <c r="X2347" t="s">
        <v>30</v>
      </c>
      <c r="AC2347" t="s">
        <v>5315</v>
      </c>
      <c r="AE2347" s="135"/>
    </row>
    <row r="2348" spans="1:31" ht="12.5" customHeight="1" x14ac:dyDescent="0.35">
      <c r="A2348" t="s">
        <v>396</v>
      </c>
      <c r="C2348" t="s">
        <v>5316</v>
      </c>
      <c r="D2348" t="s">
        <v>385</v>
      </c>
      <c r="E2348" s="133">
        <v>45841</v>
      </c>
      <c r="F2348" s="2">
        <v>0.14055555555555554</v>
      </c>
      <c r="G2348">
        <v>3</v>
      </c>
      <c r="H2348" s="133">
        <v>45840</v>
      </c>
      <c r="I2348" s="2">
        <v>0.64055555555555554</v>
      </c>
      <c r="J2348">
        <v>15</v>
      </c>
      <c r="R2348" t="s">
        <v>30</v>
      </c>
      <c r="W2348">
        <v>1</v>
      </c>
      <c r="X2348" t="s">
        <v>30</v>
      </c>
      <c r="AC2348" t="s">
        <v>5317</v>
      </c>
      <c r="AE2348" s="135"/>
    </row>
    <row r="2349" spans="1:31" ht="12.5" customHeight="1" x14ac:dyDescent="0.35">
      <c r="A2349" t="s">
        <v>396</v>
      </c>
      <c r="C2349" t="s">
        <v>5318</v>
      </c>
      <c r="D2349" t="s">
        <v>385</v>
      </c>
      <c r="E2349" s="133">
        <v>45841</v>
      </c>
      <c r="F2349" s="2">
        <v>0.140625</v>
      </c>
      <c r="G2349">
        <v>3</v>
      </c>
      <c r="H2349" s="133">
        <v>45840</v>
      </c>
      <c r="I2349" s="2">
        <v>0.640625</v>
      </c>
      <c r="J2349">
        <v>15</v>
      </c>
      <c r="R2349" t="s">
        <v>30</v>
      </c>
      <c r="W2349">
        <v>1</v>
      </c>
      <c r="X2349" t="s">
        <v>30</v>
      </c>
      <c r="AC2349" t="s">
        <v>5319</v>
      </c>
      <c r="AE2349" s="135"/>
    </row>
    <row r="2350" spans="1:31" ht="12.5" customHeight="1" x14ac:dyDescent="0.35">
      <c r="A2350" t="s">
        <v>396</v>
      </c>
      <c r="C2350" t="s">
        <v>5320</v>
      </c>
      <c r="D2350" t="s">
        <v>385</v>
      </c>
      <c r="E2350" s="133">
        <v>45841</v>
      </c>
      <c r="F2350" s="2">
        <v>0.14071759259259259</v>
      </c>
      <c r="G2350">
        <v>3</v>
      </c>
      <c r="H2350" s="133">
        <v>45840</v>
      </c>
      <c r="I2350" s="2">
        <v>0.64071759259259264</v>
      </c>
      <c r="J2350">
        <v>15</v>
      </c>
      <c r="R2350" t="s">
        <v>30</v>
      </c>
      <c r="W2350">
        <v>1</v>
      </c>
      <c r="X2350" t="s">
        <v>30</v>
      </c>
      <c r="AC2350" t="s">
        <v>5321</v>
      </c>
      <c r="AE2350" s="135"/>
    </row>
    <row r="2351" spans="1:31" ht="12.5" customHeight="1" x14ac:dyDescent="0.35">
      <c r="A2351" t="s">
        <v>396</v>
      </c>
      <c r="C2351" t="s">
        <v>5322</v>
      </c>
      <c r="D2351" t="s">
        <v>385</v>
      </c>
      <c r="E2351" s="133">
        <v>45841</v>
      </c>
      <c r="F2351" s="2">
        <v>0.14081018518518518</v>
      </c>
      <c r="G2351">
        <v>3</v>
      </c>
      <c r="H2351" s="133">
        <v>45840</v>
      </c>
      <c r="I2351" s="2">
        <v>0.64081018518518518</v>
      </c>
      <c r="J2351">
        <v>15</v>
      </c>
      <c r="R2351" t="s">
        <v>30</v>
      </c>
      <c r="W2351">
        <v>1</v>
      </c>
      <c r="X2351" t="s">
        <v>30</v>
      </c>
      <c r="AC2351" t="s">
        <v>5323</v>
      </c>
      <c r="AE2351" s="135"/>
    </row>
    <row r="2352" spans="1:31" ht="12.5" customHeight="1" x14ac:dyDescent="0.35">
      <c r="A2352" t="s">
        <v>396</v>
      </c>
      <c r="C2352" t="s">
        <v>5324</v>
      </c>
      <c r="D2352" t="s">
        <v>385</v>
      </c>
      <c r="E2352" s="133">
        <v>45841</v>
      </c>
      <c r="F2352" s="2">
        <v>0.14092592592592593</v>
      </c>
      <c r="G2352">
        <v>3</v>
      </c>
      <c r="H2352" s="133">
        <v>45840</v>
      </c>
      <c r="I2352" s="2">
        <v>0.6409259259259259</v>
      </c>
      <c r="J2352">
        <v>15</v>
      </c>
      <c r="R2352" t="s">
        <v>30</v>
      </c>
      <c r="W2352">
        <v>1</v>
      </c>
      <c r="X2352" t="s">
        <v>30</v>
      </c>
      <c r="AC2352" t="s">
        <v>5325</v>
      </c>
      <c r="AE2352" s="135"/>
    </row>
    <row r="2353" spans="1:31" ht="12.5" customHeight="1" x14ac:dyDescent="0.35">
      <c r="A2353" t="s">
        <v>396</v>
      </c>
      <c r="C2353" t="s">
        <v>5326</v>
      </c>
      <c r="D2353" t="s">
        <v>385</v>
      </c>
      <c r="E2353" s="133">
        <v>45841</v>
      </c>
      <c r="F2353" s="2">
        <v>0.14104166666666665</v>
      </c>
      <c r="G2353">
        <v>3</v>
      </c>
      <c r="H2353" s="133">
        <v>45840</v>
      </c>
      <c r="I2353" s="2">
        <v>0.64104166666666662</v>
      </c>
      <c r="J2353">
        <v>15</v>
      </c>
      <c r="R2353" t="s">
        <v>30</v>
      </c>
      <c r="W2353">
        <v>1</v>
      </c>
      <c r="X2353" t="s">
        <v>30</v>
      </c>
      <c r="AC2353" t="s">
        <v>5327</v>
      </c>
      <c r="AE2353" s="135"/>
    </row>
    <row r="2354" spans="1:31" ht="12.5" customHeight="1" x14ac:dyDescent="0.35">
      <c r="A2354" t="s">
        <v>396</v>
      </c>
      <c r="C2354" t="s">
        <v>5328</v>
      </c>
      <c r="D2354" t="s">
        <v>385</v>
      </c>
      <c r="E2354" s="133">
        <v>45841</v>
      </c>
      <c r="F2354" s="2">
        <v>0.1411111111111111</v>
      </c>
      <c r="G2354">
        <v>3</v>
      </c>
      <c r="H2354" s="133">
        <v>45840</v>
      </c>
      <c r="I2354" s="2">
        <v>0.64111111111111108</v>
      </c>
      <c r="J2354">
        <v>15</v>
      </c>
      <c r="R2354" t="s">
        <v>30</v>
      </c>
      <c r="W2354">
        <v>1</v>
      </c>
      <c r="X2354" t="s">
        <v>30</v>
      </c>
      <c r="AC2354" t="s">
        <v>5329</v>
      </c>
      <c r="AE2354" s="135"/>
    </row>
    <row r="2355" spans="1:31" ht="12.5" customHeight="1" x14ac:dyDescent="0.35">
      <c r="A2355" t="s">
        <v>396</v>
      </c>
      <c r="C2355" t="s">
        <v>5330</v>
      </c>
      <c r="D2355" t="s">
        <v>385</v>
      </c>
      <c r="E2355" s="133">
        <v>45841</v>
      </c>
      <c r="F2355" s="2">
        <v>0.14125000000000001</v>
      </c>
      <c r="G2355">
        <v>3</v>
      </c>
      <c r="H2355" s="133">
        <v>45840</v>
      </c>
      <c r="I2355" s="2">
        <v>0.64124999999999999</v>
      </c>
      <c r="J2355">
        <v>15</v>
      </c>
      <c r="R2355" t="s">
        <v>30</v>
      </c>
      <c r="W2355">
        <v>1</v>
      </c>
      <c r="X2355" t="s">
        <v>30</v>
      </c>
      <c r="AC2355" t="s">
        <v>5331</v>
      </c>
      <c r="AE2355" s="135"/>
    </row>
    <row r="2356" spans="1:31" ht="12.5" customHeight="1" x14ac:dyDescent="0.35">
      <c r="A2356" t="s">
        <v>396</v>
      </c>
      <c r="C2356" t="s">
        <v>5332</v>
      </c>
      <c r="D2356" t="s">
        <v>385</v>
      </c>
      <c r="E2356" s="133">
        <v>45841</v>
      </c>
      <c r="F2356" s="2">
        <v>0.1413425925925926</v>
      </c>
      <c r="G2356">
        <v>3</v>
      </c>
      <c r="H2356" s="133">
        <v>45840</v>
      </c>
      <c r="I2356" s="2">
        <v>0.64134259259259263</v>
      </c>
      <c r="J2356">
        <v>15</v>
      </c>
      <c r="R2356" t="s">
        <v>30</v>
      </c>
      <c r="W2356">
        <v>1</v>
      </c>
      <c r="X2356" t="s">
        <v>30</v>
      </c>
      <c r="AC2356" t="s">
        <v>5333</v>
      </c>
      <c r="AE2356" s="135"/>
    </row>
    <row r="2357" spans="1:31" ht="12.5" customHeight="1" x14ac:dyDescent="0.35">
      <c r="A2357" t="s">
        <v>396</v>
      </c>
      <c r="C2357" t="s">
        <v>5334</v>
      </c>
      <c r="D2357" t="s">
        <v>385</v>
      </c>
      <c r="E2357" s="133">
        <v>45841</v>
      </c>
      <c r="F2357" s="2">
        <v>0.14143518518518519</v>
      </c>
      <c r="G2357">
        <v>3</v>
      </c>
      <c r="H2357" s="133">
        <v>45840</v>
      </c>
      <c r="I2357" s="2">
        <v>0.64143518518518516</v>
      </c>
      <c r="J2357">
        <v>15</v>
      </c>
      <c r="R2357" t="s">
        <v>30</v>
      </c>
      <c r="W2357">
        <v>1</v>
      </c>
      <c r="X2357" t="s">
        <v>30</v>
      </c>
      <c r="AC2357" t="s">
        <v>5335</v>
      </c>
      <c r="AE2357" s="135"/>
    </row>
    <row r="2358" spans="1:31" ht="12.5" customHeight="1" x14ac:dyDescent="0.35">
      <c r="A2358" t="s">
        <v>396</v>
      </c>
      <c r="C2358" t="s">
        <v>5336</v>
      </c>
      <c r="D2358" t="s">
        <v>385</v>
      </c>
      <c r="E2358" s="133">
        <v>45841</v>
      </c>
      <c r="F2358" s="2">
        <v>0.14152777777777778</v>
      </c>
      <c r="G2358">
        <v>3</v>
      </c>
      <c r="H2358" s="133">
        <v>45840</v>
      </c>
      <c r="I2358" s="2">
        <v>0.64152777777777781</v>
      </c>
      <c r="J2358">
        <v>15</v>
      </c>
      <c r="R2358" t="s">
        <v>30</v>
      </c>
      <c r="W2358">
        <v>1</v>
      </c>
      <c r="X2358" t="s">
        <v>30</v>
      </c>
      <c r="AC2358" t="s">
        <v>5337</v>
      </c>
      <c r="AE2358" s="135"/>
    </row>
    <row r="2359" spans="1:31" ht="12.5" customHeight="1" x14ac:dyDescent="0.35">
      <c r="A2359" t="s">
        <v>396</v>
      </c>
      <c r="C2359" t="s">
        <v>5338</v>
      </c>
      <c r="D2359" t="s">
        <v>385</v>
      </c>
      <c r="E2359" s="133">
        <v>45841</v>
      </c>
      <c r="F2359" s="2">
        <v>0.1416435185185185</v>
      </c>
      <c r="G2359">
        <v>3</v>
      </c>
      <c r="H2359" s="133">
        <v>45840</v>
      </c>
      <c r="I2359" s="2">
        <v>0.64164351851851853</v>
      </c>
      <c r="J2359">
        <v>15</v>
      </c>
      <c r="R2359" t="s">
        <v>30</v>
      </c>
      <c r="W2359">
        <v>1</v>
      </c>
      <c r="X2359" t="s">
        <v>30</v>
      </c>
      <c r="AC2359" t="s">
        <v>5339</v>
      </c>
      <c r="AE2359" s="135"/>
    </row>
    <row r="2360" spans="1:31" ht="12.5" customHeight="1" x14ac:dyDescent="0.35">
      <c r="A2360" t="s">
        <v>396</v>
      </c>
      <c r="C2360" t="s">
        <v>5340</v>
      </c>
      <c r="D2360" t="s">
        <v>385</v>
      </c>
      <c r="E2360" s="133">
        <v>45841</v>
      </c>
      <c r="F2360" s="2">
        <v>0.14173611111111112</v>
      </c>
      <c r="G2360">
        <v>3</v>
      </c>
      <c r="H2360" s="133">
        <v>45840</v>
      </c>
      <c r="I2360" s="2">
        <v>0.64173611111111117</v>
      </c>
      <c r="J2360">
        <v>15</v>
      </c>
      <c r="R2360" t="s">
        <v>30</v>
      </c>
      <c r="W2360">
        <v>1</v>
      </c>
      <c r="X2360" t="s">
        <v>30</v>
      </c>
      <c r="AC2360" t="s">
        <v>5341</v>
      </c>
      <c r="AE2360" s="135"/>
    </row>
    <row r="2361" spans="1:31" ht="12.5" customHeight="1" x14ac:dyDescent="0.35">
      <c r="A2361" t="s">
        <v>396</v>
      </c>
      <c r="C2361" t="s">
        <v>5342</v>
      </c>
      <c r="D2361" t="s">
        <v>385</v>
      </c>
      <c r="E2361" s="133">
        <v>45841</v>
      </c>
      <c r="F2361" s="2">
        <v>0.14182870370370371</v>
      </c>
      <c r="G2361">
        <v>3</v>
      </c>
      <c r="H2361" s="133">
        <v>45840</v>
      </c>
      <c r="I2361" s="2">
        <v>0.64182870370370371</v>
      </c>
      <c r="J2361">
        <v>15</v>
      </c>
      <c r="R2361" t="s">
        <v>30</v>
      </c>
      <c r="W2361">
        <v>1</v>
      </c>
      <c r="X2361" t="s">
        <v>30</v>
      </c>
      <c r="AC2361" t="s">
        <v>5343</v>
      </c>
      <c r="AE2361" s="135"/>
    </row>
    <row r="2362" spans="1:31" ht="12.5" customHeight="1" x14ac:dyDescent="0.35">
      <c r="A2362" t="s">
        <v>396</v>
      </c>
      <c r="C2362" t="s">
        <v>5344</v>
      </c>
      <c r="D2362" t="s">
        <v>385</v>
      </c>
      <c r="E2362" s="133">
        <v>45841</v>
      </c>
      <c r="F2362" s="2">
        <v>0.14194444444444446</v>
      </c>
      <c r="G2362">
        <v>3</v>
      </c>
      <c r="H2362" s="133">
        <v>45840</v>
      </c>
      <c r="I2362" s="2">
        <v>0.64194444444444443</v>
      </c>
      <c r="J2362">
        <v>15</v>
      </c>
      <c r="R2362" t="s">
        <v>30</v>
      </c>
      <c r="W2362">
        <v>1</v>
      </c>
      <c r="X2362" t="s">
        <v>30</v>
      </c>
      <c r="AC2362" t="s">
        <v>5345</v>
      </c>
      <c r="AE2362" s="135"/>
    </row>
    <row r="2363" spans="1:31" ht="12.5" customHeight="1" x14ac:dyDescent="0.35">
      <c r="A2363" t="s">
        <v>396</v>
      </c>
      <c r="C2363" t="s">
        <v>5346</v>
      </c>
      <c r="D2363" t="s">
        <v>385</v>
      </c>
      <c r="E2363" s="133">
        <v>45841</v>
      </c>
      <c r="F2363" s="2">
        <v>0.14208333333333334</v>
      </c>
      <c r="G2363">
        <v>3</v>
      </c>
      <c r="H2363" s="133">
        <v>45840</v>
      </c>
      <c r="I2363" s="2">
        <v>0.64208333333333334</v>
      </c>
      <c r="J2363">
        <v>15</v>
      </c>
      <c r="R2363" t="s">
        <v>30</v>
      </c>
      <c r="W2363">
        <v>1</v>
      </c>
      <c r="X2363" t="s">
        <v>30</v>
      </c>
      <c r="AC2363" t="s">
        <v>5347</v>
      </c>
      <c r="AE2363" s="135"/>
    </row>
    <row r="2364" spans="1:31" ht="12.5" customHeight="1" x14ac:dyDescent="0.35">
      <c r="A2364" t="s">
        <v>396</v>
      </c>
      <c r="C2364" t="s">
        <v>5348</v>
      </c>
      <c r="D2364" t="s">
        <v>385</v>
      </c>
      <c r="E2364" s="133">
        <v>45841</v>
      </c>
      <c r="F2364" s="2">
        <v>0.14217592592592593</v>
      </c>
      <c r="G2364">
        <v>3</v>
      </c>
      <c r="H2364" s="133">
        <v>45840</v>
      </c>
      <c r="I2364" s="2">
        <v>0.64217592592592598</v>
      </c>
      <c r="J2364">
        <v>15</v>
      </c>
      <c r="R2364" t="s">
        <v>30</v>
      </c>
      <c r="W2364">
        <v>1</v>
      </c>
      <c r="X2364" t="s">
        <v>30</v>
      </c>
      <c r="AC2364" t="s">
        <v>5349</v>
      </c>
      <c r="AE2364" s="135"/>
    </row>
    <row r="2365" spans="1:31" ht="12.5" customHeight="1" x14ac:dyDescent="0.35">
      <c r="A2365" t="s">
        <v>396</v>
      </c>
      <c r="C2365" t="s">
        <v>5350</v>
      </c>
      <c r="D2365" t="s">
        <v>385</v>
      </c>
      <c r="E2365" s="133">
        <v>45841</v>
      </c>
      <c r="F2365" s="2">
        <v>0.14224537037037036</v>
      </c>
      <c r="G2365">
        <v>3</v>
      </c>
      <c r="H2365" s="133">
        <v>45840</v>
      </c>
      <c r="I2365" s="2">
        <v>0.64224537037037044</v>
      </c>
      <c r="J2365">
        <v>15</v>
      </c>
      <c r="R2365" t="s">
        <v>30</v>
      </c>
      <c r="W2365">
        <v>1</v>
      </c>
      <c r="X2365" t="s">
        <v>30</v>
      </c>
      <c r="AC2365" t="s">
        <v>5351</v>
      </c>
      <c r="AE2365" s="135"/>
    </row>
    <row r="2366" spans="1:31" ht="12.5" customHeight="1" x14ac:dyDescent="0.35">
      <c r="A2366" t="s">
        <v>396</v>
      </c>
      <c r="C2366" t="s">
        <v>5352</v>
      </c>
      <c r="D2366" t="s">
        <v>385</v>
      </c>
      <c r="E2366" s="133">
        <v>45841</v>
      </c>
      <c r="F2366" s="2">
        <v>0.1423611111111111</v>
      </c>
      <c r="G2366">
        <v>3</v>
      </c>
      <c r="H2366" s="133">
        <v>45840</v>
      </c>
      <c r="I2366" s="2">
        <v>0.64236111111111105</v>
      </c>
      <c r="J2366">
        <v>15</v>
      </c>
      <c r="R2366" t="s">
        <v>30</v>
      </c>
      <c r="W2366">
        <v>1</v>
      </c>
      <c r="X2366" t="s">
        <v>30</v>
      </c>
      <c r="AC2366" t="s">
        <v>5353</v>
      </c>
      <c r="AE2366" s="135"/>
    </row>
    <row r="2367" spans="1:31" ht="12.5" customHeight="1" x14ac:dyDescent="0.35">
      <c r="A2367" t="s">
        <v>396</v>
      </c>
      <c r="C2367" t="s">
        <v>5354</v>
      </c>
      <c r="D2367" t="s">
        <v>385</v>
      </c>
      <c r="E2367" s="133">
        <v>45841</v>
      </c>
      <c r="F2367" s="2">
        <v>0.14245370370370369</v>
      </c>
      <c r="G2367">
        <v>3</v>
      </c>
      <c r="H2367" s="133">
        <v>45840</v>
      </c>
      <c r="I2367" s="2">
        <v>0.64245370370370369</v>
      </c>
      <c r="J2367">
        <v>15</v>
      </c>
      <c r="R2367" t="s">
        <v>30</v>
      </c>
      <c r="W2367">
        <v>1</v>
      </c>
      <c r="X2367" t="s">
        <v>30</v>
      </c>
      <c r="AC2367" t="s">
        <v>5355</v>
      </c>
      <c r="AE2367" s="135"/>
    </row>
    <row r="2368" spans="1:31" ht="12.5" customHeight="1" x14ac:dyDescent="0.35">
      <c r="A2368" t="s">
        <v>396</v>
      </c>
      <c r="C2368" t="s">
        <v>5356</v>
      </c>
      <c r="D2368" t="s">
        <v>385</v>
      </c>
      <c r="E2368" s="133">
        <v>45841</v>
      </c>
      <c r="F2368" s="2">
        <v>0.14254629629629631</v>
      </c>
      <c r="G2368">
        <v>3</v>
      </c>
      <c r="H2368" s="133">
        <v>45840</v>
      </c>
      <c r="I2368" s="2">
        <v>0.64254629629629634</v>
      </c>
      <c r="J2368">
        <v>15</v>
      </c>
      <c r="R2368" t="s">
        <v>30</v>
      </c>
      <c r="W2368">
        <v>1</v>
      </c>
      <c r="X2368" t="s">
        <v>30</v>
      </c>
      <c r="AC2368" t="s">
        <v>5357</v>
      </c>
      <c r="AE2368" s="135"/>
    </row>
    <row r="2369" spans="1:31" ht="12.5" customHeight="1" x14ac:dyDescent="0.35">
      <c r="A2369" t="s">
        <v>396</v>
      </c>
      <c r="C2369" t="s">
        <v>5358</v>
      </c>
      <c r="D2369" t="s">
        <v>385</v>
      </c>
      <c r="E2369" s="133">
        <v>45841</v>
      </c>
      <c r="F2369" s="2">
        <v>0.1426388888888889</v>
      </c>
      <c r="G2369">
        <v>3</v>
      </c>
      <c r="H2369" s="133">
        <v>45840</v>
      </c>
      <c r="I2369" s="2">
        <v>0.64263888888888887</v>
      </c>
      <c r="J2369">
        <v>15</v>
      </c>
      <c r="R2369" t="s">
        <v>30</v>
      </c>
      <c r="W2369">
        <v>1</v>
      </c>
      <c r="X2369" t="s">
        <v>30</v>
      </c>
      <c r="AC2369" t="s">
        <v>5359</v>
      </c>
      <c r="AE2369" s="135"/>
    </row>
    <row r="2370" spans="1:31" ht="12.5" customHeight="1" x14ac:dyDescent="0.35">
      <c r="A2370" t="s">
        <v>396</v>
      </c>
      <c r="C2370" t="s">
        <v>5360</v>
      </c>
      <c r="D2370" t="s">
        <v>385</v>
      </c>
      <c r="E2370" s="133">
        <v>45841</v>
      </c>
      <c r="F2370" s="2">
        <v>0.14270833333333333</v>
      </c>
      <c r="G2370">
        <v>3</v>
      </c>
      <c r="H2370" s="133">
        <v>45840</v>
      </c>
      <c r="I2370" s="2">
        <v>0.64270833333333333</v>
      </c>
      <c r="J2370">
        <v>15</v>
      </c>
      <c r="R2370" t="s">
        <v>30</v>
      </c>
      <c r="W2370">
        <v>1</v>
      </c>
      <c r="X2370" t="s">
        <v>30</v>
      </c>
      <c r="AC2370" t="s">
        <v>5361</v>
      </c>
      <c r="AE2370" s="135"/>
    </row>
    <row r="2371" spans="1:31" ht="12.5" customHeight="1" x14ac:dyDescent="0.35">
      <c r="A2371" t="s">
        <v>396</v>
      </c>
      <c r="C2371" t="s">
        <v>5362</v>
      </c>
      <c r="D2371" t="s">
        <v>385</v>
      </c>
      <c r="E2371" s="133">
        <v>45841</v>
      </c>
      <c r="F2371" s="2">
        <v>0.14280092592592594</v>
      </c>
      <c r="G2371">
        <v>3</v>
      </c>
      <c r="H2371" s="133">
        <v>45840</v>
      </c>
      <c r="I2371" s="2">
        <v>0.64280092592592586</v>
      </c>
      <c r="J2371">
        <v>15</v>
      </c>
      <c r="R2371" t="s">
        <v>30</v>
      </c>
      <c r="W2371">
        <v>1</v>
      </c>
      <c r="X2371" t="s">
        <v>30</v>
      </c>
      <c r="AC2371" t="s">
        <v>5363</v>
      </c>
      <c r="AE2371" s="135"/>
    </row>
    <row r="2372" spans="1:31" ht="12.5" customHeight="1" x14ac:dyDescent="0.35">
      <c r="A2372" t="s">
        <v>396</v>
      </c>
      <c r="C2372" t="s">
        <v>5364</v>
      </c>
      <c r="D2372" t="s">
        <v>385</v>
      </c>
      <c r="E2372" s="133">
        <v>45841</v>
      </c>
      <c r="F2372" s="2">
        <v>0.14289351851851853</v>
      </c>
      <c r="G2372">
        <v>3</v>
      </c>
      <c r="H2372" s="133">
        <v>45840</v>
      </c>
      <c r="I2372" s="2">
        <v>0.6428935185185185</v>
      </c>
      <c r="J2372">
        <v>15</v>
      </c>
      <c r="R2372" t="s">
        <v>30</v>
      </c>
      <c r="W2372">
        <v>1</v>
      </c>
      <c r="X2372" t="s">
        <v>30</v>
      </c>
      <c r="AC2372" t="s">
        <v>5365</v>
      </c>
      <c r="AE2372" s="135"/>
    </row>
    <row r="2373" spans="1:31" ht="12.5" customHeight="1" x14ac:dyDescent="0.35">
      <c r="A2373" t="s">
        <v>396</v>
      </c>
      <c r="C2373" t="s">
        <v>5366</v>
      </c>
      <c r="D2373" t="s">
        <v>385</v>
      </c>
      <c r="E2373" s="133">
        <v>45841</v>
      </c>
      <c r="F2373" s="2">
        <v>0.14296296296296296</v>
      </c>
      <c r="G2373">
        <v>3</v>
      </c>
      <c r="H2373" s="133">
        <v>45840</v>
      </c>
      <c r="I2373" s="2">
        <v>0.64296296296296296</v>
      </c>
      <c r="J2373">
        <v>15</v>
      </c>
      <c r="R2373" t="s">
        <v>30</v>
      </c>
      <c r="W2373">
        <v>1</v>
      </c>
      <c r="X2373" t="s">
        <v>30</v>
      </c>
      <c r="AC2373" t="s">
        <v>5367</v>
      </c>
      <c r="AE2373" s="135"/>
    </row>
    <row r="2374" spans="1:31" ht="12.5" customHeight="1" x14ac:dyDescent="0.35">
      <c r="A2374" t="s">
        <v>396</v>
      </c>
      <c r="C2374" t="s">
        <v>5368</v>
      </c>
      <c r="D2374" t="s">
        <v>385</v>
      </c>
      <c r="E2374" s="133">
        <v>45841</v>
      </c>
      <c r="F2374" s="2">
        <v>0.14305555555555557</v>
      </c>
      <c r="G2374">
        <v>3</v>
      </c>
      <c r="H2374" s="133">
        <v>45840</v>
      </c>
      <c r="I2374" s="2">
        <v>0.6430555555555556</v>
      </c>
      <c r="J2374">
        <v>15</v>
      </c>
      <c r="R2374" t="s">
        <v>30</v>
      </c>
      <c r="W2374">
        <v>1</v>
      </c>
      <c r="X2374" t="s">
        <v>30</v>
      </c>
      <c r="AC2374" t="s">
        <v>5369</v>
      </c>
      <c r="AE2374" s="135"/>
    </row>
    <row r="2375" spans="1:31" ht="12.5" customHeight="1" x14ac:dyDescent="0.35">
      <c r="A2375" t="s">
        <v>396</v>
      </c>
      <c r="C2375" t="s">
        <v>5370</v>
      </c>
      <c r="D2375" t="s">
        <v>385</v>
      </c>
      <c r="E2375" s="133">
        <v>45841</v>
      </c>
      <c r="F2375" s="2">
        <v>0.143125</v>
      </c>
      <c r="G2375">
        <v>3</v>
      </c>
      <c r="H2375" s="133">
        <v>45840</v>
      </c>
      <c r="I2375" s="2">
        <v>0.64312500000000006</v>
      </c>
      <c r="J2375">
        <v>15</v>
      </c>
      <c r="R2375" t="s">
        <v>30</v>
      </c>
      <c r="W2375">
        <v>1</v>
      </c>
      <c r="X2375" t="s">
        <v>30</v>
      </c>
      <c r="AC2375" t="s">
        <v>5371</v>
      </c>
      <c r="AE2375" s="135"/>
    </row>
    <row r="2376" spans="1:31" ht="12.5" customHeight="1" x14ac:dyDescent="0.35">
      <c r="A2376" t="s">
        <v>396</v>
      </c>
      <c r="C2376" t="s">
        <v>5372</v>
      </c>
      <c r="D2376" t="s">
        <v>385</v>
      </c>
      <c r="E2376" s="133">
        <v>45841</v>
      </c>
      <c r="F2376" s="2">
        <v>0.14324074074074075</v>
      </c>
      <c r="G2376">
        <v>3</v>
      </c>
      <c r="H2376" s="133">
        <v>45840</v>
      </c>
      <c r="I2376" s="2">
        <v>0.64324074074074067</v>
      </c>
      <c r="J2376">
        <v>15</v>
      </c>
      <c r="R2376" t="s">
        <v>30</v>
      </c>
      <c r="W2376">
        <v>1</v>
      </c>
      <c r="X2376" t="s">
        <v>30</v>
      </c>
      <c r="AC2376" t="s">
        <v>5373</v>
      </c>
      <c r="AE2376" s="135"/>
    </row>
    <row r="2377" spans="1:31" ht="12.5" customHeight="1" x14ac:dyDescent="0.35">
      <c r="A2377" t="s">
        <v>396</v>
      </c>
      <c r="C2377" t="s">
        <v>5374</v>
      </c>
      <c r="D2377" t="s">
        <v>385</v>
      </c>
      <c r="E2377" s="133">
        <v>45841</v>
      </c>
      <c r="F2377" s="2">
        <v>0.14333333333333334</v>
      </c>
      <c r="G2377">
        <v>3</v>
      </c>
      <c r="H2377" s="133">
        <v>45840</v>
      </c>
      <c r="I2377" s="2">
        <v>0.64333333333333331</v>
      </c>
      <c r="J2377">
        <v>15</v>
      </c>
      <c r="R2377" t="s">
        <v>30</v>
      </c>
      <c r="W2377">
        <v>1</v>
      </c>
      <c r="X2377" t="s">
        <v>30</v>
      </c>
      <c r="AC2377" t="s">
        <v>5375</v>
      </c>
      <c r="AE2377" s="135"/>
    </row>
    <row r="2378" spans="1:31" ht="12.5" customHeight="1" x14ac:dyDescent="0.35">
      <c r="A2378" t="s">
        <v>396</v>
      </c>
      <c r="C2378" t="s">
        <v>5376</v>
      </c>
      <c r="D2378" t="s">
        <v>385</v>
      </c>
      <c r="E2378" s="133">
        <v>45841</v>
      </c>
      <c r="F2378" s="2">
        <v>0.14340277777777777</v>
      </c>
      <c r="G2378">
        <v>3</v>
      </c>
      <c r="H2378" s="133">
        <v>45840</v>
      </c>
      <c r="I2378" s="2">
        <v>0.64340277777777777</v>
      </c>
      <c r="J2378">
        <v>15</v>
      </c>
      <c r="R2378" t="s">
        <v>30</v>
      </c>
      <c r="W2378">
        <v>1</v>
      </c>
      <c r="X2378" t="s">
        <v>30</v>
      </c>
      <c r="AC2378" t="s">
        <v>5377</v>
      </c>
      <c r="AE2378" s="135"/>
    </row>
    <row r="2379" spans="1:31" ht="12.5" customHeight="1" x14ac:dyDescent="0.35">
      <c r="A2379" t="s">
        <v>396</v>
      </c>
      <c r="C2379" t="s">
        <v>5378</v>
      </c>
      <c r="D2379" t="s">
        <v>385</v>
      </c>
      <c r="E2379" s="133">
        <v>45841</v>
      </c>
      <c r="F2379" s="2">
        <v>0.14349537037037038</v>
      </c>
      <c r="G2379">
        <v>3</v>
      </c>
      <c r="H2379" s="133">
        <v>45840</v>
      </c>
      <c r="I2379" s="2">
        <v>0.64349537037037041</v>
      </c>
      <c r="J2379">
        <v>15</v>
      </c>
      <c r="R2379" t="s">
        <v>30</v>
      </c>
      <c r="W2379">
        <v>1</v>
      </c>
      <c r="X2379" t="s">
        <v>30</v>
      </c>
      <c r="AC2379" t="s">
        <v>5379</v>
      </c>
      <c r="AE2379" s="135"/>
    </row>
    <row r="2380" spans="1:31" ht="12.5" customHeight="1" x14ac:dyDescent="0.35">
      <c r="A2380" t="s">
        <v>396</v>
      </c>
      <c r="C2380" t="s">
        <v>5380</v>
      </c>
      <c r="D2380" t="s">
        <v>385</v>
      </c>
      <c r="E2380" s="133">
        <v>45841</v>
      </c>
      <c r="F2380" s="2">
        <v>0.14361111111111111</v>
      </c>
      <c r="G2380">
        <v>3</v>
      </c>
      <c r="H2380" s="133">
        <v>45840</v>
      </c>
      <c r="I2380" s="2">
        <v>0.64361111111111113</v>
      </c>
      <c r="J2380">
        <v>15</v>
      </c>
      <c r="R2380" t="s">
        <v>30</v>
      </c>
      <c r="W2380">
        <v>1</v>
      </c>
      <c r="X2380" t="s">
        <v>30</v>
      </c>
      <c r="AC2380" t="s">
        <v>5381</v>
      </c>
      <c r="AE2380" s="135"/>
    </row>
    <row r="2381" spans="1:31" ht="12.5" customHeight="1" x14ac:dyDescent="0.35">
      <c r="A2381" t="s">
        <v>396</v>
      </c>
      <c r="C2381" t="s">
        <v>5382</v>
      </c>
      <c r="D2381" t="s">
        <v>385</v>
      </c>
      <c r="E2381" s="133">
        <v>45841</v>
      </c>
      <c r="F2381" s="2">
        <v>0.14368055555555556</v>
      </c>
      <c r="G2381">
        <v>3</v>
      </c>
      <c r="H2381" s="133">
        <v>45840</v>
      </c>
      <c r="I2381" s="2">
        <v>0.64368055555555559</v>
      </c>
      <c r="J2381">
        <v>15</v>
      </c>
      <c r="R2381" t="s">
        <v>30</v>
      </c>
      <c r="W2381">
        <v>1</v>
      </c>
      <c r="X2381" t="s">
        <v>30</v>
      </c>
      <c r="AC2381" t="s">
        <v>5383</v>
      </c>
      <c r="AE2381" s="135"/>
    </row>
    <row r="2382" spans="1:31" ht="12.5" customHeight="1" x14ac:dyDescent="0.35">
      <c r="A2382" t="s">
        <v>396</v>
      </c>
      <c r="C2382" t="s">
        <v>5384</v>
      </c>
      <c r="D2382" t="s">
        <v>385</v>
      </c>
      <c r="E2382" s="133">
        <v>45841</v>
      </c>
      <c r="F2382" s="2">
        <v>0.14377314814814815</v>
      </c>
      <c r="G2382">
        <v>3</v>
      </c>
      <c r="H2382" s="133">
        <v>45840</v>
      </c>
      <c r="I2382" s="2">
        <v>0.64377314814814812</v>
      </c>
      <c r="J2382">
        <v>15</v>
      </c>
      <c r="R2382" t="s">
        <v>30</v>
      </c>
      <c r="W2382">
        <v>1</v>
      </c>
      <c r="X2382" t="s">
        <v>30</v>
      </c>
      <c r="AC2382" t="s">
        <v>5385</v>
      </c>
      <c r="AE2382" s="135"/>
    </row>
    <row r="2383" spans="1:31" ht="12.5" customHeight="1" x14ac:dyDescent="0.35">
      <c r="A2383" t="s">
        <v>396</v>
      </c>
      <c r="C2383" t="s">
        <v>5386</v>
      </c>
      <c r="D2383" t="s">
        <v>385</v>
      </c>
      <c r="E2383" s="133">
        <v>45841</v>
      </c>
      <c r="F2383" s="2">
        <v>0.14386574074074074</v>
      </c>
      <c r="G2383">
        <v>3</v>
      </c>
      <c r="H2383" s="133">
        <v>45840</v>
      </c>
      <c r="I2383" s="2">
        <v>0.64386574074074077</v>
      </c>
      <c r="J2383">
        <v>15</v>
      </c>
      <c r="R2383" t="s">
        <v>30</v>
      </c>
      <c r="W2383">
        <v>1</v>
      </c>
      <c r="X2383" t="s">
        <v>30</v>
      </c>
      <c r="AC2383" t="s">
        <v>5387</v>
      </c>
      <c r="AE2383" s="135"/>
    </row>
    <row r="2384" spans="1:31" ht="12.5" customHeight="1" x14ac:dyDescent="0.35">
      <c r="A2384" t="s">
        <v>396</v>
      </c>
      <c r="C2384" t="s">
        <v>5388</v>
      </c>
      <c r="D2384" t="s">
        <v>385</v>
      </c>
      <c r="E2384" s="133">
        <v>45841</v>
      </c>
      <c r="F2384" s="2">
        <v>0.14395833333333333</v>
      </c>
      <c r="G2384">
        <v>3</v>
      </c>
      <c r="H2384" s="133">
        <v>45840</v>
      </c>
      <c r="I2384" s="2">
        <v>0.6439583333333333</v>
      </c>
      <c r="J2384">
        <v>15</v>
      </c>
      <c r="R2384" t="s">
        <v>30</v>
      </c>
      <c r="W2384">
        <v>1</v>
      </c>
      <c r="X2384" t="s">
        <v>30</v>
      </c>
      <c r="AC2384" t="s">
        <v>5389</v>
      </c>
      <c r="AE2384" s="135"/>
    </row>
    <row r="2385" spans="1:31" ht="12.5" customHeight="1" x14ac:dyDescent="0.35">
      <c r="A2385" t="s">
        <v>396</v>
      </c>
      <c r="C2385" t="s">
        <v>5390</v>
      </c>
      <c r="D2385" t="s">
        <v>385</v>
      </c>
      <c r="E2385" s="133">
        <v>45841</v>
      </c>
      <c r="F2385" s="2">
        <v>0.14405092592592592</v>
      </c>
      <c r="G2385">
        <v>3</v>
      </c>
      <c r="H2385" s="133">
        <v>45840</v>
      </c>
      <c r="I2385" s="2">
        <v>0.64405092592592594</v>
      </c>
      <c r="J2385">
        <v>15</v>
      </c>
      <c r="R2385" t="s">
        <v>30</v>
      </c>
      <c r="W2385">
        <v>1</v>
      </c>
      <c r="X2385" t="s">
        <v>30</v>
      </c>
      <c r="AC2385" t="s">
        <v>5391</v>
      </c>
      <c r="AE2385" s="135"/>
    </row>
    <row r="2386" spans="1:31" ht="12.5" customHeight="1" x14ac:dyDescent="0.35">
      <c r="A2386" t="s">
        <v>396</v>
      </c>
      <c r="C2386" t="s">
        <v>5392</v>
      </c>
      <c r="D2386" t="s">
        <v>385</v>
      </c>
      <c r="E2386" s="133">
        <v>45841</v>
      </c>
      <c r="F2386" s="2">
        <v>0.1441435185185185</v>
      </c>
      <c r="G2386">
        <v>3</v>
      </c>
      <c r="H2386" s="133">
        <v>45840</v>
      </c>
      <c r="I2386" s="2">
        <v>0.64414351851851859</v>
      </c>
      <c r="J2386">
        <v>15</v>
      </c>
      <c r="R2386" t="s">
        <v>30</v>
      </c>
      <c r="W2386">
        <v>1</v>
      </c>
      <c r="X2386" t="s">
        <v>30</v>
      </c>
      <c r="AC2386" t="s">
        <v>5393</v>
      </c>
      <c r="AE2386" s="135"/>
    </row>
    <row r="2387" spans="1:31" ht="12.5" customHeight="1" x14ac:dyDescent="0.35">
      <c r="A2387" t="s">
        <v>396</v>
      </c>
      <c r="C2387" t="s">
        <v>5394</v>
      </c>
      <c r="D2387" t="s">
        <v>385</v>
      </c>
      <c r="E2387" s="133">
        <v>45841</v>
      </c>
      <c r="F2387" s="2">
        <v>0.14425925925925925</v>
      </c>
      <c r="G2387">
        <v>3</v>
      </c>
      <c r="H2387" s="133">
        <v>45840</v>
      </c>
      <c r="I2387" s="2">
        <v>0.6442592592592592</v>
      </c>
      <c r="J2387">
        <v>15</v>
      </c>
      <c r="R2387" t="s">
        <v>30</v>
      </c>
      <c r="W2387">
        <v>1</v>
      </c>
      <c r="X2387" t="s">
        <v>30</v>
      </c>
      <c r="AC2387" t="s">
        <v>5395</v>
      </c>
      <c r="AE2387" s="135"/>
    </row>
    <row r="2388" spans="1:31" ht="12.5" customHeight="1" x14ac:dyDescent="0.35">
      <c r="A2388" t="s">
        <v>396</v>
      </c>
      <c r="C2388" t="s">
        <v>5396</v>
      </c>
      <c r="D2388" t="s">
        <v>385</v>
      </c>
      <c r="E2388" s="133">
        <v>45841</v>
      </c>
      <c r="F2388" s="2">
        <v>0.14432870370370371</v>
      </c>
      <c r="G2388">
        <v>3</v>
      </c>
      <c r="H2388" s="133">
        <v>45840</v>
      </c>
      <c r="I2388" s="2">
        <v>0.64432870370370365</v>
      </c>
      <c r="J2388">
        <v>15</v>
      </c>
      <c r="R2388" t="s">
        <v>30</v>
      </c>
      <c r="W2388">
        <v>1</v>
      </c>
      <c r="X2388" t="s">
        <v>30</v>
      </c>
      <c r="AC2388" t="s">
        <v>5397</v>
      </c>
      <c r="AE2388" s="135"/>
    </row>
    <row r="2389" spans="1:31" ht="12.5" customHeight="1" x14ac:dyDescent="0.35">
      <c r="A2389" t="s">
        <v>396</v>
      </c>
      <c r="C2389" t="s">
        <v>5398</v>
      </c>
      <c r="D2389" t="s">
        <v>385</v>
      </c>
      <c r="E2389" s="133">
        <v>45841</v>
      </c>
      <c r="F2389" s="2">
        <v>0.1444212962962963</v>
      </c>
      <c r="G2389">
        <v>3</v>
      </c>
      <c r="H2389" s="133">
        <v>45840</v>
      </c>
      <c r="I2389" s="2">
        <v>0.6444212962962963</v>
      </c>
      <c r="J2389">
        <v>15</v>
      </c>
      <c r="R2389" t="s">
        <v>30</v>
      </c>
      <c r="W2389">
        <v>1</v>
      </c>
      <c r="X2389" t="s">
        <v>30</v>
      </c>
      <c r="AC2389" t="s">
        <v>5399</v>
      </c>
      <c r="AE2389" s="135"/>
    </row>
    <row r="2390" spans="1:31" ht="12.5" customHeight="1" x14ac:dyDescent="0.35">
      <c r="A2390" t="s">
        <v>396</v>
      </c>
      <c r="C2390" t="s">
        <v>5400</v>
      </c>
      <c r="D2390" t="s">
        <v>385</v>
      </c>
      <c r="E2390" s="133">
        <v>45841</v>
      </c>
      <c r="F2390" s="2">
        <v>0.14451388888888889</v>
      </c>
      <c r="G2390">
        <v>3</v>
      </c>
      <c r="H2390" s="133">
        <v>45840</v>
      </c>
      <c r="I2390" s="2">
        <v>0.64451388888888894</v>
      </c>
      <c r="J2390">
        <v>15</v>
      </c>
      <c r="R2390" t="s">
        <v>30</v>
      </c>
      <c r="W2390">
        <v>1</v>
      </c>
      <c r="X2390" t="s">
        <v>30</v>
      </c>
      <c r="AC2390" t="s">
        <v>5401</v>
      </c>
      <c r="AE2390" s="135"/>
    </row>
    <row r="2391" spans="1:31" ht="12.5" customHeight="1" x14ac:dyDescent="0.35">
      <c r="A2391" t="s">
        <v>396</v>
      </c>
      <c r="C2391" t="s">
        <v>5402</v>
      </c>
      <c r="D2391" t="s">
        <v>385</v>
      </c>
      <c r="E2391" s="133">
        <v>45841</v>
      </c>
      <c r="F2391" s="2">
        <v>0.14460648148148147</v>
      </c>
      <c r="G2391">
        <v>3</v>
      </c>
      <c r="H2391" s="133">
        <v>45840</v>
      </c>
      <c r="I2391" s="2">
        <v>0.64460648148148147</v>
      </c>
      <c r="J2391">
        <v>15</v>
      </c>
      <c r="R2391" t="s">
        <v>30</v>
      </c>
      <c r="W2391">
        <v>1</v>
      </c>
      <c r="X2391" t="s">
        <v>30</v>
      </c>
      <c r="AC2391" t="s">
        <v>5403</v>
      </c>
      <c r="AE2391" s="135"/>
    </row>
    <row r="2392" spans="1:31" ht="12.5" customHeight="1" x14ac:dyDescent="0.35">
      <c r="A2392" t="s">
        <v>396</v>
      </c>
      <c r="C2392" t="s">
        <v>5404</v>
      </c>
      <c r="D2392" t="s">
        <v>385</v>
      </c>
      <c r="E2392" s="133">
        <v>45841</v>
      </c>
      <c r="F2392" s="2">
        <v>0.14472222222222222</v>
      </c>
      <c r="G2392">
        <v>3</v>
      </c>
      <c r="H2392" s="133">
        <v>45840</v>
      </c>
      <c r="I2392" s="2">
        <v>0.6447222222222222</v>
      </c>
      <c r="J2392">
        <v>15</v>
      </c>
      <c r="R2392" t="s">
        <v>30</v>
      </c>
      <c r="W2392">
        <v>1</v>
      </c>
      <c r="X2392" t="s">
        <v>30</v>
      </c>
      <c r="AC2392" t="s">
        <v>5405</v>
      </c>
      <c r="AE2392" s="135"/>
    </row>
    <row r="2393" spans="1:31" ht="12.5" customHeight="1" x14ac:dyDescent="0.35">
      <c r="A2393" t="s">
        <v>396</v>
      </c>
      <c r="C2393" t="s">
        <v>5406</v>
      </c>
      <c r="D2393" t="s">
        <v>385</v>
      </c>
      <c r="E2393" s="133">
        <v>45841</v>
      </c>
      <c r="F2393" s="2">
        <v>0.14481481481481481</v>
      </c>
      <c r="G2393">
        <v>3</v>
      </c>
      <c r="H2393" s="133">
        <v>45840</v>
      </c>
      <c r="I2393" s="2">
        <v>0.64481481481481484</v>
      </c>
      <c r="J2393">
        <v>15</v>
      </c>
      <c r="R2393" t="s">
        <v>30</v>
      </c>
      <c r="W2393">
        <v>1</v>
      </c>
      <c r="X2393" t="s">
        <v>30</v>
      </c>
      <c r="AC2393" t="s">
        <v>5407</v>
      </c>
      <c r="AE2393" s="135"/>
    </row>
    <row r="2394" spans="1:31" ht="12.5" customHeight="1" x14ac:dyDescent="0.35">
      <c r="A2394" t="s">
        <v>396</v>
      </c>
      <c r="C2394" t="s">
        <v>5408</v>
      </c>
      <c r="D2394" t="s">
        <v>385</v>
      </c>
      <c r="E2394" s="133">
        <v>45841</v>
      </c>
      <c r="F2394" s="2">
        <v>0.14488425925925927</v>
      </c>
      <c r="G2394">
        <v>3</v>
      </c>
      <c r="H2394" s="133">
        <v>45840</v>
      </c>
      <c r="I2394" s="2">
        <v>0.6448842592592593</v>
      </c>
      <c r="J2394">
        <v>15</v>
      </c>
      <c r="R2394" t="s">
        <v>30</v>
      </c>
      <c r="W2394">
        <v>1</v>
      </c>
      <c r="X2394" t="s">
        <v>30</v>
      </c>
      <c r="AC2394" t="s">
        <v>5409</v>
      </c>
      <c r="AE2394" s="135"/>
    </row>
    <row r="2395" spans="1:31" ht="12.5" customHeight="1" x14ac:dyDescent="0.35">
      <c r="A2395" t="s">
        <v>396</v>
      </c>
      <c r="C2395" t="s">
        <v>5410</v>
      </c>
      <c r="D2395" t="s">
        <v>385</v>
      </c>
      <c r="E2395" s="133">
        <v>45841</v>
      </c>
      <c r="F2395" s="2">
        <v>0.14499999999999999</v>
      </c>
      <c r="G2395">
        <v>3</v>
      </c>
      <c r="H2395" s="133">
        <v>45840</v>
      </c>
      <c r="I2395" s="2">
        <v>0.64500000000000002</v>
      </c>
      <c r="J2395">
        <v>15</v>
      </c>
      <c r="R2395" t="s">
        <v>30</v>
      </c>
      <c r="W2395">
        <v>1</v>
      </c>
      <c r="X2395" t="s">
        <v>30</v>
      </c>
      <c r="AC2395" t="s">
        <v>5411</v>
      </c>
      <c r="AE2395" s="135"/>
    </row>
    <row r="2396" spans="1:31" ht="12.5" customHeight="1" x14ac:dyDescent="0.35">
      <c r="A2396" t="s">
        <v>396</v>
      </c>
      <c r="C2396" t="s">
        <v>5412</v>
      </c>
      <c r="D2396" t="s">
        <v>385</v>
      </c>
      <c r="E2396" s="133">
        <v>45841</v>
      </c>
      <c r="F2396" s="2">
        <v>0.14506944444444445</v>
      </c>
      <c r="G2396">
        <v>3</v>
      </c>
      <c r="H2396" s="133">
        <v>45840</v>
      </c>
      <c r="I2396" s="2">
        <v>0.64506944444444447</v>
      </c>
      <c r="J2396">
        <v>15</v>
      </c>
      <c r="R2396" t="s">
        <v>30</v>
      </c>
      <c r="W2396">
        <v>1</v>
      </c>
      <c r="X2396" t="s">
        <v>30</v>
      </c>
      <c r="AC2396" t="s">
        <v>5413</v>
      </c>
      <c r="AE2396" s="135"/>
    </row>
    <row r="2397" spans="1:31" ht="12.5" customHeight="1" x14ac:dyDescent="0.35">
      <c r="A2397" t="s">
        <v>396</v>
      </c>
      <c r="C2397" t="s">
        <v>5414</v>
      </c>
      <c r="D2397" t="s">
        <v>385</v>
      </c>
      <c r="E2397" s="133">
        <v>45841</v>
      </c>
      <c r="F2397" s="2">
        <v>0.1451388888888889</v>
      </c>
      <c r="G2397">
        <v>3</v>
      </c>
      <c r="H2397" s="133">
        <v>45840</v>
      </c>
      <c r="I2397" s="2">
        <v>0.64513888888888882</v>
      </c>
      <c r="J2397">
        <v>15</v>
      </c>
      <c r="R2397" t="s">
        <v>30</v>
      </c>
      <c r="W2397">
        <v>1</v>
      </c>
      <c r="X2397" t="s">
        <v>30</v>
      </c>
      <c r="AC2397" t="s">
        <v>5415</v>
      </c>
      <c r="AE2397" s="135"/>
    </row>
    <row r="2398" spans="1:31" ht="12.5" customHeight="1" x14ac:dyDescent="0.35">
      <c r="A2398" t="s">
        <v>396</v>
      </c>
      <c r="C2398" t="s">
        <v>5416</v>
      </c>
      <c r="D2398" t="s">
        <v>385</v>
      </c>
      <c r="E2398" s="133">
        <v>45841</v>
      </c>
      <c r="F2398" s="2">
        <v>0.14530092592592592</v>
      </c>
      <c r="G2398">
        <v>3</v>
      </c>
      <c r="H2398" s="133">
        <v>45840</v>
      </c>
      <c r="I2398" s="2">
        <v>0.64530092592592592</v>
      </c>
      <c r="J2398">
        <v>15</v>
      </c>
      <c r="R2398" t="s">
        <v>30</v>
      </c>
      <c r="W2398">
        <v>1</v>
      </c>
      <c r="X2398" t="s">
        <v>30</v>
      </c>
      <c r="AC2398" t="s">
        <v>5417</v>
      </c>
      <c r="AE2398" s="135"/>
    </row>
    <row r="2399" spans="1:31" ht="12.5" customHeight="1" x14ac:dyDescent="0.35">
      <c r="A2399" t="s">
        <v>396</v>
      </c>
      <c r="C2399" t="s">
        <v>5418</v>
      </c>
      <c r="D2399" t="s">
        <v>385</v>
      </c>
      <c r="E2399" s="133">
        <v>45841</v>
      </c>
      <c r="F2399" s="2">
        <v>0.14539351851851853</v>
      </c>
      <c r="G2399">
        <v>3</v>
      </c>
      <c r="H2399" s="133">
        <v>45840</v>
      </c>
      <c r="I2399" s="2">
        <v>0.64539351851851856</v>
      </c>
      <c r="J2399">
        <v>15</v>
      </c>
      <c r="R2399" t="s">
        <v>30</v>
      </c>
      <c r="W2399">
        <v>1</v>
      </c>
      <c r="X2399" t="s">
        <v>30</v>
      </c>
      <c r="AC2399" t="s">
        <v>5419</v>
      </c>
      <c r="AE2399" s="135"/>
    </row>
    <row r="2400" spans="1:31" ht="12.5" customHeight="1" x14ac:dyDescent="0.35">
      <c r="A2400" t="s">
        <v>396</v>
      </c>
      <c r="C2400" t="s">
        <v>5420</v>
      </c>
      <c r="D2400" t="s">
        <v>385</v>
      </c>
      <c r="E2400" s="133">
        <v>45841</v>
      </c>
      <c r="F2400" s="2">
        <v>0.14546296296296296</v>
      </c>
      <c r="G2400">
        <v>3</v>
      </c>
      <c r="H2400" s="133">
        <v>45840</v>
      </c>
      <c r="I2400" s="2">
        <v>0.64546296296296302</v>
      </c>
      <c r="J2400">
        <v>15</v>
      </c>
      <c r="R2400" t="s">
        <v>30</v>
      </c>
      <c r="W2400">
        <v>1</v>
      </c>
      <c r="X2400" t="s">
        <v>30</v>
      </c>
      <c r="AC2400" t="s">
        <v>5421</v>
      </c>
      <c r="AE2400" s="135"/>
    </row>
    <row r="2401" spans="1:31" ht="12.5" customHeight="1" x14ac:dyDescent="0.35">
      <c r="A2401" t="s">
        <v>396</v>
      </c>
      <c r="C2401" t="s">
        <v>5422</v>
      </c>
      <c r="D2401" t="s">
        <v>385</v>
      </c>
      <c r="E2401" s="133">
        <v>45841</v>
      </c>
      <c r="F2401" s="2">
        <v>0.14555555555555555</v>
      </c>
      <c r="G2401">
        <v>3</v>
      </c>
      <c r="H2401" s="133">
        <v>45840</v>
      </c>
      <c r="I2401" s="2">
        <v>0.64555555555555555</v>
      </c>
      <c r="J2401">
        <v>15</v>
      </c>
      <c r="R2401" t="s">
        <v>30</v>
      </c>
      <c r="W2401">
        <v>1</v>
      </c>
      <c r="X2401" t="s">
        <v>30</v>
      </c>
      <c r="AC2401" t="s">
        <v>5423</v>
      </c>
      <c r="AE2401" s="135"/>
    </row>
    <row r="2402" spans="1:31" ht="12.5" customHeight="1" x14ac:dyDescent="0.35">
      <c r="A2402" t="s">
        <v>396</v>
      </c>
      <c r="C2402" t="s">
        <v>5424</v>
      </c>
      <c r="D2402" t="s">
        <v>385</v>
      </c>
      <c r="E2402" s="133">
        <v>45841</v>
      </c>
      <c r="F2402" s="2">
        <v>0.14564814814814817</v>
      </c>
      <c r="G2402">
        <v>3</v>
      </c>
      <c r="H2402" s="133">
        <v>45840</v>
      </c>
      <c r="I2402" s="2">
        <v>0.64564814814814808</v>
      </c>
      <c r="J2402">
        <v>15</v>
      </c>
      <c r="R2402" t="s">
        <v>30</v>
      </c>
      <c r="W2402">
        <v>1</v>
      </c>
      <c r="X2402" t="s">
        <v>30</v>
      </c>
      <c r="AC2402" t="s">
        <v>5425</v>
      </c>
      <c r="AE2402" s="135"/>
    </row>
    <row r="2403" spans="1:31" ht="12.5" customHeight="1" x14ac:dyDescent="0.35">
      <c r="A2403" t="s">
        <v>396</v>
      </c>
      <c r="C2403" t="s">
        <v>5426</v>
      </c>
      <c r="D2403" t="s">
        <v>385</v>
      </c>
      <c r="E2403" s="133">
        <v>45841</v>
      </c>
      <c r="F2403" s="2">
        <v>0.14574074074074075</v>
      </c>
      <c r="G2403">
        <v>3</v>
      </c>
      <c r="H2403" s="133">
        <v>45840</v>
      </c>
      <c r="I2403" s="2">
        <v>0.64574074074074073</v>
      </c>
      <c r="J2403">
        <v>15</v>
      </c>
      <c r="R2403" t="s">
        <v>30</v>
      </c>
      <c r="W2403">
        <v>1</v>
      </c>
      <c r="X2403" t="s">
        <v>30</v>
      </c>
      <c r="AC2403" t="s">
        <v>5427</v>
      </c>
      <c r="AE2403" s="135"/>
    </row>
    <row r="2404" spans="1:31" ht="12.5" customHeight="1" x14ac:dyDescent="0.35">
      <c r="A2404" t="s">
        <v>396</v>
      </c>
      <c r="C2404" t="s">
        <v>5428</v>
      </c>
      <c r="D2404" t="s">
        <v>385</v>
      </c>
      <c r="E2404" s="133">
        <v>45841</v>
      </c>
      <c r="F2404" s="2">
        <v>0.14583333333333334</v>
      </c>
      <c r="G2404">
        <v>3</v>
      </c>
      <c r="H2404" s="133">
        <v>45840</v>
      </c>
      <c r="I2404" s="2">
        <v>0.64583333333333337</v>
      </c>
      <c r="J2404">
        <v>15</v>
      </c>
      <c r="R2404" t="s">
        <v>30</v>
      </c>
      <c r="W2404">
        <v>1</v>
      </c>
      <c r="X2404" t="s">
        <v>30</v>
      </c>
      <c r="AC2404" t="s">
        <v>5429</v>
      </c>
      <c r="AE2404" s="135"/>
    </row>
    <row r="2405" spans="1:31" ht="12.5" customHeight="1" x14ac:dyDescent="0.35">
      <c r="A2405" t="s">
        <v>396</v>
      </c>
      <c r="C2405" t="s">
        <v>5430</v>
      </c>
      <c r="D2405" t="s">
        <v>385</v>
      </c>
      <c r="E2405" s="133">
        <v>45841</v>
      </c>
      <c r="F2405" s="2">
        <v>0.14592592592592593</v>
      </c>
      <c r="G2405">
        <v>3</v>
      </c>
      <c r="H2405" s="133">
        <v>45840</v>
      </c>
      <c r="I2405" s="2">
        <v>0.6459259259259259</v>
      </c>
      <c r="J2405">
        <v>15</v>
      </c>
      <c r="R2405" t="s">
        <v>30</v>
      </c>
      <c r="W2405">
        <v>1</v>
      </c>
      <c r="X2405" t="s">
        <v>30</v>
      </c>
      <c r="AC2405" t="s">
        <v>5431</v>
      </c>
      <c r="AE2405" s="135"/>
    </row>
    <row r="2406" spans="1:31" ht="12.5" customHeight="1" x14ac:dyDescent="0.35">
      <c r="A2406" t="s">
        <v>396</v>
      </c>
      <c r="C2406" t="s">
        <v>5432</v>
      </c>
      <c r="D2406" t="s">
        <v>385</v>
      </c>
      <c r="E2406" s="133">
        <v>45841</v>
      </c>
      <c r="F2406" s="2">
        <v>0.14599537037037039</v>
      </c>
      <c r="G2406">
        <v>3</v>
      </c>
      <c r="H2406" s="133">
        <v>45840</v>
      </c>
      <c r="I2406" s="2">
        <v>0.64599537037037036</v>
      </c>
      <c r="J2406">
        <v>15</v>
      </c>
      <c r="R2406" t="s">
        <v>30</v>
      </c>
      <c r="W2406">
        <v>1</v>
      </c>
      <c r="X2406" t="s">
        <v>30</v>
      </c>
      <c r="AC2406" t="s">
        <v>5433</v>
      </c>
      <c r="AE2406" s="135"/>
    </row>
    <row r="2407" spans="1:31" ht="12.5" customHeight="1" x14ac:dyDescent="0.35">
      <c r="A2407" t="s">
        <v>396</v>
      </c>
      <c r="C2407" t="s">
        <v>5434</v>
      </c>
      <c r="D2407" t="s">
        <v>385</v>
      </c>
      <c r="E2407" s="133">
        <v>45841</v>
      </c>
      <c r="F2407" s="2">
        <v>0.14608796296296298</v>
      </c>
      <c r="G2407">
        <v>3</v>
      </c>
      <c r="H2407" s="133">
        <v>45840</v>
      </c>
      <c r="I2407" s="2">
        <v>0.64608796296296289</v>
      </c>
      <c r="J2407">
        <v>15</v>
      </c>
      <c r="R2407" t="s">
        <v>30</v>
      </c>
      <c r="W2407">
        <v>1</v>
      </c>
      <c r="X2407" t="s">
        <v>30</v>
      </c>
      <c r="AC2407" t="s">
        <v>5435</v>
      </c>
      <c r="AE2407" s="135"/>
    </row>
    <row r="2408" spans="1:31" ht="12.5" customHeight="1" x14ac:dyDescent="0.35">
      <c r="A2408" t="s">
        <v>396</v>
      </c>
      <c r="C2408" t="s">
        <v>5436</v>
      </c>
      <c r="D2408" t="s">
        <v>385</v>
      </c>
      <c r="E2408" s="133">
        <v>45841</v>
      </c>
      <c r="F2408" s="2">
        <v>0.14618055555555556</v>
      </c>
      <c r="G2408">
        <v>3</v>
      </c>
      <c r="H2408" s="133">
        <v>45840</v>
      </c>
      <c r="I2408" s="2">
        <v>0.64618055555555554</v>
      </c>
      <c r="J2408">
        <v>15</v>
      </c>
      <c r="R2408" t="s">
        <v>30</v>
      </c>
      <c r="W2408">
        <v>1</v>
      </c>
      <c r="X2408" t="s">
        <v>30</v>
      </c>
      <c r="AC2408" t="s">
        <v>5437</v>
      </c>
      <c r="AE2408" s="135"/>
    </row>
    <row r="2409" spans="1:31" ht="12.5" customHeight="1" x14ac:dyDescent="0.35">
      <c r="A2409" t="s">
        <v>396</v>
      </c>
      <c r="C2409" t="s">
        <v>5438</v>
      </c>
      <c r="D2409" t="s">
        <v>385</v>
      </c>
      <c r="E2409" s="133">
        <v>45841</v>
      </c>
      <c r="F2409" s="2">
        <v>0.14627314814814815</v>
      </c>
      <c r="G2409">
        <v>3</v>
      </c>
      <c r="H2409" s="133">
        <v>45840</v>
      </c>
      <c r="I2409" s="2">
        <v>0.64627314814814818</v>
      </c>
      <c r="J2409">
        <v>15</v>
      </c>
      <c r="R2409" t="s">
        <v>30</v>
      </c>
      <c r="W2409">
        <v>1</v>
      </c>
      <c r="X2409" t="s">
        <v>30</v>
      </c>
      <c r="AC2409" t="s">
        <v>5439</v>
      </c>
      <c r="AE2409" s="135"/>
    </row>
    <row r="2410" spans="1:31" ht="12.5" customHeight="1" x14ac:dyDescent="0.35">
      <c r="A2410" t="s">
        <v>396</v>
      </c>
      <c r="C2410" t="s">
        <v>5440</v>
      </c>
      <c r="D2410" t="s">
        <v>385</v>
      </c>
      <c r="E2410" s="133">
        <v>45841</v>
      </c>
      <c r="F2410" s="2">
        <v>0.14636574074074074</v>
      </c>
      <c r="G2410">
        <v>3</v>
      </c>
      <c r="H2410" s="133">
        <v>45840</v>
      </c>
      <c r="I2410" s="2">
        <v>0.64636574074074071</v>
      </c>
      <c r="J2410">
        <v>15</v>
      </c>
      <c r="R2410" t="s">
        <v>30</v>
      </c>
      <c r="W2410">
        <v>1</v>
      </c>
      <c r="X2410" t="s">
        <v>30</v>
      </c>
      <c r="AC2410" t="s">
        <v>5441</v>
      </c>
      <c r="AE2410" s="135"/>
    </row>
    <row r="2411" spans="1:31" ht="12.5" customHeight="1" x14ac:dyDescent="0.35">
      <c r="A2411" t="s">
        <v>396</v>
      </c>
      <c r="C2411" t="s">
        <v>5442</v>
      </c>
      <c r="D2411" t="s">
        <v>385</v>
      </c>
      <c r="E2411" s="133">
        <v>45841</v>
      </c>
      <c r="F2411" s="2">
        <v>0.14650462962962962</v>
      </c>
      <c r="G2411">
        <v>3</v>
      </c>
      <c r="H2411" s="133">
        <v>45840</v>
      </c>
      <c r="I2411" s="2">
        <v>0.64650462962962962</v>
      </c>
      <c r="J2411">
        <v>15</v>
      </c>
      <c r="R2411" t="s">
        <v>30</v>
      </c>
      <c r="W2411">
        <v>1</v>
      </c>
      <c r="X2411" t="s">
        <v>30</v>
      </c>
      <c r="AC2411" t="s">
        <v>5443</v>
      </c>
      <c r="AE2411" s="135"/>
    </row>
    <row r="2412" spans="1:31" ht="12.5" customHeight="1" x14ac:dyDescent="0.35">
      <c r="A2412" t="s">
        <v>396</v>
      </c>
      <c r="C2412" t="s">
        <v>5444</v>
      </c>
      <c r="D2412" t="s">
        <v>385</v>
      </c>
      <c r="E2412" s="133">
        <v>45841</v>
      </c>
      <c r="F2412" s="2">
        <v>0.14659722222222224</v>
      </c>
      <c r="G2412">
        <v>3</v>
      </c>
      <c r="H2412" s="133">
        <v>45840</v>
      </c>
      <c r="I2412" s="2">
        <v>0.64659722222222216</v>
      </c>
      <c r="J2412">
        <v>15</v>
      </c>
      <c r="R2412" t="s">
        <v>30</v>
      </c>
      <c r="W2412">
        <v>1</v>
      </c>
      <c r="X2412" t="s">
        <v>30</v>
      </c>
      <c r="AC2412" t="s">
        <v>5445</v>
      </c>
      <c r="AE2412" s="135"/>
    </row>
    <row r="2413" spans="1:31" ht="12.5" customHeight="1" x14ac:dyDescent="0.35">
      <c r="A2413" t="s">
        <v>396</v>
      </c>
      <c r="C2413" t="s">
        <v>5446</v>
      </c>
      <c r="D2413" t="s">
        <v>385</v>
      </c>
      <c r="E2413" s="133">
        <v>45841</v>
      </c>
      <c r="F2413" s="2">
        <v>0.14675925925925926</v>
      </c>
      <c r="G2413">
        <v>3</v>
      </c>
      <c r="H2413" s="133">
        <v>45840</v>
      </c>
      <c r="I2413" s="2">
        <v>0.64675925925925926</v>
      </c>
      <c r="J2413">
        <v>15</v>
      </c>
      <c r="R2413" t="s">
        <v>30</v>
      </c>
      <c r="W2413">
        <v>1</v>
      </c>
      <c r="X2413" t="s">
        <v>30</v>
      </c>
      <c r="AC2413" t="s">
        <v>5447</v>
      </c>
      <c r="AE2413" s="135"/>
    </row>
    <row r="2414" spans="1:31" ht="12.5" customHeight="1" x14ac:dyDescent="0.35">
      <c r="A2414" t="s">
        <v>396</v>
      </c>
      <c r="C2414" t="s">
        <v>5448</v>
      </c>
      <c r="D2414" t="s">
        <v>385</v>
      </c>
      <c r="E2414" s="133">
        <v>45841</v>
      </c>
      <c r="F2414" s="2">
        <v>0.14687500000000001</v>
      </c>
      <c r="G2414">
        <v>3</v>
      </c>
      <c r="H2414" s="133">
        <v>45840</v>
      </c>
      <c r="I2414" s="2">
        <v>0.64687499999999998</v>
      </c>
      <c r="J2414">
        <v>15</v>
      </c>
      <c r="R2414" t="s">
        <v>30</v>
      </c>
      <c r="W2414">
        <v>1</v>
      </c>
      <c r="X2414" t="s">
        <v>30</v>
      </c>
      <c r="AC2414" t="s">
        <v>5449</v>
      </c>
      <c r="AE2414" s="135"/>
    </row>
    <row r="2415" spans="1:31" ht="12.5" customHeight="1" x14ac:dyDescent="0.35">
      <c r="A2415" t="s">
        <v>396</v>
      </c>
      <c r="C2415" t="s">
        <v>5450</v>
      </c>
      <c r="D2415" t="s">
        <v>385</v>
      </c>
      <c r="E2415" s="133">
        <v>45841</v>
      </c>
      <c r="F2415" s="2">
        <v>0.14696759259259259</v>
      </c>
      <c r="G2415">
        <v>3</v>
      </c>
      <c r="H2415" s="133">
        <v>45840</v>
      </c>
      <c r="I2415" s="2">
        <v>0.64696759259259262</v>
      </c>
      <c r="J2415">
        <v>15</v>
      </c>
      <c r="R2415" t="s">
        <v>30</v>
      </c>
      <c r="W2415">
        <v>1</v>
      </c>
      <c r="X2415" t="s">
        <v>30</v>
      </c>
      <c r="AC2415" t="s">
        <v>5451</v>
      </c>
      <c r="AE2415" s="135"/>
    </row>
    <row r="2416" spans="1:31" ht="12.5" customHeight="1" x14ac:dyDescent="0.35">
      <c r="A2416" t="s">
        <v>396</v>
      </c>
      <c r="C2416" t="s">
        <v>5452</v>
      </c>
      <c r="D2416" t="s">
        <v>385</v>
      </c>
      <c r="E2416" s="133">
        <v>45841</v>
      </c>
      <c r="F2416" s="2">
        <v>0.14703703703703705</v>
      </c>
      <c r="G2416">
        <v>3</v>
      </c>
      <c r="H2416" s="133">
        <v>45840</v>
      </c>
      <c r="I2416" s="2">
        <v>0.64703703703703697</v>
      </c>
      <c r="J2416">
        <v>15</v>
      </c>
      <c r="R2416" t="s">
        <v>30</v>
      </c>
      <c r="W2416">
        <v>1</v>
      </c>
      <c r="X2416" t="s">
        <v>30</v>
      </c>
      <c r="AC2416" t="s">
        <v>5453</v>
      </c>
      <c r="AE2416" s="135"/>
    </row>
    <row r="2417" spans="1:31" ht="12.5" customHeight="1" x14ac:dyDescent="0.35">
      <c r="A2417" t="s">
        <v>396</v>
      </c>
      <c r="C2417" t="s">
        <v>5454</v>
      </c>
      <c r="D2417" t="s">
        <v>385</v>
      </c>
      <c r="E2417" s="133">
        <v>45841</v>
      </c>
      <c r="F2417" s="2">
        <v>0.14712962962962964</v>
      </c>
      <c r="G2417">
        <v>3</v>
      </c>
      <c r="H2417" s="133">
        <v>45840</v>
      </c>
      <c r="I2417" s="2">
        <v>0.64712962962962961</v>
      </c>
      <c r="J2417">
        <v>15</v>
      </c>
      <c r="R2417" t="s">
        <v>30</v>
      </c>
      <c r="W2417">
        <v>1</v>
      </c>
      <c r="X2417" t="s">
        <v>30</v>
      </c>
      <c r="AC2417" t="s">
        <v>5455</v>
      </c>
      <c r="AE2417" s="135"/>
    </row>
    <row r="2418" spans="1:31" ht="12.5" customHeight="1" x14ac:dyDescent="0.35">
      <c r="A2418" t="s">
        <v>396</v>
      </c>
      <c r="C2418" t="s">
        <v>5456</v>
      </c>
      <c r="D2418" t="s">
        <v>385</v>
      </c>
      <c r="E2418" s="133">
        <v>45841</v>
      </c>
      <c r="F2418" s="2">
        <v>0.14719907407407407</v>
      </c>
      <c r="G2418">
        <v>3</v>
      </c>
      <c r="H2418" s="133">
        <v>45840</v>
      </c>
      <c r="I2418" s="2">
        <v>0.64719907407407407</v>
      </c>
      <c r="J2418">
        <v>15</v>
      </c>
      <c r="R2418" t="s">
        <v>30</v>
      </c>
      <c r="W2418">
        <v>1</v>
      </c>
      <c r="X2418" t="s">
        <v>30</v>
      </c>
      <c r="AC2418" t="s">
        <v>5457</v>
      </c>
      <c r="AE2418" s="135"/>
    </row>
    <row r="2419" spans="1:31" ht="12.5" customHeight="1" x14ac:dyDescent="0.35">
      <c r="A2419" t="s">
        <v>396</v>
      </c>
      <c r="C2419" t="s">
        <v>5458</v>
      </c>
      <c r="D2419" t="s">
        <v>385</v>
      </c>
      <c r="E2419" s="133">
        <v>45841</v>
      </c>
      <c r="F2419" s="2">
        <v>0.14731481481481482</v>
      </c>
      <c r="G2419">
        <v>3</v>
      </c>
      <c r="H2419" s="133">
        <v>45840</v>
      </c>
      <c r="I2419" s="2">
        <v>0.64731481481481479</v>
      </c>
      <c r="J2419">
        <v>15</v>
      </c>
      <c r="R2419" t="s">
        <v>30</v>
      </c>
      <c r="W2419">
        <v>1</v>
      </c>
      <c r="X2419" t="s">
        <v>30</v>
      </c>
      <c r="AC2419" t="s">
        <v>5459</v>
      </c>
      <c r="AE2419" s="135"/>
    </row>
    <row r="2420" spans="1:31" ht="12.5" customHeight="1" x14ac:dyDescent="0.35">
      <c r="A2420" t="s">
        <v>396</v>
      </c>
      <c r="C2420" t="s">
        <v>5460</v>
      </c>
      <c r="D2420" t="s">
        <v>385</v>
      </c>
      <c r="E2420" s="133">
        <v>45841</v>
      </c>
      <c r="F2420" s="2">
        <v>0.1474074074074074</v>
      </c>
      <c r="G2420">
        <v>3</v>
      </c>
      <c r="H2420" s="133">
        <v>45840</v>
      </c>
      <c r="I2420" s="2">
        <v>0.64740740740740743</v>
      </c>
      <c r="J2420">
        <v>15</v>
      </c>
      <c r="R2420" t="s">
        <v>30</v>
      </c>
      <c r="W2420">
        <v>1</v>
      </c>
      <c r="X2420" t="s">
        <v>30</v>
      </c>
      <c r="AC2420" t="s">
        <v>5461</v>
      </c>
      <c r="AE2420" s="135"/>
    </row>
    <row r="2421" spans="1:31" ht="12.5" customHeight="1" x14ac:dyDescent="0.35">
      <c r="A2421" t="s">
        <v>396</v>
      </c>
      <c r="C2421" t="s">
        <v>5462</v>
      </c>
      <c r="D2421" t="s">
        <v>385</v>
      </c>
      <c r="E2421" s="133">
        <v>45841</v>
      </c>
      <c r="F2421" s="2">
        <v>0.14754629629629631</v>
      </c>
      <c r="G2421">
        <v>3</v>
      </c>
      <c r="H2421" s="133">
        <v>45840</v>
      </c>
      <c r="I2421" s="2">
        <v>0.64754629629629623</v>
      </c>
      <c r="J2421">
        <v>15</v>
      </c>
      <c r="R2421" t="s">
        <v>30</v>
      </c>
      <c r="W2421">
        <v>1</v>
      </c>
      <c r="X2421" t="s">
        <v>30</v>
      </c>
      <c r="AC2421" t="s">
        <v>5463</v>
      </c>
      <c r="AE2421" s="135"/>
    </row>
    <row r="2422" spans="1:31" ht="12.5" customHeight="1" x14ac:dyDescent="0.35">
      <c r="A2422" t="s">
        <v>396</v>
      </c>
      <c r="C2422" t="s">
        <v>5464</v>
      </c>
      <c r="D2422" t="s">
        <v>385</v>
      </c>
      <c r="E2422" s="133">
        <v>45841</v>
      </c>
      <c r="F2422" s="2">
        <v>0.14761574074074074</v>
      </c>
      <c r="G2422">
        <v>3</v>
      </c>
      <c r="H2422" s="133">
        <v>45840</v>
      </c>
      <c r="I2422" s="2">
        <v>0.64761574074074069</v>
      </c>
      <c r="J2422">
        <v>15</v>
      </c>
      <c r="R2422" t="s">
        <v>30</v>
      </c>
      <c r="W2422">
        <v>1</v>
      </c>
      <c r="X2422" t="s">
        <v>30</v>
      </c>
      <c r="AC2422" t="s">
        <v>5465</v>
      </c>
      <c r="AE2422" s="135"/>
    </row>
    <row r="2423" spans="1:31" ht="12.5" customHeight="1" x14ac:dyDescent="0.35">
      <c r="A2423" t="s">
        <v>396</v>
      </c>
      <c r="C2423" t="s">
        <v>5466</v>
      </c>
      <c r="D2423" t="s">
        <v>385</v>
      </c>
      <c r="E2423" s="133">
        <v>45841</v>
      </c>
      <c r="F2423" s="2">
        <v>0.14770833333333333</v>
      </c>
      <c r="G2423">
        <v>3</v>
      </c>
      <c r="H2423" s="133">
        <v>45840</v>
      </c>
      <c r="I2423" s="2">
        <v>0.64770833333333333</v>
      </c>
      <c r="J2423">
        <v>15</v>
      </c>
      <c r="R2423" t="s">
        <v>30</v>
      </c>
      <c r="W2423">
        <v>1</v>
      </c>
      <c r="X2423" t="s">
        <v>30</v>
      </c>
      <c r="AC2423" t="s">
        <v>5467</v>
      </c>
      <c r="AE2423" s="135"/>
    </row>
    <row r="2424" spans="1:31" ht="12.5" customHeight="1" x14ac:dyDescent="0.35">
      <c r="A2424" t="s">
        <v>396</v>
      </c>
      <c r="C2424" t="s">
        <v>5468</v>
      </c>
      <c r="D2424" t="s">
        <v>385</v>
      </c>
      <c r="E2424" s="133">
        <v>45841</v>
      </c>
      <c r="F2424" s="2">
        <v>0.14780092592592595</v>
      </c>
      <c r="G2424">
        <v>3</v>
      </c>
      <c r="H2424" s="133">
        <v>45840</v>
      </c>
      <c r="I2424" s="2">
        <v>0.64780092592592597</v>
      </c>
      <c r="J2424">
        <v>15</v>
      </c>
      <c r="R2424" t="s">
        <v>30</v>
      </c>
      <c r="W2424">
        <v>1</v>
      </c>
      <c r="X2424" t="s">
        <v>30</v>
      </c>
      <c r="AC2424" t="s">
        <v>5469</v>
      </c>
      <c r="AE2424" s="135"/>
    </row>
    <row r="2425" spans="1:31" ht="12.5" customHeight="1" x14ac:dyDescent="0.35">
      <c r="A2425" t="s">
        <v>396</v>
      </c>
      <c r="C2425" t="s">
        <v>5470</v>
      </c>
      <c r="D2425" t="s">
        <v>385</v>
      </c>
      <c r="E2425" s="133">
        <v>45841</v>
      </c>
      <c r="F2425" s="2">
        <v>0.14787037037037037</v>
      </c>
      <c r="G2425">
        <v>3</v>
      </c>
      <c r="H2425" s="133">
        <v>45840</v>
      </c>
      <c r="I2425" s="2">
        <v>0.64787037037037043</v>
      </c>
      <c r="J2425">
        <v>15</v>
      </c>
      <c r="R2425" t="s">
        <v>30</v>
      </c>
      <c r="W2425">
        <v>1</v>
      </c>
      <c r="X2425" t="s">
        <v>30</v>
      </c>
      <c r="AC2425" t="s">
        <v>5471</v>
      </c>
      <c r="AE2425" s="135"/>
    </row>
    <row r="2426" spans="1:31" ht="12.5" customHeight="1" x14ac:dyDescent="0.35">
      <c r="A2426" t="s">
        <v>396</v>
      </c>
      <c r="C2426" t="s">
        <v>5472</v>
      </c>
      <c r="D2426" t="s">
        <v>385</v>
      </c>
      <c r="E2426" s="133">
        <v>45841</v>
      </c>
      <c r="F2426" s="2">
        <v>0.14798611111111112</v>
      </c>
      <c r="G2426">
        <v>3</v>
      </c>
      <c r="H2426" s="133">
        <v>45840</v>
      </c>
      <c r="I2426" s="2">
        <v>0.64798611111111104</v>
      </c>
      <c r="J2426">
        <v>15</v>
      </c>
      <c r="R2426" t="s">
        <v>30</v>
      </c>
      <c r="W2426">
        <v>1</v>
      </c>
      <c r="X2426" t="s">
        <v>30</v>
      </c>
      <c r="AC2426" t="s">
        <v>5473</v>
      </c>
      <c r="AE2426" s="135"/>
    </row>
    <row r="2427" spans="1:31" ht="12.5" customHeight="1" x14ac:dyDescent="0.35">
      <c r="A2427" t="s">
        <v>396</v>
      </c>
      <c r="C2427" t="s">
        <v>5474</v>
      </c>
      <c r="D2427" t="s">
        <v>385</v>
      </c>
      <c r="E2427" s="133">
        <v>45841</v>
      </c>
      <c r="F2427" s="2">
        <v>0.14807870370370371</v>
      </c>
      <c r="G2427">
        <v>3</v>
      </c>
      <c r="H2427" s="133">
        <v>45840</v>
      </c>
      <c r="I2427" s="2">
        <v>0.64807870370370368</v>
      </c>
      <c r="J2427">
        <v>15</v>
      </c>
      <c r="R2427" t="s">
        <v>30</v>
      </c>
      <c r="W2427">
        <v>1</v>
      </c>
      <c r="X2427" t="s">
        <v>30</v>
      </c>
      <c r="AC2427" t="s">
        <v>5475</v>
      </c>
      <c r="AE2427" s="135"/>
    </row>
    <row r="2428" spans="1:31" ht="12.5" customHeight="1" x14ac:dyDescent="0.35">
      <c r="A2428" t="s">
        <v>396</v>
      </c>
      <c r="C2428" t="s">
        <v>5476</v>
      </c>
      <c r="D2428" t="s">
        <v>385</v>
      </c>
      <c r="E2428" s="133">
        <v>45841</v>
      </c>
      <c r="F2428" s="2">
        <v>0.14814814814814814</v>
      </c>
      <c r="G2428">
        <v>3</v>
      </c>
      <c r="H2428" s="133">
        <v>45840</v>
      </c>
      <c r="I2428" s="2">
        <v>0.64814814814814814</v>
      </c>
      <c r="J2428">
        <v>15</v>
      </c>
      <c r="R2428" t="s">
        <v>30</v>
      </c>
      <c r="W2428">
        <v>1</v>
      </c>
      <c r="X2428" t="s">
        <v>30</v>
      </c>
      <c r="AC2428" t="s">
        <v>5477</v>
      </c>
      <c r="AE2428" s="135"/>
    </row>
    <row r="2429" spans="1:31" ht="12.5" customHeight="1" x14ac:dyDescent="0.35">
      <c r="A2429" t="s">
        <v>396</v>
      </c>
      <c r="C2429" t="s">
        <v>5478</v>
      </c>
      <c r="D2429" t="s">
        <v>385</v>
      </c>
      <c r="E2429" s="133">
        <v>45841</v>
      </c>
      <c r="F2429" s="2">
        <v>0.14824074074074076</v>
      </c>
      <c r="G2429">
        <v>3</v>
      </c>
      <c r="H2429" s="133">
        <v>45840</v>
      </c>
      <c r="I2429" s="2">
        <v>0.64824074074074078</v>
      </c>
      <c r="J2429">
        <v>15</v>
      </c>
      <c r="R2429" t="s">
        <v>30</v>
      </c>
      <c r="W2429">
        <v>1</v>
      </c>
      <c r="X2429" t="s">
        <v>30</v>
      </c>
      <c r="AC2429" t="s">
        <v>5479</v>
      </c>
      <c r="AE2429" s="135"/>
    </row>
    <row r="2430" spans="1:31" ht="12.5" customHeight="1" x14ac:dyDescent="0.35">
      <c r="A2430" t="s">
        <v>396</v>
      </c>
      <c r="C2430" t="s">
        <v>5480</v>
      </c>
      <c r="D2430" t="s">
        <v>385</v>
      </c>
      <c r="E2430" s="133">
        <v>45841</v>
      </c>
      <c r="F2430" s="2">
        <v>0.14833333333333334</v>
      </c>
      <c r="G2430">
        <v>3</v>
      </c>
      <c r="H2430" s="133">
        <v>45840</v>
      </c>
      <c r="I2430" s="2">
        <v>0.64833333333333332</v>
      </c>
      <c r="J2430">
        <v>15</v>
      </c>
      <c r="R2430" t="s">
        <v>30</v>
      </c>
      <c r="W2430">
        <v>1</v>
      </c>
      <c r="X2430" t="s">
        <v>30</v>
      </c>
      <c r="AC2430" t="s">
        <v>5481</v>
      </c>
      <c r="AE2430" s="135"/>
    </row>
    <row r="2431" spans="1:31" ht="12.5" customHeight="1" x14ac:dyDescent="0.35">
      <c r="A2431" t="s">
        <v>396</v>
      </c>
      <c r="C2431" t="s">
        <v>5482</v>
      </c>
      <c r="D2431" t="s">
        <v>385</v>
      </c>
      <c r="E2431" s="133">
        <v>45841</v>
      </c>
      <c r="F2431" s="2">
        <v>0.14842592592592593</v>
      </c>
      <c r="G2431">
        <v>3</v>
      </c>
      <c r="H2431" s="133">
        <v>45840</v>
      </c>
      <c r="I2431" s="2">
        <v>0.64842592592592596</v>
      </c>
      <c r="J2431">
        <v>15</v>
      </c>
      <c r="R2431" t="s">
        <v>30</v>
      </c>
      <c r="W2431">
        <v>1</v>
      </c>
      <c r="X2431" t="s">
        <v>30</v>
      </c>
      <c r="AC2431" t="s">
        <v>5483</v>
      </c>
      <c r="AE2431" s="135"/>
    </row>
    <row r="2432" spans="1:31" ht="12.5" customHeight="1" x14ac:dyDescent="0.35">
      <c r="A2432" t="s">
        <v>396</v>
      </c>
      <c r="C2432" t="s">
        <v>5484</v>
      </c>
      <c r="D2432" t="s">
        <v>385</v>
      </c>
      <c r="E2432" s="133">
        <v>45841</v>
      </c>
      <c r="F2432" s="2">
        <v>0.14854166666666666</v>
      </c>
      <c r="G2432">
        <v>3</v>
      </c>
      <c r="H2432" s="133">
        <v>45840</v>
      </c>
      <c r="I2432" s="2">
        <v>0.64854166666666668</v>
      </c>
      <c r="J2432">
        <v>15</v>
      </c>
      <c r="R2432" t="s">
        <v>30</v>
      </c>
      <c r="W2432">
        <v>1</v>
      </c>
      <c r="X2432" t="s">
        <v>30</v>
      </c>
      <c r="AC2432" t="s">
        <v>5485</v>
      </c>
      <c r="AE2432" s="135"/>
    </row>
    <row r="2433" spans="1:31" ht="12.5" customHeight="1" x14ac:dyDescent="0.35">
      <c r="A2433" t="s">
        <v>396</v>
      </c>
      <c r="C2433" t="s">
        <v>5486</v>
      </c>
      <c r="D2433" t="s">
        <v>385</v>
      </c>
      <c r="E2433" s="133">
        <v>45841</v>
      </c>
      <c r="F2433" s="2">
        <v>0.1486574074074074</v>
      </c>
      <c r="G2433">
        <v>3</v>
      </c>
      <c r="H2433" s="133">
        <v>45840</v>
      </c>
      <c r="I2433" s="2">
        <v>0.6486574074074074</v>
      </c>
      <c r="J2433">
        <v>15</v>
      </c>
      <c r="R2433" t="s">
        <v>30</v>
      </c>
      <c r="W2433">
        <v>1</v>
      </c>
      <c r="X2433" t="s">
        <v>30</v>
      </c>
      <c r="AC2433" t="s">
        <v>5487</v>
      </c>
      <c r="AE2433" s="135"/>
    </row>
    <row r="2434" spans="1:31" ht="12.5" customHeight="1" x14ac:dyDescent="0.35">
      <c r="A2434" t="s">
        <v>396</v>
      </c>
      <c r="C2434" t="s">
        <v>5488</v>
      </c>
      <c r="D2434" t="s">
        <v>385</v>
      </c>
      <c r="E2434" s="133">
        <v>45841</v>
      </c>
      <c r="F2434" s="2">
        <v>0.14877314814814815</v>
      </c>
      <c r="G2434">
        <v>3</v>
      </c>
      <c r="H2434" s="133">
        <v>45840</v>
      </c>
      <c r="I2434" s="2">
        <v>0.64877314814814813</v>
      </c>
      <c r="J2434">
        <v>15</v>
      </c>
      <c r="R2434" t="s">
        <v>30</v>
      </c>
      <c r="W2434">
        <v>1</v>
      </c>
      <c r="X2434" t="s">
        <v>30</v>
      </c>
      <c r="AC2434" t="s">
        <v>5489</v>
      </c>
      <c r="AE2434" s="135"/>
    </row>
    <row r="2435" spans="1:31" ht="12.5" customHeight="1" x14ac:dyDescent="0.35">
      <c r="A2435" t="s">
        <v>396</v>
      </c>
      <c r="C2435" t="s">
        <v>5490</v>
      </c>
      <c r="D2435" t="s">
        <v>385</v>
      </c>
      <c r="E2435" s="133">
        <v>45841</v>
      </c>
      <c r="F2435" s="2">
        <v>0.14891203703703704</v>
      </c>
      <c r="G2435">
        <v>3</v>
      </c>
      <c r="H2435" s="133">
        <v>45840</v>
      </c>
      <c r="I2435" s="2">
        <v>0.64891203703703704</v>
      </c>
      <c r="J2435">
        <v>15</v>
      </c>
      <c r="R2435" t="s">
        <v>30</v>
      </c>
      <c r="W2435">
        <v>1</v>
      </c>
      <c r="X2435" t="s">
        <v>30</v>
      </c>
      <c r="AC2435" t="s">
        <v>5491</v>
      </c>
      <c r="AE2435" s="135"/>
    </row>
    <row r="2436" spans="1:31" ht="12.5" customHeight="1" x14ac:dyDescent="0.35">
      <c r="A2436" t="s">
        <v>396</v>
      </c>
      <c r="C2436" t="s">
        <v>5492</v>
      </c>
      <c r="D2436" t="s">
        <v>385</v>
      </c>
      <c r="E2436" s="133">
        <v>45841</v>
      </c>
      <c r="F2436" s="2">
        <v>0.14900462962962963</v>
      </c>
      <c r="G2436">
        <v>3</v>
      </c>
      <c r="H2436" s="133">
        <v>45840</v>
      </c>
      <c r="I2436" s="2">
        <v>0.64900462962962957</v>
      </c>
      <c r="J2436">
        <v>15</v>
      </c>
      <c r="R2436" t="s">
        <v>30</v>
      </c>
      <c r="W2436">
        <v>1</v>
      </c>
      <c r="X2436" t="s">
        <v>30</v>
      </c>
      <c r="AC2436" t="s">
        <v>5493</v>
      </c>
      <c r="AE2436" s="135"/>
    </row>
    <row r="2437" spans="1:31" ht="12.5" customHeight="1" x14ac:dyDescent="0.35">
      <c r="A2437" t="s">
        <v>396</v>
      </c>
      <c r="C2437" t="s">
        <v>5494</v>
      </c>
      <c r="D2437" t="s">
        <v>385</v>
      </c>
      <c r="E2437" s="133">
        <v>45841</v>
      </c>
      <c r="F2437" s="2">
        <v>0.14909722222222221</v>
      </c>
      <c r="G2437">
        <v>3</v>
      </c>
      <c r="H2437" s="133">
        <v>45840</v>
      </c>
      <c r="I2437" s="2">
        <v>0.64909722222222221</v>
      </c>
      <c r="J2437">
        <v>15</v>
      </c>
      <c r="R2437" t="s">
        <v>30</v>
      </c>
      <c r="W2437">
        <v>1</v>
      </c>
      <c r="X2437" t="s">
        <v>30</v>
      </c>
      <c r="AC2437" t="s">
        <v>5495</v>
      </c>
      <c r="AE2437" s="135"/>
    </row>
    <row r="2438" spans="1:31" ht="12.5" customHeight="1" x14ac:dyDescent="0.35">
      <c r="A2438" t="s">
        <v>396</v>
      </c>
      <c r="C2438" t="s">
        <v>5496</v>
      </c>
      <c r="D2438" t="s">
        <v>385</v>
      </c>
      <c r="E2438" s="133">
        <v>45841</v>
      </c>
      <c r="F2438" s="2">
        <v>0.14918981481481483</v>
      </c>
      <c r="G2438">
        <v>3</v>
      </c>
      <c r="H2438" s="133">
        <v>45840</v>
      </c>
      <c r="I2438" s="2">
        <v>0.64918981481481486</v>
      </c>
      <c r="J2438">
        <v>15</v>
      </c>
      <c r="R2438" t="s">
        <v>30</v>
      </c>
      <c r="W2438">
        <v>1</v>
      </c>
      <c r="X2438" t="s">
        <v>30</v>
      </c>
      <c r="AC2438" t="s">
        <v>5497</v>
      </c>
      <c r="AE2438" s="135"/>
    </row>
    <row r="2439" spans="1:31" ht="12.5" customHeight="1" x14ac:dyDescent="0.35">
      <c r="A2439" t="s">
        <v>396</v>
      </c>
      <c r="C2439" t="s">
        <v>5498</v>
      </c>
      <c r="D2439" t="s">
        <v>385</v>
      </c>
      <c r="E2439" s="133">
        <v>45841</v>
      </c>
      <c r="F2439" s="2">
        <v>0.14937500000000001</v>
      </c>
      <c r="G2439">
        <v>3</v>
      </c>
      <c r="H2439" s="133">
        <v>45840</v>
      </c>
      <c r="I2439" s="2">
        <v>0.64937500000000004</v>
      </c>
      <c r="J2439">
        <v>15</v>
      </c>
      <c r="R2439" t="s">
        <v>30</v>
      </c>
      <c r="W2439">
        <v>1</v>
      </c>
      <c r="X2439" t="s">
        <v>30</v>
      </c>
      <c r="AC2439" t="s">
        <v>5499</v>
      </c>
      <c r="AE2439" s="135"/>
    </row>
    <row r="2440" spans="1:31" ht="12.5" customHeight="1" x14ac:dyDescent="0.35">
      <c r="A2440" t="s">
        <v>396</v>
      </c>
      <c r="C2440" t="s">
        <v>5500</v>
      </c>
      <c r="D2440" t="s">
        <v>385</v>
      </c>
      <c r="E2440" s="133">
        <v>45841</v>
      </c>
      <c r="F2440" s="2">
        <v>0.14944444444444446</v>
      </c>
      <c r="G2440">
        <v>3</v>
      </c>
      <c r="H2440" s="133">
        <v>45840</v>
      </c>
      <c r="I2440" s="2">
        <v>0.64944444444444438</v>
      </c>
      <c r="J2440">
        <v>15</v>
      </c>
      <c r="R2440" t="s">
        <v>30</v>
      </c>
      <c r="W2440">
        <v>1</v>
      </c>
      <c r="X2440" t="s">
        <v>30</v>
      </c>
      <c r="AC2440" t="s">
        <v>5501</v>
      </c>
      <c r="AE2440" s="135"/>
    </row>
    <row r="2441" spans="1:31" ht="12.5" customHeight="1" x14ac:dyDescent="0.35">
      <c r="A2441" t="s">
        <v>396</v>
      </c>
      <c r="C2441" t="s">
        <v>5502</v>
      </c>
      <c r="D2441" t="s">
        <v>385</v>
      </c>
      <c r="E2441" s="133">
        <v>45841</v>
      </c>
      <c r="F2441" s="2">
        <v>0.14953703703703705</v>
      </c>
      <c r="G2441">
        <v>3</v>
      </c>
      <c r="H2441" s="133">
        <v>45840</v>
      </c>
      <c r="I2441" s="2">
        <v>0.64953703703703702</v>
      </c>
      <c r="J2441">
        <v>15</v>
      </c>
      <c r="R2441" t="s">
        <v>30</v>
      </c>
      <c r="W2441">
        <v>1</v>
      </c>
      <c r="X2441" t="s">
        <v>30</v>
      </c>
      <c r="AC2441" t="s">
        <v>5503</v>
      </c>
      <c r="AE2441" s="135"/>
    </row>
    <row r="2442" spans="1:31" ht="12.5" customHeight="1" x14ac:dyDescent="0.35">
      <c r="A2442" t="s">
        <v>396</v>
      </c>
      <c r="C2442" t="s">
        <v>5504</v>
      </c>
      <c r="D2442" t="s">
        <v>385</v>
      </c>
      <c r="E2442" s="133">
        <v>45841</v>
      </c>
      <c r="F2442" s="2">
        <v>0.14962962962962964</v>
      </c>
      <c r="G2442">
        <v>3</v>
      </c>
      <c r="H2442" s="133">
        <v>45840</v>
      </c>
      <c r="I2442" s="2">
        <v>0.64962962962962967</v>
      </c>
      <c r="J2442">
        <v>15</v>
      </c>
      <c r="R2442" t="s">
        <v>30</v>
      </c>
      <c r="W2442">
        <v>1</v>
      </c>
      <c r="X2442" t="s">
        <v>30</v>
      </c>
      <c r="AC2442" t="s">
        <v>5505</v>
      </c>
      <c r="AE2442" s="135"/>
    </row>
    <row r="2443" spans="1:31" ht="12.5" customHeight="1" x14ac:dyDescent="0.35">
      <c r="A2443" t="s">
        <v>396</v>
      </c>
      <c r="C2443" t="s">
        <v>5506</v>
      </c>
      <c r="D2443" t="s">
        <v>385</v>
      </c>
      <c r="E2443" s="133">
        <v>45841</v>
      </c>
      <c r="F2443" s="2">
        <v>0.1496990740740741</v>
      </c>
      <c r="G2443">
        <v>3</v>
      </c>
      <c r="H2443" s="133">
        <v>45840</v>
      </c>
      <c r="I2443" s="2">
        <v>0.64969907407407412</v>
      </c>
      <c r="J2443">
        <v>15</v>
      </c>
      <c r="R2443" t="s">
        <v>30</v>
      </c>
      <c r="W2443">
        <v>1</v>
      </c>
      <c r="X2443" t="s">
        <v>30</v>
      </c>
      <c r="AC2443" t="s">
        <v>5507</v>
      </c>
      <c r="AE2443" s="135"/>
    </row>
    <row r="2444" spans="1:31" ht="12.5" customHeight="1" x14ac:dyDescent="0.35">
      <c r="A2444" t="s">
        <v>396</v>
      </c>
      <c r="C2444" t="s">
        <v>5508</v>
      </c>
      <c r="D2444" t="s">
        <v>385</v>
      </c>
      <c r="E2444" s="133">
        <v>45841</v>
      </c>
      <c r="F2444" s="2">
        <v>0.14979166666666668</v>
      </c>
      <c r="G2444">
        <v>3</v>
      </c>
      <c r="H2444" s="133">
        <v>45840</v>
      </c>
      <c r="I2444" s="2">
        <v>0.64979166666666666</v>
      </c>
      <c r="J2444">
        <v>15</v>
      </c>
      <c r="R2444" t="s">
        <v>30</v>
      </c>
      <c r="W2444">
        <v>1</v>
      </c>
      <c r="X2444" t="s">
        <v>30</v>
      </c>
      <c r="AC2444" t="s">
        <v>5509</v>
      </c>
      <c r="AE2444" s="135"/>
    </row>
    <row r="2445" spans="1:31" ht="12.5" customHeight="1" x14ac:dyDescent="0.35">
      <c r="A2445" t="s">
        <v>396</v>
      </c>
      <c r="C2445" t="s">
        <v>5510</v>
      </c>
      <c r="D2445" t="s">
        <v>385</v>
      </c>
      <c r="E2445" s="133">
        <v>45841</v>
      </c>
      <c r="F2445" s="2">
        <v>0.14988425925925927</v>
      </c>
      <c r="G2445">
        <v>3</v>
      </c>
      <c r="H2445" s="133">
        <v>45840</v>
      </c>
      <c r="I2445" s="2">
        <v>0.64988425925925919</v>
      </c>
      <c r="J2445">
        <v>15</v>
      </c>
      <c r="R2445" t="s">
        <v>30</v>
      </c>
      <c r="W2445">
        <v>1</v>
      </c>
      <c r="X2445" t="s">
        <v>30</v>
      </c>
      <c r="AC2445" t="s">
        <v>5511</v>
      </c>
      <c r="AE2445" s="135"/>
    </row>
    <row r="2446" spans="1:31" ht="12.5" customHeight="1" x14ac:dyDescent="0.35">
      <c r="A2446" t="s">
        <v>396</v>
      </c>
      <c r="C2446" t="s">
        <v>5512</v>
      </c>
      <c r="D2446" t="s">
        <v>385</v>
      </c>
      <c r="E2446" s="133">
        <v>45841</v>
      </c>
      <c r="F2446" s="2">
        <v>0.1499537037037037</v>
      </c>
      <c r="G2446">
        <v>3</v>
      </c>
      <c r="H2446" s="133">
        <v>45840</v>
      </c>
      <c r="I2446" s="2">
        <v>0.64995370370370364</v>
      </c>
      <c r="J2446">
        <v>15</v>
      </c>
      <c r="R2446" t="s">
        <v>30</v>
      </c>
      <c r="W2446">
        <v>1</v>
      </c>
      <c r="X2446" t="s">
        <v>30</v>
      </c>
      <c r="AC2446" t="s">
        <v>5513</v>
      </c>
      <c r="AE2446" s="135"/>
    </row>
    <row r="2447" spans="1:31" ht="12.5" customHeight="1" x14ac:dyDescent="0.35">
      <c r="A2447" t="s">
        <v>396</v>
      </c>
      <c r="C2447" t="s">
        <v>5514</v>
      </c>
      <c r="D2447" t="s">
        <v>385</v>
      </c>
      <c r="E2447" s="133">
        <v>45841</v>
      </c>
      <c r="F2447" s="2">
        <v>0.15004629629629629</v>
      </c>
      <c r="G2447">
        <v>3</v>
      </c>
      <c r="H2447" s="133">
        <v>45840</v>
      </c>
      <c r="I2447" s="2">
        <v>0.65004629629629629</v>
      </c>
      <c r="J2447">
        <v>15</v>
      </c>
      <c r="R2447" t="s">
        <v>30</v>
      </c>
      <c r="W2447">
        <v>1</v>
      </c>
      <c r="X2447" t="s">
        <v>30</v>
      </c>
      <c r="AC2447" t="s">
        <v>5515</v>
      </c>
      <c r="AE2447" s="135"/>
    </row>
    <row r="2448" spans="1:31" ht="12.5" customHeight="1" x14ac:dyDescent="0.35">
      <c r="A2448" t="s">
        <v>396</v>
      </c>
      <c r="C2448" t="s">
        <v>5516</v>
      </c>
      <c r="D2448" t="s">
        <v>385</v>
      </c>
      <c r="E2448" s="133">
        <v>45841</v>
      </c>
      <c r="F2448" s="2">
        <v>0.15013888888888891</v>
      </c>
      <c r="G2448">
        <v>3</v>
      </c>
      <c r="H2448" s="133">
        <v>45840</v>
      </c>
      <c r="I2448" s="2">
        <v>0.65013888888888893</v>
      </c>
      <c r="J2448">
        <v>15</v>
      </c>
      <c r="R2448" t="s">
        <v>30</v>
      </c>
      <c r="W2448">
        <v>1</v>
      </c>
      <c r="X2448" t="s">
        <v>30</v>
      </c>
      <c r="AC2448" t="s">
        <v>5517</v>
      </c>
      <c r="AE2448" s="135"/>
    </row>
    <row r="2449" spans="1:31" ht="12.5" customHeight="1" x14ac:dyDescent="0.35">
      <c r="A2449" t="s">
        <v>396</v>
      </c>
      <c r="C2449" t="s">
        <v>5518</v>
      </c>
      <c r="D2449" t="s">
        <v>385</v>
      </c>
      <c r="E2449" s="133">
        <v>45841</v>
      </c>
      <c r="F2449" s="2">
        <v>0.15023148148148149</v>
      </c>
      <c r="G2449">
        <v>3</v>
      </c>
      <c r="H2449" s="133">
        <v>45840</v>
      </c>
      <c r="I2449" s="2">
        <v>0.65023148148148147</v>
      </c>
      <c r="J2449">
        <v>15</v>
      </c>
      <c r="R2449" t="s">
        <v>30</v>
      </c>
      <c r="W2449">
        <v>1</v>
      </c>
      <c r="X2449" t="s">
        <v>30</v>
      </c>
      <c r="AC2449" t="s">
        <v>5519</v>
      </c>
      <c r="AE2449" s="135"/>
    </row>
    <row r="2450" spans="1:31" ht="12.5" customHeight="1" x14ac:dyDescent="0.35">
      <c r="A2450" t="s">
        <v>396</v>
      </c>
      <c r="C2450" t="s">
        <v>5520</v>
      </c>
      <c r="D2450" t="s">
        <v>385</v>
      </c>
      <c r="E2450" s="133">
        <v>45841</v>
      </c>
      <c r="F2450" s="2">
        <v>0.15034722222222222</v>
      </c>
      <c r="G2450">
        <v>3</v>
      </c>
      <c r="H2450" s="133">
        <v>45840</v>
      </c>
      <c r="I2450" s="2">
        <v>0.65034722222222219</v>
      </c>
      <c r="J2450">
        <v>15</v>
      </c>
      <c r="R2450" t="s">
        <v>30</v>
      </c>
      <c r="W2450">
        <v>1</v>
      </c>
      <c r="X2450" t="s">
        <v>30</v>
      </c>
      <c r="AC2450" t="s">
        <v>5521</v>
      </c>
      <c r="AE2450" s="135"/>
    </row>
    <row r="2451" spans="1:31" ht="12.5" customHeight="1" x14ac:dyDescent="0.35">
      <c r="A2451" t="s">
        <v>396</v>
      </c>
      <c r="C2451" t="s">
        <v>5522</v>
      </c>
      <c r="D2451" t="s">
        <v>385</v>
      </c>
      <c r="E2451" s="133">
        <v>45841</v>
      </c>
      <c r="F2451" s="2">
        <v>0.1504398148148148</v>
      </c>
      <c r="G2451">
        <v>3</v>
      </c>
      <c r="H2451" s="133">
        <v>45840</v>
      </c>
      <c r="I2451" s="2">
        <v>0.65043981481481483</v>
      </c>
      <c r="J2451">
        <v>15</v>
      </c>
      <c r="R2451" t="s">
        <v>30</v>
      </c>
      <c r="W2451">
        <v>1</v>
      </c>
      <c r="X2451" t="s">
        <v>30</v>
      </c>
      <c r="AC2451" t="s">
        <v>5523</v>
      </c>
      <c r="AE2451" s="135"/>
    </row>
    <row r="2452" spans="1:31" ht="12.5" customHeight="1" x14ac:dyDescent="0.35">
      <c r="A2452" t="s">
        <v>396</v>
      </c>
      <c r="C2452" t="s">
        <v>5524</v>
      </c>
      <c r="D2452" t="s">
        <v>385</v>
      </c>
      <c r="E2452" s="133">
        <v>45841</v>
      </c>
      <c r="F2452" s="2">
        <v>0.15053240740740739</v>
      </c>
      <c r="G2452">
        <v>3</v>
      </c>
      <c r="H2452" s="133">
        <v>45840</v>
      </c>
      <c r="I2452" s="2">
        <v>0.65053240740740736</v>
      </c>
      <c r="J2452">
        <v>15</v>
      </c>
      <c r="R2452" t="s">
        <v>30</v>
      </c>
      <c r="W2452">
        <v>1</v>
      </c>
      <c r="X2452" t="s">
        <v>30</v>
      </c>
      <c r="AC2452" t="s">
        <v>5525</v>
      </c>
      <c r="AE2452" s="135"/>
    </row>
    <row r="2453" spans="1:31" ht="12.5" customHeight="1" x14ac:dyDescent="0.35">
      <c r="A2453" t="s">
        <v>396</v>
      </c>
      <c r="C2453" t="s">
        <v>5526</v>
      </c>
      <c r="D2453" t="s">
        <v>385</v>
      </c>
      <c r="E2453" s="133">
        <v>45841</v>
      </c>
      <c r="F2453" s="2">
        <v>0.15062500000000001</v>
      </c>
      <c r="G2453">
        <v>3</v>
      </c>
      <c r="H2453" s="133">
        <v>45840</v>
      </c>
      <c r="I2453" s="2">
        <v>0.65062500000000001</v>
      </c>
      <c r="J2453">
        <v>15</v>
      </c>
      <c r="R2453" t="s">
        <v>30</v>
      </c>
      <c r="W2453">
        <v>1</v>
      </c>
      <c r="X2453" t="s">
        <v>30</v>
      </c>
      <c r="AC2453" t="s">
        <v>5527</v>
      </c>
      <c r="AE2453" s="135"/>
    </row>
    <row r="2454" spans="1:31" ht="12.5" customHeight="1" x14ac:dyDescent="0.35">
      <c r="A2454" t="s">
        <v>396</v>
      </c>
      <c r="C2454" t="s">
        <v>5528</v>
      </c>
      <c r="D2454" t="s">
        <v>385</v>
      </c>
      <c r="E2454" s="133">
        <v>45841</v>
      </c>
      <c r="F2454" s="2">
        <v>0.1507175925925926</v>
      </c>
      <c r="G2454">
        <v>3</v>
      </c>
      <c r="H2454" s="133">
        <v>45840</v>
      </c>
      <c r="I2454" s="2">
        <v>0.65071759259259265</v>
      </c>
      <c r="J2454">
        <v>15</v>
      </c>
      <c r="R2454" t="s">
        <v>30</v>
      </c>
      <c r="W2454">
        <v>1</v>
      </c>
      <c r="X2454" t="s">
        <v>30</v>
      </c>
      <c r="AC2454" t="s">
        <v>5529</v>
      </c>
      <c r="AE2454" s="135"/>
    </row>
    <row r="2455" spans="1:31" ht="12.5" customHeight="1" x14ac:dyDescent="0.35">
      <c r="A2455" t="s">
        <v>396</v>
      </c>
      <c r="C2455" t="s">
        <v>5530</v>
      </c>
      <c r="D2455" t="s">
        <v>385</v>
      </c>
      <c r="E2455" s="133">
        <v>45841</v>
      </c>
      <c r="F2455" s="2">
        <v>0.15085648148148148</v>
      </c>
      <c r="G2455">
        <v>3</v>
      </c>
      <c r="H2455" s="133">
        <v>45840</v>
      </c>
      <c r="I2455" s="2">
        <v>0.65085648148148145</v>
      </c>
      <c r="J2455">
        <v>15</v>
      </c>
      <c r="R2455" t="s">
        <v>30</v>
      </c>
      <c r="W2455">
        <v>1</v>
      </c>
      <c r="X2455" t="s">
        <v>30</v>
      </c>
      <c r="AC2455" t="s">
        <v>5531</v>
      </c>
      <c r="AE2455" s="135"/>
    </row>
    <row r="2456" spans="1:31" ht="12.5" customHeight="1" x14ac:dyDescent="0.35">
      <c r="A2456" t="s">
        <v>396</v>
      </c>
      <c r="C2456" t="s">
        <v>5532</v>
      </c>
      <c r="D2456" t="s">
        <v>385</v>
      </c>
      <c r="E2456" s="133">
        <v>45841</v>
      </c>
      <c r="F2456" s="2">
        <v>0.15094907407407407</v>
      </c>
      <c r="G2456">
        <v>3</v>
      </c>
      <c r="H2456" s="133">
        <v>45840</v>
      </c>
      <c r="I2456" s="2">
        <v>0.6509490740740741</v>
      </c>
      <c r="J2456">
        <v>15</v>
      </c>
      <c r="R2456" t="s">
        <v>30</v>
      </c>
      <c r="W2456">
        <v>1</v>
      </c>
      <c r="X2456" t="s">
        <v>30</v>
      </c>
      <c r="AC2456" t="s">
        <v>5533</v>
      </c>
      <c r="AE2456" s="135"/>
    </row>
    <row r="2457" spans="1:31" ht="12.5" customHeight="1" x14ac:dyDescent="0.35">
      <c r="A2457" t="s">
        <v>396</v>
      </c>
      <c r="C2457" t="s">
        <v>5534</v>
      </c>
      <c r="D2457" t="s">
        <v>385</v>
      </c>
      <c r="E2457" s="133">
        <v>45841</v>
      </c>
      <c r="F2457" s="2">
        <v>0.15104166666666666</v>
      </c>
      <c r="G2457">
        <v>3</v>
      </c>
      <c r="H2457" s="133">
        <v>45840</v>
      </c>
      <c r="I2457" s="2">
        <v>0.65104166666666663</v>
      </c>
      <c r="J2457">
        <v>15</v>
      </c>
      <c r="R2457" t="s">
        <v>30</v>
      </c>
      <c r="W2457">
        <v>1</v>
      </c>
      <c r="X2457" t="s">
        <v>30</v>
      </c>
      <c r="AC2457" t="s">
        <v>5535</v>
      </c>
      <c r="AE2457" s="135"/>
    </row>
    <row r="2458" spans="1:31" ht="12.5" customHeight="1" x14ac:dyDescent="0.35">
      <c r="A2458" t="s">
        <v>396</v>
      </c>
      <c r="C2458" t="s">
        <v>5536</v>
      </c>
      <c r="D2458" t="s">
        <v>385</v>
      </c>
      <c r="E2458" s="133">
        <v>45841</v>
      </c>
      <c r="F2458" s="2">
        <v>0.15111111111111111</v>
      </c>
      <c r="G2458">
        <v>3</v>
      </c>
      <c r="H2458" s="133">
        <v>45840</v>
      </c>
      <c r="I2458" s="2">
        <v>0.65111111111111108</v>
      </c>
      <c r="J2458">
        <v>15</v>
      </c>
      <c r="R2458" t="s">
        <v>30</v>
      </c>
      <c r="W2458">
        <v>1</v>
      </c>
      <c r="X2458" t="s">
        <v>30</v>
      </c>
      <c r="AC2458" t="s">
        <v>5537</v>
      </c>
      <c r="AE2458" s="135"/>
    </row>
    <row r="2459" spans="1:31" ht="12.5" customHeight="1" x14ac:dyDescent="0.35">
      <c r="A2459" t="s">
        <v>396</v>
      </c>
      <c r="C2459" t="s">
        <v>5538</v>
      </c>
      <c r="D2459" t="s">
        <v>385</v>
      </c>
      <c r="E2459" s="133">
        <v>45841</v>
      </c>
      <c r="F2459" s="2">
        <v>0.1512037037037037</v>
      </c>
      <c r="G2459">
        <v>3</v>
      </c>
      <c r="H2459" s="133">
        <v>45840</v>
      </c>
      <c r="I2459" s="2">
        <v>0.65120370370370373</v>
      </c>
      <c r="J2459">
        <v>15</v>
      </c>
      <c r="R2459" t="s">
        <v>30</v>
      </c>
      <c r="W2459">
        <v>1</v>
      </c>
      <c r="X2459" t="s">
        <v>30</v>
      </c>
      <c r="AC2459" t="s">
        <v>5539</v>
      </c>
      <c r="AE2459" s="135"/>
    </row>
    <row r="2460" spans="1:31" ht="12.5" customHeight="1" x14ac:dyDescent="0.35">
      <c r="A2460" t="s">
        <v>396</v>
      </c>
      <c r="C2460" t="s">
        <v>5540</v>
      </c>
      <c r="D2460" t="s">
        <v>385</v>
      </c>
      <c r="E2460" s="133">
        <v>45841</v>
      </c>
      <c r="F2460" s="2">
        <v>0.15129629629629629</v>
      </c>
      <c r="G2460">
        <v>3</v>
      </c>
      <c r="H2460" s="133">
        <v>45840</v>
      </c>
      <c r="I2460" s="2">
        <v>0.65129629629629626</v>
      </c>
      <c r="J2460">
        <v>15</v>
      </c>
      <c r="R2460" t="s">
        <v>30</v>
      </c>
      <c r="W2460">
        <v>1</v>
      </c>
      <c r="X2460" t="s">
        <v>30</v>
      </c>
      <c r="AC2460" t="s">
        <v>5541</v>
      </c>
      <c r="AE2460" s="135"/>
    </row>
    <row r="2461" spans="1:31" ht="12.5" customHeight="1" x14ac:dyDescent="0.35">
      <c r="A2461" t="s">
        <v>396</v>
      </c>
      <c r="C2461" t="s">
        <v>5542</v>
      </c>
      <c r="D2461" t="s">
        <v>385</v>
      </c>
      <c r="E2461" s="133">
        <v>45841</v>
      </c>
      <c r="F2461" s="2">
        <v>0.15138888888888888</v>
      </c>
      <c r="G2461">
        <v>3</v>
      </c>
      <c r="H2461" s="133">
        <v>45840</v>
      </c>
      <c r="I2461" s="2">
        <v>0.65138888888888891</v>
      </c>
      <c r="J2461">
        <v>15</v>
      </c>
      <c r="R2461" t="s">
        <v>30</v>
      </c>
      <c r="W2461">
        <v>1</v>
      </c>
      <c r="X2461" t="s">
        <v>30</v>
      </c>
      <c r="AC2461" t="s">
        <v>5543</v>
      </c>
      <c r="AE2461" s="135"/>
    </row>
    <row r="2462" spans="1:31" ht="12.5" customHeight="1" x14ac:dyDescent="0.35">
      <c r="A2462" t="s">
        <v>396</v>
      </c>
      <c r="C2462" t="s">
        <v>5544</v>
      </c>
      <c r="D2462" t="s">
        <v>385</v>
      </c>
      <c r="E2462" s="133">
        <v>45841</v>
      </c>
      <c r="F2462" s="2">
        <v>0.15152777777777779</v>
      </c>
      <c r="G2462">
        <v>3</v>
      </c>
      <c r="H2462" s="133">
        <v>45840</v>
      </c>
      <c r="I2462" s="2">
        <v>0.65152777777777782</v>
      </c>
      <c r="J2462">
        <v>15</v>
      </c>
      <c r="R2462" t="s">
        <v>30</v>
      </c>
      <c r="W2462">
        <v>1</v>
      </c>
      <c r="X2462" t="s">
        <v>30</v>
      </c>
      <c r="AC2462" t="s">
        <v>5545</v>
      </c>
      <c r="AE2462" s="135"/>
    </row>
    <row r="2463" spans="1:31" ht="12.5" customHeight="1" x14ac:dyDescent="0.35">
      <c r="A2463" t="s">
        <v>396</v>
      </c>
      <c r="C2463" t="s">
        <v>5546</v>
      </c>
      <c r="D2463" t="s">
        <v>385</v>
      </c>
      <c r="E2463" s="133">
        <v>45841</v>
      </c>
      <c r="F2463" s="2">
        <v>0.15162037037037038</v>
      </c>
      <c r="G2463">
        <v>3</v>
      </c>
      <c r="H2463" s="133">
        <v>45840</v>
      </c>
      <c r="I2463" s="2">
        <v>0.65162037037037035</v>
      </c>
      <c r="J2463">
        <v>15</v>
      </c>
      <c r="R2463" t="s">
        <v>30</v>
      </c>
      <c r="W2463">
        <v>1</v>
      </c>
      <c r="X2463" t="s">
        <v>30</v>
      </c>
      <c r="AC2463" t="s">
        <v>5547</v>
      </c>
      <c r="AE2463" s="135"/>
    </row>
    <row r="2464" spans="1:31" ht="12.5" customHeight="1" x14ac:dyDescent="0.35">
      <c r="A2464" t="s">
        <v>396</v>
      </c>
      <c r="C2464" t="s">
        <v>5548</v>
      </c>
      <c r="D2464" t="s">
        <v>385</v>
      </c>
      <c r="E2464" s="133">
        <v>45841</v>
      </c>
      <c r="F2464" s="2">
        <v>0.15171296296296297</v>
      </c>
      <c r="G2464">
        <v>3</v>
      </c>
      <c r="H2464" s="133">
        <v>45840</v>
      </c>
      <c r="I2464" s="2">
        <v>0.65171296296296299</v>
      </c>
      <c r="J2464">
        <v>15</v>
      </c>
      <c r="R2464" t="s">
        <v>30</v>
      </c>
      <c r="W2464">
        <v>1</v>
      </c>
      <c r="X2464" t="s">
        <v>30</v>
      </c>
      <c r="AC2464" t="s">
        <v>5549</v>
      </c>
      <c r="AE2464" s="135"/>
    </row>
    <row r="2465" spans="1:31" ht="12.5" customHeight="1" x14ac:dyDescent="0.35">
      <c r="A2465" t="s">
        <v>396</v>
      </c>
      <c r="C2465" t="s">
        <v>5550</v>
      </c>
      <c r="D2465" t="s">
        <v>385</v>
      </c>
      <c r="E2465" s="133">
        <v>45841</v>
      </c>
      <c r="F2465" s="2">
        <v>0.15180555555555555</v>
      </c>
      <c r="G2465">
        <v>3</v>
      </c>
      <c r="H2465" s="133">
        <v>45840</v>
      </c>
      <c r="I2465" s="2">
        <v>0.65180555555555553</v>
      </c>
      <c r="J2465">
        <v>15</v>
      </c>
      <c r="R2465" t="s">
        <v>30</v>
      </c>
      <c r="W2465">
        <v>1</v>
      </c>
      <c r="X2465" t="s">
        <v>30</v>
      </c>
      <c r="AC2465" t="s">
        <v>5551</v>
      </c>
      <c r="AE2465" s="135"/>
    </row>
    <row r="2466" spans="1:31" ht="12.5" customHeight="1" x14ac:dyDescent="0.35">
      <c r="A2466" t="s">
        <v>396</v>
      </c>
      <c r="C2466" t="s">
        <v>5552</v>
      </c>
      <c r="D2466" t="s">
        <v>385</v>
      </c>
      <c r="E2466" s="133">
        <v>45841</v>
      </c>
      <c r="F2466" s="2">
        <v>0.15189814814814814</v>
      </c>
      <c r="G2466">
        <v>3</v>
      </c>
      <c r="H2466" s="133">
        <v>45840</v>
      </c>
      <c r="I2466" s="2">
        <v>0.65189814814814817</v>
      </c>
      <c r="J2466">
        <v>15</v>
      </c>
      <c r="R2466" t="s">
        <v>30</v>
      </c>
      <c r="W2466">
        <v>1</v>
      </c>
      <c r="X2466" t="s">
        <v>30</v>
      </c>
      <c r="AC2466" t="s">
        <v>5553</v>
      </c>
      <c r="AE2466" s="135"/>
    </row>
    <row r="2467" spans="1:31" ht="12.5" customHeight="1" x14ac:dyDescent="0.35">
      <c r="A2467" t="s">
        <v>396</v>
      </c>
      <c r="C2467" t="s">
        <v>5554</v>
      </c>
      <c r="D2467" t="s">
        <v>385</v>
      </c>
      <c r="E2467" s="133">
        <v>45841</v>
      </c>
      <c r="F2467" s="2">
        <v>0.1519675925925926</v>
      </c>
      <c r="G2467">
        <v>3</v>
      </c>
      <c r="H2467" s="133">
        <v>45840</v>
      </c>
      <c r="I2467" s="2">
        <v>0.65196759259259263</v>
      </c>
      <c r="J2467">
        <v>15</v>
      </c>
      <c r="R2467" t="s">
        <v>30</v>
      </c>
      <c r="W2467">
        <v>1</v>
      </c>
      <c r="X2467" t="s">
        <v>30</v>
      </c>
      <c r="AC2467" t="s">
        <v>5555</v>
      </c>
      <c r="AE2467" s="135"/>
    </row>
    <row r="2468" spans="1:31" ht="12.5" customHeight="1" x14ac:dyDescent="0.35">
      <c r="A2468" t="s">
        <v>396</v>
      </c>
      <c r="C2468" t="s">
        <v>5556</v>
      </c>
      <c r="D2468" t="s">
        <v>385</v>
      </c>
      <c r="E2468" s="133">
        <v>45841</v>
      </c>
      <c r="F2468" s="2">
        <v>0.15215277777777778</v>
      </c>
      <c r="G2468">
        <v>3</v>
      </c>
      <c r="H2468" s="133">
        <v>45840</v>
      </c>
      <c r="I2468" s="2">
        <v>0.6521527777777778</v>
      </c>
      <c r="J2468">
        <v>15</v>
      </c>
      <c r="R2468" t="s">
        <v>30</v>
      </c>
      <c r="W2468">
        <v>1</v>
      </c>
      <c r="X2468" t="s">
        <v>30</v>
      </c>
      <c r="AC2468" t="s">
        <v>5557</v>
      </c>
      <c r="AE2468" s="135"/>
    </row>
    <row r="2469" spans="1:31" ht="12.5" customHeight="1" x14ac:dyDescent="0.35">
      <c r="A2469" t="s">
        <v>396</v>
      </c>
      <c r="C2469" t="s">
        <v>5558</v>
      </c>
      <c r="D2469" t="s">
        <v>385</v>
      </c>
      <c r="E2469" s="133">
        <v>45841</v>
      </c>
      <c r="F2469" s="2">
        <v>0.15226851851851853</v>
      </c>
      <c r="G2469">
        <v>3</v>
      </c>
      <c r="H2469" s="133">
        <v>45840</v>
      </c>
      <c r="I2469" s="2">
        <v>0.65226851851851853</v>
      </c>
      <c r="J2469">
        <v>15</v>
      </c>
      <c r="R2469" t="s">
        <v>30</v>
      </c>
      <c r="W2469">
        <v>1</v>
      </c>
      <c r="X2469" t="s">
        <v>30</v>
      </c>
      <c r="AC2469" t="s">
        <v>5559</v>
      </c>
      <c r="AE2469" s="135"/>
    </row>
    <row r="2470" spans="1:31" ht="12.5" customHeight="1" x14ac:dyDescent="0.35">
      <c r="A2470" t="s">
        <v>396</v>
      </c>
      <c r="C2470" t="s">
        <v>5560</v>
      </c>
      <c r="D2470" t="s">
        <v>385</v>
      </c>
      <c r="E2470" s="133">
        <v>45841</v>
      </c>
      <c r="F2470" s="2">
        <v>0.15238425925925925</v>
      </c>
      <c r="G2470">
        <v>3</v>
      </c>
      <c r="H2470" s="133">
        <v>45840</v>
      </c>
      <c r="I2470" s="2">
        <v>0.65238425925925925</v>
      </c>
      <c r="J2470">
        <v>15</v>
      </c>
      <c r="R2470" t="s">
        <v>30</v>
      </c>
      <c r="W2470">
        <v>1</v>
      </c>
      <c r="X2470" t="s">
        <v>30</v>
      </c>
      <c r="AC2470" t="s">
        <v>5561</v>
      </c>
      <c r="AE2470" s="135"/>
    </row>
    <row r="2471" spans="1:31" ht="12.5" customHeight="1" x14ac:dyDescent="0.35">
      <c r="A2471" t="s">
        <v>396</v>
      </c>
      <c r="C2471" t="s">
        <v>5562</v>
      </c>
      <c r="D2471" t="s">
        <v>385</v>
      </c>
      <c r="E2471" s="133">
        <v>45841</v>
      </c>
      <c r="F2471" s="2">
        <v>0.15247685185185186</v>
      </c>
      <c r="G2471">
        <v>3</v>
      </c>
      <c r="H2471" s="133">
        <v>45840</v>
      </c>
      <c r="I2471" s="2">
        <v>0.65247685185185189</v>
      </c>
      <c r="J2471">
        <v>15</v>
      </c>
      <c r="R2471" t="s">
        <v>30</v>
      </c>
      <c r="W2471">
        <v>1</v>
      </c>
      <c r="X2471" t="s">
        <v>30</v>
      </c>
      <c r="AC2471" t="s">
        <v>5563</v>
      </c>
      <c r="AE2471" s="135"/>
    </row>
    <row r="2472" spans="1:31" ht="12.5" customHeight="1" x14ac:dyDescent="0.35">
      <c r="A2472" t="s">
        <v>396</v>
      </c>
      <c r="C2472" t="s">
        <v>5564</v>
      </c>
      <c r="D2472" t="s">
        <v>385</v>
      </c>
      <c r="E2472" s="133">
        <v>45841</v>
      </c>
      <c r="F2472" s="2">
        <v>0.15254629629629629</v>
      </c>
      <c r="G2472">
        <v>3</v>
      </c>
      <c r="H2472" s="133">
        <v>45840</v>
      </c>
      <c r="I2472" s="2">
        <v>0.65254629629629635</v>
      </c>
      <c r="J2472">
        <v>15</v>
      </c>
      <c r="R2472" t="s">
        <v>30</v>
      </c>
      <c r="W2472">
        <v>1</v>
      </c>
      <c r="X2472" t="s">
        <v>30</v>
      </c>
      <c r="AC2472" t="s">
        <v>5565</v>
      </c>
      <c r="AE2472" s="135"/>
    </row>
    <row r="2473" spans="1:31" ht="12.5" customHeight="1" x14ac:dyDescent="0.35">
      <c r="A2473" t="s">
        <v>396</v>
      </c>
      <c r="C2473" t="s">
        <v>5566</v>
      </c>
      <c r="D2473" t="s">
        <v>385</v>
      </c>
      <c r="E2473" s="133">
        <v>45841</v>
      </c>
      <c r="F2473" s="2">
        <v>0.15266203703703704</v>
      </c>
      <c r="G2473">
        <v>3</v>
      </c>
      <c r="H2473" s="133">
        <v>45840</v>
      </c>
      <c r="I2473" s="2">
        <v>0.65266203703703707</v>
      </c>
      <c r="J2473">
        <v>15</v>
      </c>
      <c r="R2473" t="s">
        <v>30</v>
      </c>
      <c r="W2473">
        <v>1</v>
      </c>
      <c r="X2473" t="s">
        <v>30</v>
      </c>
      <c r="AC2473" t="s">
        <v>5567</v>
      </c>
      <c r="AE2473" s="135"/>
    </row>
    <row r="2474" spans="1:31" ht="12.5" customHeight="1" x14ac:dyDescent="0.35">
      <c r="A2474" t="s">
        <v>396</v>
      </c>
      <c r="C2474" t="s">
        <v>5568</v>
      </c>
      <c r="D2474" t="s">
        <v>385</v>
      </c>
      <c r="E2474" s="133">
        <v>45841</v>
      </c>
      <c r="F2474" s="2">
        <v>0.1527314814814815</v>
      </c>
      <c r="G2474">
        <v>3</v>
      </c>
      <c r="H2474" s="133">
        <v>45840</v>
      </c>
      <c r="I2474" s="2">
        <v>0.65273148148148141</v>
      </c>
      <c r="J2474">
        <v>15</v>
      </c>
      <c r="R2474" t="s">
        <v>30</v>
      </c>
      <c r="W2474">
        <v>1</v>
      </c>
      <c r="X2474" t="s">
        <v>30</v>
      </c>
      <c r="AC2474" t="s">
        <v>5569</v>
      </c>
      <c r="AE2474" s="135"/>
    </row>
    <row r="2475" spans="1:31" ht="12.5" customHeight="1" x14ac:dyDescent="0.35">
      <c r="A2475" t="s">
        <v>396</v>
      </c>
      <c r="C2475" t="s">
        <v>5570</v>
      </c>
      <c r="D2475" t="s">
        <v>385</v>
      </c>
      <c r="E2475" s="133">
        <v>45841</v>
      </c>
      <c r="F2475" s="2">
        <v>0.15282407407407408</v>
      </c>
      <c r="G2475">
        <v>3</v>
      </c>
      <c r="H2475" s="133">
        <v>45840</v>
      </c>
      <c r="I2475" s="2">
        <v>0.65282407407407406</v>
      </c>
      <c r="J2475">
        <v>15</v>
      </c>
      <c r="R2475" t="s">
        <v>30</v>
      </c>
      <c r="W2475">
        <v>1</v>
      </c>
      <c r="X2475" t="s">
        <v>30</v>
      </c>
      <c r="AC2475" t="s">
        <v>5571</v>
      </c>
      <c r="AE2475" s="135"/>
    </row>
    <row r="2476" spans="1:31" ht="12.5" customHeight="1" x14ac:dyDescent="0.35">
      <c r="A2476" t="s">
        <v>396</v>
      </c>
      <c r="C2476" t="s">
        <v>5572</v>
      </c>
      <c r="D2476" t="s">
        <v>385</v>
      </c>
      <c r="E2476" s="133">
        <v>45841</v>
      </c>
      <c r="F2476" s="2">
        <v>0.15289351851851851</v>
      </c>
      <c r="G2476">
        <v>3</v>
      </c>
      <c r="H2476" s="133">
        <v>45840</v>
      </c>
      <c r="I2476" s="2">
        <v>0.65289351851851851</v>
      </c>
      <c r="J2476">
        <v>15</v>
      </c>
      <c r="R2476" t="s">
        <v>30</v>
      </c>
      <c r="W2476">
        <v>1</v>
      </c>
      <c r="X2476" t="s">
        <v>30</v>
      </c>
      <c r="AC2476" t="s">
        <v>5573</v>
      </c>
      <c r="AE2476" s="135"/>
    </row>
    <row r="2477" spans="1:31" ht="12.5" customHeight="1" x14ac:dyDescent="0.35">
      <c r="A2477" t="s">
        <v>396</v>
      </c>
      <c r="C2477" t="s">
        <v>5574</v>
      </c>
      <c r="D2477" t="s">
        <v>385</v>
      </c>
      <c r="E2477" s="133">
        <v>45841</v>
      </c>
      <c r="F2477" s="2">
        <v>0.15296296296296297</v>
      </c>
      <c r="G2477">
        <v>3</v>
      </c>
      <c r="H2477" s="133">
        <v>45840</v>
      </c>
      <c r="I2477" s="2">
        <v>0.65296296296296297</v>
      </c>
      <c r="J2477">
        <v>15</v>
      </c>
      <c r="R2477" t="s">
        <v>30</v>
      </c>
      <c r="W2477">
        <v>1</v>
      </c>
      <c r="X2477" t="s">
        <v>30</v>
      </c>
      <c r="AC2477" t="s">
        <v>5575</v>
      </c>
      <c r="AE2477" s="135"/>
    </row>
    <row r="2478" spans="1:31" ht="12.5" customHeight="1" x14ac:dyDescent="0.35">
      <c r="A2478" t="s">
        <v>396</v>
      </c>
      <c r="C2478" t="s">
        <v>5576</v>
      </c>
      <c r="D2478" t="s">
        <v>385</v>
      </c>
      <c r="E2478" s="133">
        <v>45841</v>
      </c>
      <c r="F2478" s="2">
        <v>0.15307870370370372</v>
      </c>
      <c r="G2478">
        <v>3</v>
      </c>
      <c r="H2478" s="133">
        <v>45840</v>
      </c>
      <c r="I2478" s="2">
        <v>0.65307870370370369</v>
      </c>
      <c r="J2478">
        <v>15</v>
      </c>
      <c r="R2478" t="s">
        <v>30</v>
      </c>
      <c r="W2478">
        <v>1</v>
      </c>
      <c r="X2478" t="s">
        <v>30</v>
      </c>
      <c r="AC2478" t="s">
        <v>5577</v>
      </c>
      <c r="AE2478" s="135"/>
    </row>
    <row r="2479" spans="1:31" ht="12.5" customHeight="1" x14ac:dyDescent="0.35">
      <c r="A2479" t="s">
        <v>396</v>
      </c>
      <c r="C2479" t="s">
        <v>5578</v>
      </c>
      <c r="D2479" t="s">
        <v>385</v>
      </c>
      <c r="E2479" s="133">
        <v>45841</v>
      </c>
      <c r="F2479" s="2">
        <v>0.15314814814814814</v>
      </c>
      <c r="G2479">
        <v>3</v>
      </c>
      <c r="H2479" s="133">
        <v>45840</v>
      </c>
      <c r="I2479" s="2">
        <v>0.65314814814814814</v>
      </c>
      <c r="J2479">
        <v>15</v>
      </c>
      <c r="R2479" t="s">
        <v>30</v>
      </c>
      <c r="W2479">
        <v>1</v>
      </c>
      <c r="X2479" t="s">
        <v>30</v>
      </c>
      <c r="AC2479" t="s">
        <v>5579</v>
      </c>
      <c r="AE2479" s="135"/>
    </row>
    <row r="2480" spans="1:31" ht="12.5" customHeight="1" x14ac:dyDescent="0.35">
      <c r="A2480" t="s">
        <v>396</v>
      </c>
      <c r="C2480" t="s">
        <v>5580</v>
      </c>
      <c r="D2480" t="s">
        <v>385</v>
      </c>
      <c r="E2480" s="133">
        <v>45841</v>
      </c>
      <c r="F2480" s="2">
        <v>0.15324074074074073</v>
      </c>
      <c r="G2480">
        <v>3</v>
      </c>
      <c r="H2480" s="133">
        <v>45840</v>
      </c>
      <c r="I2480" s="2">
        <v>0.65324074074074068</v>
      </c>
      <c r="J2480">
        <v>15</v>
      </c>
      <c r="R2480" t="s">
        <v>30</v>
      </c>
      <c r="W2480">
        <v>1</v>
      </c>
      <c r="X2480" t="s">
        <v>30</v>
      </c>
      <c r="AC2480" t="s">
        <v>5581</v>
      </c>
      <c r="AE2480" s="135"/>
    </row>
    <row r="2481" spans="1:31" ht="12.5" customHeight="1" x14ac:dyDescent="0.35">
      <c r="A2481" t="s">
        <v>396</v>
      </c>
      <c r="C2481" t="s">
        <v>5582</v>
      </c>
      <c r="D2481" t="s">
        <v>385</v>
      </c>
      <c r="E2481" s="133">
        <v>45841</v>
      </c>
      <c r="F2481" s="2">
        <v>0.15333333333333332</v>
      </c>
      <c r="G2481">
        <v>3</v>
      </c>
      <c r="H2481" s="133">
        <v>45840</v>
      </c>
      <c r="I2481" s="2">
        <v>0.65333333333333332</v>
      </c>
      <c r="J2481">
        <v>15</v>
      </c>
      <c r="R2481" t="s">
        <v>30</v>
      </c>
      <c r="W2481">
        <v>1</v>
      </c>
      <c r="X2481" t="s">
        <v>30</v>
      </c>
      <c r="AC2481" t="s">
        <v>5583</v>
      </c>
      <c r="AE2481" s="135"/>
    </row>
    <row r="2482" spans="1:31" ht="12.5" customHeight="1" x14ac:dyDescent="0.35">
      <c r="A2482" t="s">
        <v>396</v>
      </c>
      <c r="C2482" t="s">
        <v>5584</v>
      </c>
      <c r="D2482" t="s">
        <v>385</v>
      </c>
      <c r="E2482" s="133">
        <v>45841</v>
      </c>
      <c r="F2482" s="2">
        <v>0.15340277777777778</v>
      </c>
      <c r="G2482">
        <v>3</v>
      </c>
      <c r="H2482" s="133">
        <v>45840</v>
      </c>
      <c r="I2482" s="2">
        <v>0.65340277777777778</v>
      </c>
      <c r="J2482">
        <v>15</v>
      </c>
      <c r="R2482" t="s">
        <v>432</v>
      </c>
      <c r="S2482">
        <v>4</v>
      </c>
      <c r="T2482">
        <v>0</v>
      </c>
      <c r="U2482">
        <v>0</v>
      </c>
      <c r="V2482">
        <v>0</v>
      </c>
      <c r="W2482">
        <v>1</v>
      </c>
      <c r="X2482" t="s">
        <v>30</v>
      </c>
      <c r="AC2482" t="s">
        <v>5585</v>
      </c>
      <c r="AE2482" s="135"/>
    </row>
    <row r="2483" spans="1:31" ht="12.5" customHeight="1" x14ac:dyDescent="0.35">
      <c r="A2483" t="s">
        <v>396</v>
      </c>
      <c r="C2483" t="s">
        <v>5586</v>
      </c>
      <c r="D2483" t="s">
        <v>385</v>
      </c>
      <c r="E2483" s="133">
        <v>45841</v>
      </c>
      <c r="F2483" s="2">
        <v>0.15354166666666666</v>
      </c>
      <c r="G2483">
        <v>3</v>
      </c>
      <c r="H2483" s="133">
        <v>45840</v>
      </c>
      <c r="I2483" s="2">
        <v>0.65354166666666669</v>
      </c>
      <c r="J2483">
        <v>15</v>
      </c>
      <c r="R2483" t="s">
        <v>30</v>
      </c>
      <c r="W2483">
        <v>1</v>
      </c>
      <c r="X2483" t="s">
        <v>30</v>
      </c>
      <c r="AC2483" t="s">
        <v>5587</v>
      </c>
      <c r="AE2483" s="135"/>
    </row>
    <row r="2484" spans="1:31" ht="12.5" customHeight="1" x14ac:dyDescent="0.35">
      <c r="A2484" t="s">
        <v>396</v>
      </c>
      <c r="C2484" t="s">
        <v>5588</v>
      </c>
      <c r="D2484" t="s">
        <v>385</v>
      </c>
      <c r="E2484" s="133">
        <v>45841</v>
      </c>
      <c r="F2484" s="2">
        <v>0.15363425925925925</v>
      </c>
      <c r="G2484">
        <v>3</v>
      </c>
      <c r="H2484" s="133">
        <v>45840</v>
      </c>
      <c r="I2484" s="2">
        <v>0.65363425925925933</v>
      </c>
      <c r="J2484">
        <v>15</v>
      </c>
      <c r="R2484" t="s">
        <v>30</v>
      </c>
      <c r="W2484">
        <v>1</v>
      </c>
      <c r="X2484" t="s">
        <v>30</v>
      </c>
      <c r="AC2484" t="s">
        <v>5589</v>
      </c>
      <c r="AE2484" s="135"/>
    </row>
    <row r="2485" spans="1:31" ht="12.5" customHeight="1" x14ac:dyDescent="0.35">
      <c r="A2485" t="s">
        <v>396</v>
      </c>
      <c r="C2485" t="s">
        <v>5590</v>
      </c>
      <c r="D2485" t="s">
        <v>385</v>
      </c>
      <c r="E2485" s="133">
        <v>45841</v>
      </c>
      <c r="F2485" s="2">
        <v>0.15372685185185184</v>
      </c>
      <c r="G2485">
        <v>3</v>
      </c>
      <c r="H2485" s="133">
        <v>45840</v>
      </c>
      <c r="I2485" s="2">
        <v>0.65372685185185186</v>
      </c>
      <c r="J2485">
        <v>15</v>
      </c>
      <c r="R2485" t="s">
        <v>30</v>
      </c>
      <c r="W2485">
        <v>1</v>
      </c>
      <c r="X2485" t="s">
        <v>30</v>
      </c>
      <c r="AC2485" t="s">
        <v>5591</v>
      </c>
      <c r="AE2485" s="135"/>
    </row>
    <row r="2486" spans="1:31" ht="12.5" customHeight="1" x14ac:dyDescent="0.35">
      <c r="A2486" t="s">
        <v>396</v>
      </c>
      <c r="C2486" t="s">
        <v>5592</v>
      </c>
      <c r="D2486" t="s">
        <v>385</v>
      </c>
      <c r="E2486" s="133">
        <v>45841</v>
      </c>
      <c r="F2486" s="2">
        <v>0.15381944444444443</v>
      </c>
      <c r="G2486">
        <v>3</v>
      </c>
      <c r="H2486" s="133">
        <v>45840</v>
      </c>
      <c r="I2486" s="2">
        <v>0.6538194444444444</v>
      </c>
      <c r="J2486">
        <v>15</v>
      </c>
      <c r="R2486" t="s">
        <v>30</v>
      </c>
      <c r="W2486">
        <v>1</v>
      </c>
      <c r="X2486" t="s">
        <v>30</v>
      </c>
      <c r="AC2486" t="s">
        <v>5593</v>
      </c>
      <c r="AE2486" s="135"/>
    </row>
    <row r="2487" spans="1:31" ht="12.5" customHeight="1" x14ac:dyDescent="0.35">
      <c r="A2487" t="s">
        <v>396</v>
      </c>
      <c r="C2487" t="s">
        <v>5594</v>
      </c>
      <c r="D2487" t="s">
        <v>385</v>
      </c>
      <c r="E2487" s="133">
        <v>45841</v>
      </c>
      <c r="F2487" s="2">
        <v>0.15391203703703704</v>
      </c>
      <c r="G2487">
        <v>3</v>
      </c>
      <c r="H2487" s="133">
        <v>45840</v>
      </c>
      <c r="I2487" s="2">
        <v>0.65391203703703704</v>
      </c>
      <c r="J2487">
        <v>15</v>
      </c>
      <c r="R2487" t="s">
        <v>30</v>
      </c>
      <c r="W2487">
        <v>1</v>
      </c>
      <c r="X2487" t="s">
        <v>30</v>
      </c>
      <c r="AC2487" t="s">
        <v>5595</v>
      </c>
      <c r="AE2487" s="135"/>
    </row>
    <row r="2488" spans="1:31" ht="12.5" customHeight="1" x14ac:dyDescent="0.35">
      <c r="A2488" t="s">
        <v>396</v>
      </c>
      <c r="C2488" t="s">
        <v>5596</v>
      </c>
      <c r="D2488" t="s">
        <v>385</v>
      </c>
      <c r="E2488" s="133">
        <v>45841</v>
      </c>
      <c r="F2488" s="2">
        <v>0.15398148148148147</v>
      </c>
      <c r="G2488">
        <v>3</v>
      </c>
      <c r="H2488" s="133">
        <v>45840</v>
      </c>
      <c r="I2488" s="2">
        <v>0.6539814814814815</v>
      </c>
      <c r="J2488">
        <v>15</v>
      </c>
      <c r="R2488" t="s">
        <v>30</v>
      </c>
      <c r="W2488">
        <v>1</v>
      </c>
      <c r="X2488" t="s">
        <v>30</v>
      </c>
      <c r="AC2488" t="s">
        <v>5597</v>
      </c>
      <c r="AE2488" s="135"/>
    </row>
    <row r="2489" spans="1:31" ht="12.5" customHeight="1" x14ac:dyDescent="0.35">
      <c r="A2489" t="s">
        <v>396</v>
      </c>
      <c r="C2489" t="s">
        <v>5598</v>
      </c>
      <c r="D2489" t="s">
        <v>385</v>
      </c>
      <c r="E2489" s="133">
        <v>45841</v>
      </c>
      <c r="F2489" s="2">
        <v>0.15407407407407406</v>
      </c>
      <c r="G2489">
        <v>3</v>
      </c>
      <c r="H2489" s="133">
        <v>45840</v>
      </c>
      <c r="I2489" s="2">
        <v>0.65407407407407414</v>
      </c>
      <c r="J2489">
        <v>15</v>
      </c>
      <c r="R2489" t="s">
        <v>30</v>
      </c>
      <c r="W2489">
        <v>1</v>
      </c>
      <c r="X2489" t="s">
        <v>30</v>
      </c>
      <c r="AC2489" t="s">
        <v>5599</v>
      </c>
      <c r="AE2489" s="135"/>
    </row>
    <row r="2490" spans="1:31" ht="12.5" customHeight="1" x14ac:dyDescent="0.35">
      <c r="A2490" t="s">
        <v>396</v>
      </c>
      <c r="C2490" t="s">
        <v>5600</v>
      </c>
      <c r="D2490" t="s">
        <v>385</v>
      </c>
      <c r="E2490" s="133">
        <v>45841</v>
      </c>
      <c r="F2490" s="2">
        <v>0.15421296296296297</v>
      </c>
      <c r="G2490">
        <v>3</v>
      </c>
      <c r="H2490" s="133">
        <v>45840</v>
      </c>
      <c r="I2490" s="2">
        <v>0.65421296296296294</v>
      </c>
      <c r="J2490">
        <v>15</v>
      </c>
      <c r="R2490" t="s">
        <v>30</v>
      </c>
      <c r="W2490">
        <v>1</v>
      </c>
      <c r="X2490" t="s">
        <v>30</v>
      </c>
      <c r="AC2490" t="s">
        <v>5601</v>
      </c>
      <c r="AE2490" s="135"/>
    </row>
    <row r="2491" spans="1:31" ht="12.5" customHeight="1" x14ac:dyDescent="0.35">
      <c r="A2491" t="s">
        <v>396</v>
      </c>
      <c r="C2491" t="s">
        <v>5602</v>
      </c>
      <c r="D2491" t="s">
        <v>385</v>
      </c>
      <c r="E2491" s="133">
        <v>45841</v>
      </c>
      <c r="F2491" s="2">
        <v>0.15432870370370369</v>
      </c>
      <c r="G2491">
        <v>3</v>
      </c>
      <c r="H2491" s="133">
        <v>45840</v>
      </c>
      <c r="I2491" s="2">
        <v>0.65432870370370366</v>
      </c>
      <c r="J2491">
        <v>15</v>
      </c>
      <c r="R2491" t="s">
        <v>30</v>
      </c>
      <c r="W2491">
        <v>1</v>
      </c>
      <c r="X2491" t="s">
        <v>30</v>
      </c>
      <c r="AC2491" t="s">
        <v>5603</v>
      </c>
      <c r="AE2491" s="135"/>
    </row>
    <row r="2492" spans="1:31" ht="12.5" customHeight="1" x14ac:dyDescent="0.35">
      <c r="A2492" t="s">
        <v>396</v>
      </c>
      <c r="C2492" t="s">
        <v>5604</v>
      </c>
      <c r="D2492" t="s">
        <v>385</v>
      </c>
      <c r="E2492" s="133">
        <v>45841</v>
      </c>
      <c r="F2492" s="2">
        <v>0.15439814814814815</v>
      </c>
      <c r="G2492">
        <v>3</v>
      </c>
      <c r="H2492" s="133">
        <v>45840</v>
      </c>
      <c r="I2492" s="2">
        <v>0.65439814814814812</v>
      </c>
      <c r="J2492">
        <v>15</v>
      </c>
      <c r="R2492" t="s">
        <v>30</v>
      </c>
      <c r="W2492">
        <v>1</v>
      </c>
      <c r="X2492" t="s">
        <v>30</v>
      </c>
      <c r="AC2492" t="s">
        <v>5605</v>
      </c>
      <c r="AE2492" s="135"/>
    </row>
    <row r="2493" spans="1:31" ht="12.5" customHeight="1" x14ac:dyDescent="0.35">
      <c r="A2493" t="s">
        <v>396</v>
      </c>
      <c r="C2493" t="s">
        <v>5606</v>
      </c>
      <c r="D2493" t="s">
        <v>385</v>
      </c>
      <c r="E2493" s="133">
        <v>45841</v>
      </c>
      <c r="F2493" s="2">
        <v>0.1544675925925926</v>
      </c>
      <c r="G2493">
        <v>3</v>
      </c>
      <c r="H2493" s="133">
        <v>45840</v>
      </c>
      <c r="I2493" s="2">
        <v>0.65446759259259257</v>
      </c>
      <c r="J2493">
        <v>15</v>
      </c>
      <c r="R2493" t="s">
        <v>30</v>
      </c>
      <c r="W2493">
        <v>1</v>
      </c>
      <c r="X2493" t="s">
        <v>30</v>
      </c>
      <c r="AC2493" t="s">
        <v>5607</v>
      </c>
      <c r="AE2493" s="135"/>
    </row>
    <row r="2494" spans="1:31" ht="12.5" customHeight="1" x14ac:dyDescent="0.35">
      <c r="A2494" t="s">
        <v>396</v>
      </c>
      <c r="C2494" t="s">
        <v>5608</v>
      </c>
      <c r="D2494" t="s">
        <v>385</v>
      </c>
      <c r="E2494" s="133">
        <v>45841</v>
      </c>
      <c r="F2494" s="2">
        <v>0.15456018518518519</v>
      </c>
      <c r="G2494">
        <v>3</v>
      </c>
      <c r="H2494" s="133">
        <v>45840</v>
      </c>
      <c r="I2494" s="2">
        <v>0.65456018518518522</v>
      </c>
      <c r="J2494">
        <v>15</v>
      </c>
      <c r="R2494" t="s">
        <v>30</v>
      </c>
      <c r="W2494">
        <v>1</v>
      </c>
      <c r="X2494" t="s">
        <v>30</v>
      </c>
      <c r="AC2494" t="s">
        <v>5609</v>
      </c>
      <c r="AE2494" s="135"/>
    </row>
    <row r="2495" spans="1:31" ht="12.5" customHeight="1" x14ac:dyDescent="0.35">
      <c r="A2495" t="s">
        <v>396</v>
      </c>
      <c r="C2495" t="s">
        <v>5610</v>
      </c>
      <c r="D2495" t="s">
        <v>385</v>
      </c>
      <c r="E2495" s="133">
        <v>45841</v>
      </c>
      <c r="F2495" s="2">
        <v>0.15465277777777778</v>
      </c>
      <c r="G2495">
        <v>3</v>
      </c>
      <c r="H2495" s="133">
        <v>45840</v>
      </c>
      <c r="I2495" s="2">
        <v>0.65465277777777775</v>
      </c>
      <c r="J2495">
        <v>15</v>
      </c>
      <c r="R2495" t="s">
        <v>30</v>
      </c>
      <c r="W2495">
        <v>1</v>
      </c>
      <c r="X2495" t="s">
        <v>30</v>
      </c>
      <c r="AC2495" t="s">
        <v>5611</v>
      </c>
      <c r="AE2495" s="135"/>
    </row>
    <row r="2496" spans="1:31" ht="12.5" customHeight="1" x14ac:dyDescent="0.35">
      <c r="A2496" t="s">
        <v>396</v>
      </c>
      <c r="C2496" t="s">
        <v>5612</v>
      </c>
      <c r="D2496" t="s">
        <v>385</v>
      </c>
      <c r="E2496" s="133">
        <v>45841</v>
      </c>
      <c r="F2496" s="2">
        <v>0.15474537037037037</v>
      </c>
      <c r="G2496">
        <v>3</v>
      </c>
      <c r="H2496" s="133">
        <v>45840</v>
      </c>
      <c r="I2496" s="2">
        <v>0.65474537037037039</v>
      </c>
      <c r="J2496">
        <v>15</v>
      </c>
      <c r="R2496" t="s">
        <v>30</v>
      </c>
      <c r="W2496">
        <v>1</v>
      </c>
      <c r="X2496" t="s">
        <v>30</v>
      </c>
      <c r="AC2496" t="s">
        <v>5613</v>
      </c>
      <c r="AE2496" s="135"/>
    </row>
    <row r="2497" spans="1:31" ht="12.5" customHeight="1" x14ac:dyDescent="0.35">
      <c r="A2497" t="s">
        <v>396</v>
      </c>
      <c r="C2497" t="s">
        <v>5614</v>
      </c>
      <c r="D2497" t="s">
        <v>385</v>
      </c>
      <c r="E2497" s="133">
        <v>45841</v>
      </c>
      <c r="F2497" s="2">
        <v>0.15483796296296296</v>
      </c>
      <c r="G2497">
        <v>3</v>
      </c>
      <c r="H2497" s="133">
        <v>45840</v>
      </c>
      <c r="I2497" s="2">
        <v>0.65483796296296293</v>
      </c>
      <c r="J2497">
        <v>15</v>
      </c>
      <c r="R2497" t="s">
        <v>30</v>
      </c>
      <c r="W2497">
        <v>1</v>
      </c>
      <c r="X2497" t="s">
        <v>30</v>
      </c>
      <c r="AC2497" t="s">
        <v>5615</v>
      </c>
      <c r="AE2497" s="135"/>
    </row>
    <row r="2498" spans="1:31" ht="12.5" customHeight="1" x14ac:dyDescent="0.35">
      <c r="A2498" t="s">
        <v>396</v>
      </c>
      <c r="C2498" t="s">
        <v>5616</v>
      </c>
      <c r="D2498" t="s">
        <v>385</v>
      </c>
      <c r="E2498" s="133">
        <v>45841</v>
      </c>
      <c r="F2498" s="2">
        <v>0.15490740740740741</v>
      </c>
      <c r="G2498">
        <v>3</v>
      </c>
      <c r="H2498" s="133">
        <v>45840</v>
      </c>
      <c r="I2498" s="2">
        <v>0.65490740740740738</v>
      </c>
      <c r="J2498">
        <v>15</v>
      </c>
      <c r="R2498" t="s">
        <v>30</v>
      </c>
      <c r="W2498">
        <v>1</v>
      </c>
      <c r="X2498" t="s">
        <v>30</v>
      </c>
      <c r="AC2498" t="s">
        <v>5617</v>
      </c>
      <c r="AE2498" s="135"/>
    </row>
    <row r="2499" spans="1:31" ht="12.5" customHeight="1" x14ac:dyDescent="0.35">
      <c r="A2499" t="s">
        <v>396</v>
      </c>
      <c r="C2499" t="s">
        <v>5618</v>
      </c>
      <c r="D2499" t="s">
        <v>385</v>
      </c>
      <c r="E2499" s="133">
        <v>45841</v>
      </c>
      <c r="F2499" s="2">
        <v>0.15506944444444445</v>
      </c>
      <c r="G2499">
        <v>3</v>
      </c>
      <c r="H2499" s="133">
        <v>45840</v>
      </c>
      <c r="I2499" s="2">
        <v>0.65506944444444437</v>
      </c>
      <c r="J2499">
        <v>15</v>
      </c>
      <c r="R2499" t="s">
        <v>30</v>
      </c>
      <c r="W2499">
        <v>1</v>
      </c>
      <c r="X2499" t="s">
        <v>30</v>
      </c>
      <c r="AC2499" t="s">
        <v>5619</v>
      </c>
      <c r="AE2499" s="135"/>
    </row>
    <row r="2500" spans="1:31" ht="12.5" customHeight="1" x14ac:dyDescent="0.35">
      <c r="A2500" t="s">
        <v>396</v>
      </c>
      <c r="C2500" t="s">
        <v>5620</v>
      </c>
      <c r="D2500" t="s">
        <v>385</v>
      </c>
      <c r="E2500" s="133">
        <v>45841</v>
      </c>
      <c r="F2500" s="2">
        <v>0.15513888888888888</v>
      </c>
      <c r="G2500">
        <v>3</v>
      </c>
      <c r="H2500" s="133">
        <v>45840</v>
      </c>
      <c r="I2500" s="2">
        <v>0.65513888888888883</v>
      </c>
      <c r="J2500">
        <v>15</v>
      </c>
      <c r="R2500" t="s">
        <v>30</v>
      </c>
      <c r="W2500">
        <v>1</v>
      </c>
      <c r="X2500" t="s">
        <v>30</v>
      </c>
      <c r="AC2500" t="s">
        <v>5621</v>
      </c>
      <c r="AE2500" s="135"/>
    </row>
    <row r="2501" spans="1:31" ht="12.5" customHeight="1" x14ac:dyDescent="0.35">
      <c r="A2501" t="s">
        <v>396</v>
      </c>
      <c r="C2501" t="s">
        <v>5622</v>
      </c>
      <c r="D2501" t="s">
        <v>385</v>
      </c>
      <c r="E2501" s="133">
        <v>45841</v>
      </c>
      <c r="F2501" s="2">
        <v>0.15520833333333334</v>
      </c>
      <c r="G2501">
        <v>3</v>
      </c>
      <c r="H2501" s="133">
        <v>45840</v>
      </c>
      <c r="I2501" s="2">
        <v>0.65520833333333328</v>
      </c>
      <c r="J2501">
        <v>15</v>
      </c>
      <c r="R2501" t="s">
        <v>30</v>
      </c>
      <c r="W2501">
        <v>1</v>
      </c>
      <c r="X2501" t="s">
        <v>30</v>
      </c>
      <c r="AC2501" t="s">
        <v>5623</v>
      </c>
      <c r="AE2501" s="135"/>
    </row>
    <row r="2502" spans="1:31" ht="12.5" customHeight="1" x14ac:dyDescent="0.35">
      <c r="A2502" t="s">
        <v>396</v>
      </c>
      <c r="C2502" t="s">
        <v>5624</v>
      </c>
      <c r="D2502" t="s">
        <v>385</v>
      </c>
      <c r="E2502" s="133">
        <v>45841</v>
      </c>
      <c r="F2502" s="2">
        <v>0.15530092592592593</v>
      </c>
      <c r="G2502">
        <v>3</v>
      </c>
      <c r="H2502" s="133">
        <v>45840</v>
      </c>
      <c r="I2502" s="2">
        <v>0.65530092592592593</v>
      </c>
      <c r="J2502">
        <v>15</v>
      </c>
      <c r="R2502" t="s">
        <v>30</v>
      </c>
      <c r="W2502">
        <v>1</v>
      </c>
      <c r="X2502" t="s">
        <v>30</v>
      </c>
      <c r="AC2502" t="s">
        <v>5625</v>
      </c>
      <c r="AE2502" s="135"/>
    </row>
    <row r="2503" spans="1:31" ht="12.5" customHeight="1" x14ac:dyDescent="0.35">
      <c r="A2503" t="s">
        <v>396</v>
      </c>
      <c r="C2503" t="s">
        <v>5626</v>
      </c>
      <c r="D2503" t="s">
        <v>385</v>
      </c>
      <c r="E2503" s="133">
        <v>45841</v>
      </c>
      <c r="F2503" s="2">
        <v>0.15539351851851851</v>
      </c>
      <c r="G2503">
        <v>3</v>
      </c>
      <c r="H2503" s="133">
        <v>45840</v>
      </c>
      <c r="I2503" s="2">
        <v>0.65539351851851857</v>
      </c>
      <c r="J2503">
        <v>15</v>
      </c>
      <c r="R2503" t="s">
        <v>30</v>
      </c>
      <c r="W2503">
        <v>1</v>
      </c>
      <c r="X2503" t="s">
        <v>30</v>
      </c>
      <c r="AC2503" t="s">
        <v>5627</v>
      </c>
      <c r="AE2503" s="135"/>
    </row>
    <row r="2504" spans="1:31" ht="12.5" customHeight="1" x14ac:dyDescent="0.35">
      <c r="A2504" t="s">
        <v>396</v>
      </c>
      <c r="C2504" t="s">
        <v>5628</v>
      </c>
      <c r="D2504" t="s">
        <v>385</v>
      </c>
      <c r="E2504" s="133">
        <v>45841</v>
      </c>
      <c r="F2504" s="2">
        <v>0.1554861111111111</v>
      </c>
      <c r="G2504">
        <v>3</v>
      </c>
      <c r="H2504" s="133">
        <v>45840</v>
      </c>
      <c r="I2504" s="2">
        <v>0.6554861111111111</v>
      </c>
      <c r="J2504">
        <v>15</v>
      </c>
      <c r="R2504" t="s">
        <v>30</v>
      </c>
      <c r="W2504">
        <v>1</v>
      </c>
      <c r="X2504" t="s">
        <v>30</v>
      </c>
      <c r="AC2504" t="s">
        <v>5629</v>
      </c>
      <c r="AE2504" s="135"/>
    </row>
    <row r="2505" spans="1:31" ht="12.5" customHeight="1" x14ac:dyDescent="0.35">
      <c r="A2505" t="s">
        <v>396</v>
      </c>
      <c r="C2505" t="s">
        <v>5630</v>
      </c>
      <c r="D2505" t="s">
        <v>385</v>
      </c>
      <c r="E2505" s="133">
        <v>45841</v>
      </c>
      <c r="F2505" s="2">
        <v>0.15555555555555556</v>
      </c>
      <c r="G2505">
        <v>3</v>
      </c>
      <c r="H2505" s="133">
        <v>45840</v>
      </c>
      <c r="I2505" s="2">
        <v>0.65555555555555556</v>
      </c>
      <c r="J2505">
        <v>15</v>
      </c>
      <c r="R2505" t="s">
        <v>30</v>
      </c>
      <c r="W2505">
        <v>1</v>
      </c>
      <c r="X2505" t="s">
        <v>30</v>
      </c>
      <c r="AC2505" t="s">
        <v>5631</v>
      </c>
      <c r="AE2505" s="135"/>
    </row>
    <row r="2506" spans="1:31" ht="12.5" customHeight="1" x14ac:dyDescent="0.35">
      <c r="A2506" t="s">
        <v>396</v>
      </c>
      <c r="C2506" t="s">
        <v>5632</v>
      </c>
      <c r="D2506" t="s">
        <v>385</v>
      </c>
      <c r="E2506" s="133">
        <v>45841</v>
      </c>
      <c r="F2506" s="2">
        <v>0.15567129629629631</v>
      </c>
      <c r="G2506">
        <v>3</v>
      </c>
      <c r="H2506" s="133">
        <v>45840</v>
      </c>
      <c r="I2506" s="2">
        <v>0.65567129629629628</v>
      </c>
      <c r="J2506">
        <v>15</v>
      </c>
      <c r="R2506" t="s">
        <v>30</v>
      </c>
      <c r="W2506">
        <v>1</v>
      </c>
      <c r="X2506" t="s">
        <v>30</v>
      </c>
      <c r="AC2506" t="s">
        <v>5633</v>
      </c>
      <c r="AE2506" s="135"/>
    </row>
    <row r="2507" spans="1:31" ht="12.5" customHeight="1" x14ac:dyDescent="0.35">
      <c r="A2507" t="s">
        <v>396</v>
      </c>
      <c r="C2507" t="s">
        <v>5634</v>
      </c>
      <c r="D2507" t="s">
        <v>385</v>
      </c>
      <c r="E2507" s="133">
        <v>45841</v>
      </c>
      <c r="F2507" s="2">
        <v>0.1557638888888889</v>
      </c>
      <c r="G2507">
        <v>3</v>
      </c>
      <c r="H2507" s="133">
        <v>45840</v>
      </c>
      <c r="I2507" s="2">
        <v>0.65576388888888892</v>
      </c>
      <c r="J2507">
        <v>15</v>
      </c>
      <c r="R2507" t="s">
        <v>30</v>
      </c>
      <c r="W2507">
        <v>1</v>
      </c>
      <c r="X2507" t="s">
        <v>30</v>
      </c>
      <c r="AC2507" t="s">
        <v>5635</v>
      </c>
      <c r="AE2507" s="135"/>
    </row>
    <row r="2508" spans="1:31" ht="12.5" customHeight="1" x14ac:dyDescent="0.35">
      <c r="A2508" t="s">
        <v>396</v>
      </c>
      <c r="C2508" t="s">
        <v>5636</v>
      </c>
      <c r="D2508" t="s">
        <v>385</v>
      </c>
      <c r="E2508" s="133">
        <v>45841</v>
      </c>
      <c r="F2508" s="2">
        <v>0.15587962962962962</v>
      </c>
      <c r="G2508">
        <v>3</v>
      </c>
      <c r="H2508" s="133">
        <v>45840</v>
      </c>
      <c r="I2508" s="2">
        <v>0.65587962962962965</v>
      </c>
      <c r="J2508">
        <v>15</v>
      </c>
      <c r="R2508" t="s">
        <v>30</v>
      </c>
      <c r="W2508">
        <v>1</v>
      </c>
      <c r="X2508" t="s">
        <v>30</v>
      </c>
      <c r="AC2508" t="s">
        <v>5637</v>
      </c>
      <c r="AE2508" s="135"/>
    </row>
    <row r="2509" spans="1:31" ht="12.5" customHeight="1" x14ac:dyDescent="0.35">
      <c r="A2509" t="s">
        <v>396</v>
      </c>
      <c r="C2509" t="s">
        <v>5638</v>
      </c>
      <c r="D2509" t="s">
        <v>385</v>
      </c>
      <c r="E2509" s="133">
        <v>45841</v>
      </c>
      <c r="F2509" s="2">
        <v>0.15594907407407407</v>
      </c>
      <c r="G2509">
        <v>3</v>
      </c>
      <c r="H2509" s="133">
        <v>45840</v>
      </c>
      <c r="I2509" s="2">
        <v>0.6559490740740741</v>
      </c>
      <c r="J2509">
        <v>15</v>
      </c>
      <c r="R2509" t="s">
        <v>30</v>
      </c>
      <c r="W2509">
        <v>1</v>
      </c>
      <c r="X2509" t="s">
        <v>30</v>
      </c>
      <c r="AC2509" t="s">
        <v>5639</v>
      </c>
      <c r="AE2509" s="135"/>
    </row>
    <row r="2510" spans="1:31" ht="12.5" customHeight="1" x14ac:dyDescent="0.35">
      <c r="A2510" t="s">
        <v>396</v>
      </c>
      <c r="C2510" t="s">
        <v>5640</v>
      </c>
      <c r="D2510" t="s">
        <v>385</v>
      </c>
      <c r="E2510" s="133">
        <v>45841</v>
      </c>
      <c r="F2510" s="2">
        <v>0.15604166666666666</v>
      </c>
      <c r="G2510">
        <v>3</v>
      </c>
      <c r="H2510" s="133">
        <v>45840</v>
      </c>
      <c r="I2510" s="2">
        <v>0.65604166666666663</v>
      </c>
      <c r="J2510">
        <v>15</v>
      </c>
      <c r="R2510" t="s">
        <v>30</v>
      </c>
      <c r="W2510">
        <v>1</v>
      </c>
      <c r="X2510" t="s">
        <v>30</v>
      </c>
      <c r="AC2510" t="s">
        <v>5641</v>
      </c>
      <c r="AE2510" s="135"/>
    </row>
    <row r="2511" spans="1:31" ht="12.5" customHeight="1" x14ac:dyDescent="0.35">
      <c r="A2511" t="s">
        <v>396</v>
      </c>
      <c r="C2511" t="s">
        <v>5642</v>
      </c>
      <c r="D2511" t="s">
        <v>385</v>
      </c>
      <c r="E2511" s="133">
        <v>45841</v>
      </c>
      <c r="F2511" s="2">
        <v>0.15620370370370371</v>
      </c>
      <c r="G2511">
        <v>3</v>
      </c>
      <c r="H2511" s="133">
        <v>45840</v>
      </c>
      <c r="I2511" s="2">
        <v>0.65620370370370373</v>
      </c>
      <c r="J2511">
        <v>15</v>
      </c>
      <c r="R2511" t="s">
        <v>30</v>
      </c>
      <c r="W2511">
        <v>1</v>
      </c>
      <c r="X2511" t="s">
        <v>30</v>
      </c>
      <c r="AC2511" t="s">
        <v>5643</v>
      </c>
      <c r="AE2511" s="135"/>
    </row>
    <row r="2512" spans="1:31" ht="12.5" customHeight="1" x14ac:dyDescent="0.35">
      <c r="A2512" t="s">
        <v>396</v>
      </c>
      <c r="C2512" t="s">
        <v>5644</v>
      </c>
      <c r="D2512" t="s">
        <v>385</v>
      </c>
      <c r="E2512" s="133">
        <v>45841</v>
      </c>
      <c r="F2512" s="2">
        <v>0.15634259259259259</v>
      </c>
      <c r="G2512">
        <v>3</v>
      </c>
      <c r="H2512" s="133">
        <v>45840</v>
      </c>
      <c r="I2512" s="2">
        <v>0.65634259259259264</v>
      </c>
      <c r="J2512">
        <v>15</v>
      </c>
      <c r="R2512" t="s">
        <v>30</v>
      </c>
      <c r="W2512">
        <v>1</v>
      </c>
      <c r="X2512" t="s">
        <v>30</v>
      </c>
      <c r="AC2512" t="s">
        <v>5645</v>
      </c>
      <c r="AE2512" s="135"/>
    </row>
    <row r="2513" spans="1:31" ht="12.5" customHeight="1" x14ac:dyDescent="0.35">
      <c r="A2513" t="s">
        <v>396</v>
      </c>
      <c r="C2513" t="s">
        <v>5646</v>
      </c>
      <c r="D2513" t="s">
        <v>385</v>
      </c>
      <c r="E2513" s="133">
        <v>45841</v>
      </c>
      <c r="F2513" s="2">
        <v>0.15641203703703704</v>
      </c>
      <c r="G2513">
        <v>3</v>
      </c>
      <c r="H2513" s="133">
        <v>45840</v>
      </c>
      <c r="I2513" s="2">
        <v>0.6564120370370371</v>
      </c>
      <c r="J2513">
        <v>15</v>
      </c>
      <c r="R2513" t="s">
        <v>30</v>
      </c>
      <c r="W2513">
        <v>1</v>
      </c>
      <c r="X2513" t="s">
        <v>30</v>
      </c>
      <c r="AC2513" t="s">
        <v>5647</v>
      </c>
      <c r="AE2513" s="135"/>
    </row>
    <row r="2514" spans="1:31" ht="12.5" customHeight="1" x14ac:dyDescent="0.35">
      <c r="A2514" t="s">
        <v>396</v>
      </c>
      <c r="C2514" t="s">
        <v>5648</v>
      </c>
      <c r="D2514" t="s">
        <v>385</v>
      </c>
      <c r="E2514" s="133">
        <v>45841</v>
      </c>
      <c r="F2514" s="2">
        <v>0.15652777777777779</v>
      </c>
      <c r="G2514">
        <v>3</v>
      </c>
      <c r="H2514" s="133">
        <v>45840</v>
      </c>
      <c r="I2514" s="2">
        <v>0.65652777777777771</v>
      </c>
      <c r="J2514">
        <v>15</v>
      </c>
      <c r="R2514" t="s">
        <v>30</v>
      </c>
      <c r="W2514">
        <v>1</v>
      </c>
      <c r="X2514" t="s">
        <v>30</v>
      </c>
      <c r="AC2514" t="s">
        <v>5649</v>
      </c>
      <c r="AE2514" s="135"/>
    </row>
    <row r="2515" spans="1:31" ht="12.5" customHeight="1" x14ac:dyDescent="0.35">
      <c r="A2515" t="s">
        <v>396</v>
      </c>
      <c r="C2515" t="s">
        <v>5650</v>
      </c>
      <c r="D2515" t="s">
        <v>385</v>
      </c>
      <c r="E2515" s="133">
        <v>45841</v>
      </c>
      <c r="F2515" s="2">
        <v>0.15659722222222222</v>
      </c>
      <c r="G2515">
        <v>3</v>
      </c>
      <c r="H2515" s="133">
        <v>45840</v>
      </c>
      <c r="I2515" s="2">
        <v>0.65659722222222217</v>
      </c>
      <c r="J2515">
        <v>15</v>
      </c>
      <c r="R2515" t="s">
        <v>30</v>
      </c>
      <c r="W2515">
        <v>1</v>
      </c>
      <c r="X2515" t="s">
        <v>30</v>
      </c>
      <c r="AC2515" t="s">
        <v>5651</v>
      </c>
      <c r="AE2515" s="135"/>
    </row>
    <row r="2516" spans="1:31" ht="12.5" customHeight="1" x14ac:dyDescent="0.35">
      <c r="A2516" t="s">
        <v>396</v>
      </c>
      <c r="C2516" t="s">
        <v>5652</v>
      </c>
      <c r="D2516" t="s">
        <v>385</v>
      </c>
      <c r="E2516" s="133">
        <v>45841</v>
      </c>
      <c r="F2516" s="2">
        <v>0.15668981481481481</v>
      </c>
      <c r="G2516">
        <v>3</v>
      </c>
      <c r="H2516" s="133">
        <v>45840</v>
      </c>
      <c r="I2516" s="2">
        <v>0.65668981481481481</v>
      </c>
      <c r="J2516">
        <v>15</v>
      </c>
      <c r="R2516" t="s">
        <v>30</v>
      </c>
      <c r="W2516">
        <v>1</v>
      </c>
      <c r="X2516" t="s">
        <v>30</v>
      </c>
      <c r="AC2516" t="s">
        <v>5653</v>
      </c>
      <c r="AE2516" s="135"/>
    </row>
    <row r="2517" spans="1:31" ht="12.5" customHeight="1" x14ac:dyDescent="0.35">
      <c r="A2517" t="s">
        <v>396</v>
      </c>
      <c r="C2517" t="s">
        <v>5654</v>
      </c>
      <c r="D2517" t="s">
        <v>385</v>
      </c>
      <c r="E2517" s="133">
        <v>45841</v>
      </c>
      <c r="F2517" s="2">
        <v>0.15682870370370369</v>
      </c>
      <c r="G2517">
        <v>3</v>
      </c>
      <c r="H2517" s="133">
        <v>45840</v>
      </c>
      <c r="I2517" s="2">
        <v>0.65682870370370372</v>
      </c>
      <c r="J2517">
        <v>15</v>
      </c>
      <c r="R2517" t="s">
        <v>30</v>
      </c>
      <c r="W2517">
        <v>1</v>
      </c>
      <c r="X2517" t="s">
        <v>30</v>
      </c>
      <c r="AC2517" t="s">
        <v>5655</v>
      </c>
      <c r="AE2517" s="135"/>
    </row>
    <row r="2518" spans="1:31" ht="12.5" customHeight="1" x14ac:dyDescent="0.35">
      <c r="A2518" t="s">
        <v>396</v>
      </c>
      <c r="C2518" t="s">
        <v>5656</v>
      </c>
      <c r="D2518" t="s">
        <v>385</v>
      </c>
      <c r="E2518" s="133">
        <v>45841</v>
      </c>
      <c r="F2518" s="2">
        <v>0.1569675925925926</v>
      </c>
      <c r="G2518">
        <v>3</v>
      </c>
      <c r="H2518" s="133">
        <v>45840</v>
      </c>
      <c r="I2518" s="2">
        <v>0.65696759259259252</v>
      </c>
      <c r="J2518">
        <v>15</v>
      </c>
      <c r="R2518" t="s">
        <v>30</v>
      </c>
      <c r="W2518">
        <v>1</v>
      </c>
      <c r="X2518" t="s">
        <v>30</v>
      </c>
      <c r="AC2518" t="s">
        <v>5657</v>
      </c>
      <c r="AE2518" s="135"/>
    </row>
    <row r="2519" spans="1:31" ht="12.5" customHeight="1" x14ac:dyDescent="0.35">
      <c r="A2519" t="s">
        <v>396</v>
      </c>
      <c r="C2519" t="s">
        <v>5658</v>
      </c>
      <c r="D2519" t="s">
        <v>385</v>
      </c>
      <c r="E2519" s="133">
        <v>45841</v>
      </c>
      <c r="F2519" s="2">
        <v>0.15706018518518519</v>
      </c>
      <c r="G2519">
        <v>3</v>
      </c>
      <c r="H2519" s="133">
        <v>45840</v>
      </c>
      <c r="I2519" s="2">
        <v>0.65706018518518516</v>
      </c>
      <c r="J2519">
        <v>15</v>
      </c>
      <c r="R2519" t="s">
        <v>30</v>
      </c>
      <c r="W2519">
        <v>1</v>
      </c>
      <c r="X2519" t="s">
        <v>30</v>
      </c>
      <c r="AC2519" t="s">
        <v>5659</v>
      </c>
      <c r="AE2519" s="135"/>
    </row>
    <row r="2520" spans="1:31" ht="12.5" customHeight="1" x14ac:dyDescent="0.35">
      <c r="A2520" t="s">
        <v>396</v>
      </c>
      <c r="C2520" t="s">
        <v>5660</v>
      </c>
      <c r="D2520" t="s">
        <v>385</v>
      </c>
      <c r="E2520" s="133">
        <v>45841</v>
      </c>
      <c r="F2520" s="2">
        <v>0.15712962962962962</v>
      </c>
      <c r="G2520">
        <v>3</v>
      </c>
      <c r="H2520" s="133">
        <v>45840</v>
      </c>
      <c r="I2520" s="2">
        <v>0.65712962962962962</v>
      </c>
      <c r="J2520">
        <v>15</v>
      </c>
      <c r="R2520" t="s">
        <v>30</v>
      </c>
      <c r="W2520">
        <v>1</v>
      </c>
      <c r="X2520" t="s">
        <v>30</v>
      </c>
      <c r="AC2520" t="s">
        <v>5661</v>
      </c>
      <c r="AE2520" s="135"/>
    </row>
    <row r="2521" spans="1:31" ht="12.5" customHeight="1" x14ac:dyDescent="0.35">
      <c r="A2521" t="s">
        <v>396</v>
      </c>
      <c r="C2521" t="s">
        <v>5662</v>
      </c>
      <c r="D2521" t="s">
        <v>385</v>
      </c>
      <c r="E2521" s="133">
        <v>45841</v>
      </c>
      <c r="F2521" s="2">
        <v>0.15724537037037037</v>
      </c>
      <c r="G2521">
        <v>3</v>
      </c>
      <c r="H2521" s="133">
        <v>45840</v>
      </c>
      <c r="I2521" s="2">
        <v>0.65724537037037034</v>
      </c>
      <c r="J2521">
        <v>15</v>
      </c>
      <c r="R2521" t="s">
        <v>30</v>
      </c>
      <c r="W2521">
        <v>1</v>
      </c>
      <c r="X2521" t="s">
        <v>30</v>
      </c>
      <c r="AC2521" t="s">
        <v>5663</v>
      </c>
      <c r="AE2521" s="135"/>
    </row>
    <row r="2522" spans="1:31" ht="12.5" customHeight="1" x14ac:dyDescent="0.35">
      <c r="A2522" t="s">
        <v>396</v>
      </c>
      <c r="C2522" t="s">
        <v>5664</v>
      </c>
      <c r="D2522" t="s">
        <v>385</v>
      </c>
      <c r="E2522" s="133">
        <v>45841</v>
      </c>
      <c r="F2522" s="2">
        <v>0.15736111111111112</v>
      </c>
      <c r="G2522">
        <v>3</v>
      </c>
      <c r="H2522" s="133">
        <v>45840</v>
      </c>
      <c r="I2522" s="2">
        <v>0.65736111111111117</v>
      </c>
      <c r="J2522">
        <v>15</v>
      </c>
      <c r="R2522" t="s">
        <v>30</v>
      </c>
      <c r="W2522">
        <v>1</v>
      </c>
      <c r="X2522" t="s">
        <v>30</v>
      </c>
      <c r="AC2522" t="s">
        <v>5665</v>
      </c>
      <c r="AE2522" s="135"/>
    </row>
    <row r="2523" spans="1:31" ht="12.5" customHeight="1" x14ac:dyDescent="0.35">
      <c r="A2523" t="s">
        <v>396</v>
      </c>
      <c r="C2523" t="s">
        <v>5666</v>
      </c>
      <c r="D2523" t="s">
        <v>385</v>
      </c>
      <c r="E2523" s="133">
        <v>45841</v>
      </c>
      <c r="F2523" s="2">
        <v>0.15745370370370371</v>
      </c>
      <c r="G2523">
        <v>3</v>
      </c>
      <c r="H2523" s="133">
        <v>45840</v>
      </c>
      <c r="I2523" s="2">
        <v>0.65745370370370371</v>
      </c>
      <c r="J2523">
        <v>15</v>
      </c>
      <c r="R2523" t="s">
        <v>30</v>
      </c>
      <c r="W2523">
        <v>1</v>
      </c>
      <c r="X2523" t="s">
        <v>30</v>
      </c>
      <c r="AC2523" t="s">
        <v>5667</v>
      </c>
      <c r="AE2523" s="135"/>
    </row>
    <row r="2524" spans="1:31" ht="12.5" customHeight="1" x14ac:dyDescent="0.35">
      <c r="A2524" t="s">
        <v>396</v>
      </c>
      <c r="C2524" t="s">
        <v>5668</v>
      </c>
      <c r="D2524" t="s">
        <v>385</v>
      </c>
      <c r="E2524" s="133">
        <v>45841</v>
      </c>
      <c r="F2524" s="2">
        <v>0.15752314814814813</v>
      </c>
      <c r="G2524">
        <v>3</v>
      </c>
      <c r="H2524" s="133">
        <v>45840</v>
      </c>
      <c r="I2524" s="2">
        <v>0.65752314814814816</v>
      </c>
      <c r="J2524">
        <v>15</v>
      </c>
      <c r="R2524" t="s">
        <v>30</v>
      </c>
      <c r="W2524">
        <v>1</v>
      </c>
      <c r="X2524" t="s">
        <v>30</v>
      </c>
      <c r="AC2524" t="s">
        <v>5669</v>
      </c>
      <c r="AE2524" s="135"/>
    </row>
    <row r="2525" spans="1:31" ht="12.5" customHeight="1" x14ac:dyDescent="0.35">
      <c r="A2525" t="s">
        <v>396</v>
      </c>
      <c r="C2525" t="s">
        <v>5670</v>
      </c>
      <c r="D2525" t="s">
        <v>385</v>
      </c>
      <c r="E2525" s="133">
        <v>45841</v>
      </c>
      <c r="F2525" s="2">
        <v>0.15763888888888888</v>
      </c>
      <c r="G2525">
        <v>3</v>
      </c>
      <c r="H2525" s="133">
        <v>45840</v>
      </c>
      <c r="I2525" s="2">
        <v>0.65763888888888888</v>
      </c>
      <c r="J2525">
        <v>15</v>
      </c>
      <c r="R2525" t="s">
        <v>30</v>
      </c>
      <c r="W2525">
        <v>1</v>
      </c>
      <c r="X2525" t="s">
        <v>30</v>
      </c>
      <c r="AC2525" t="s">
        <v>5671</v>
      </c>
      <c r="AE2525" s="135"/>
    </row>
    <row r="2526" spans="1:31" ht="12.5" customHeight="1" x14ac:dyDescent="0.35">
      <c r="A2526" t="s">
        <v>396</v>
      </c>
      <c r="C2526" t="s">
        <v>5672</v>
      </c>
      <c r="D2526" t="s">
        <v>385</v>
      </c>
      <c r="E2526" s="133">
        <v>45841</v>
      </c>
      <c r="F2526" s="2">
        <v>0.1577314814814815</v>
      </c>
      <c r="G2526">
        <v>3</v>
      </c>
      <c r="H2526" s="133">
        <v>45840</v>
      </c>
      <c r="I2526" s="2">
        <v>0.65773148148148153</v>
      </c>
      <c r="J2526">
        <v>15</v>
      </c>
      <c r="R2526" t="s">
        <v>30</v>
      </c>
      <c r="W2526">
        <v>1</v>
      </c>
      <c r="X2526" t="s">
        <v>30</v>
      </c>
      <c r="AC2526" t="s">
        <v>5673</v>
      </c>
      <c r="AE2526" s="135"/>
    </row>
    <row r="2527" spans="1:31" ht="12.5" customHeight="1" x14ac:dyDescent="0.35">
      <c r="A2527" t="s">
        <v>396</v>
      </c>
      <c r="C2527" t="s">
        <v>5674</v>
      </c>
      <c r="D2527" t="s">
        <v>385</v>
      </c>
      <c r="E2527" s="133">
        <v>45841</v>
      </c>
      <c r="F2527" s="2">
        <v>0.15787037037037036</v>
      </c>
      <c r="G2527">
        <v>3</v>
      </c>
      <c r="H2527" s="133">
        <v>45840</v>
      </c>
      <c r="I2527" s="2">
        <v>0.65787037037037044</v>
      </c>
      <c r="J2527">
        <v>15</v>
      </c>
      <c r="R2527" t="s">
        <v>30</v>
      </c>
      <c r="W2527">
        <v>1</v>
      </c>
      <c r="X2527" t="s">
        <v>30</v>
      </c>
      <c r="AC2527" t="s">
        <v>5675</v>
      </c>
      <c r="AE2527" s="135"/>
    </row>
    <row r="2528" spans="1:31" ht="12.5" customHeight="1" x14ac:dyDescent="0.35">
      <c r="A2528" t="s">
        <v>396</v>
      </c>
      <c r="C2528" t="s">
        <v>5676</v>
      </c>
      <c r="D2528" t="s">
        <v>385</v>
      </c>
      <c r="E2528" s="133">
        <v>45841</v>
      </c>
      <c r="F2528" s="2">
        <v>0.15796296296296297</v>
      </c>
      <c r="G2528">
        <v>3</v>
      </c>
      <c r="H2528" s="133">
        <v>45840</v>
      </c>
      <c r="I2528" s="2">
        <v>0.65796296296296297</v>
      </c>
      <c r="J2528">
        <v>15</v>
      </c>
      <c r="R2528" t="s">
        <v>30</v>
      </c>
      <c r="W2528">
        <v>1</v>
      </c>
      <c r="X2528" t="s">
        <v>30</v>
      </c>
      <c r="AC2528" t="s">
        <v>5677</v>
      </c>
      <c r="AE2528" s="135"/>
    </row>
    <row r="2529" spans="1:31" ht="12.5" customHeight="1" x14ac:dyDescent="0.35">
      <c r="A2529" t="s">
        <v>396</v>
      </c>
      <c r="C2529" t="s">
        <v>5678</v>
      </c>
      <c r="D2529" t="s">
        <v>385</v>
      </c>
      <c r="E2529" s="133">
        <v>45841</v>
      </c>
      <c r="F2529" s="2">
        <v>0.15807870370370369</v>
      </c>
      <c r="G2529">
        <v>3</v>
      </c>
      <c r="H2529" s="133">
        <v>45840</v>
      </c>
      <c r="I2529" s="2">
        <v>0.65807870370370369</v>
      </c>
      <c r="J2529">
        <v>15</v>
      </c>
      <c r="R2529" t="s">
        <v>30</v>
      </c>
      <c r="W2529">
        <v>1</v>
      </c>
      <c r="X2529" t="s">
        <v>30</v>
      </c>
      <c r="AC2529" t="s">
        <v>5679</v>
      </c>
      <c r="AE2529" s="135"/>
    </row>
    <row r="2530" spans="1:31" ht="12.5" customHeight="1" x14ac:dyDescent="0.35">
      <c r="A2530" t="s">
        <v>396</v>
      </c>
      <c r="C2530" t="s">
        <v>5680</v>
      </c>
      <c r="D2530" t="s">
        <v>385</v>
      </c>
      <c r="E2530" s="133">
        <v>45841</v>
      </c>
      <c r="F2530" s="2">
        <v>0.15817129629629631</v>
      </c>
      <c r="G2530">
        <v>3</v>
      </c>
      <c r="H2530" s="133">
        <v>45840</v>
      </c>
      <c r="I2530" s="2">
        <v>0.65817129629629634</v>
      </c>
      <c r="J2530">
        <v>15</v>
      </c>
      <c r="R2530" t="s">
        <v>30</v>
      </c>
      <c r="W2530">
        <v>1</v>
      </c>
      <c r="X2530" t="s">
        <v>30</v>
      </c>
      <c r="AC2530" t="s">
        <v>5681</v>
      </c>
      <c r="AE2530" s="135"/>
    </row>
    <row r="2531" spans="1:31" ht="12.5" customHeight="1" x14ac:dyDescent="0.35">
      <c r="A2531" t="s">
        <v>396</v>
      </c>
      <c r="C2531" t="s">
        <v>5682</v>
      </c>
      <c r="D2531" t="s">
        <v>385</v>
      </c>
      <c r="E2531" s="133">
        <v>45841</v>
      </c>
      <c r="F2531" s="2">
        <v>0.1582638888888889</v>
      </c>
      <c r="G2531">
        <v>3</v>
      </c>
      <c r="H2531" s="133">
        <v>45840</v>
      </c>
      <c r="I2531" s="2">
        <v>0.65826388888888887</v>
      </c>
      <c r="J2531">
        <v>15</v>
      </c>
      <c r="R2531" t="s">
        <v>30</v>
      </c>
      <c r="W2531">
        <v>1</v>
      </c>
      <c r="X2531" t="s">
        <v>30</v>
      </c>
      <c r="AC2531" t="s">
        <v>5683</v>
      </c>
      <c r="AE2531" s="135"/>
    </row>
    <row r="2532" spans="1:31" ht="12.5" customHeight="1" x14ac:dyDescent="0.35">
      <c r="A2532" t="s">
        <v>396</v>
      </c>
      <c r="C2532" t="s">
        <v>5684</v>
      </c>
      <c r="D2532" t="s">
        <v>385</v>
      </c>
      <c r="E2532" s="133">
        <v>45841</v>
      </c>
      <c r="F2532" s="2">
        <v>0.15837962962962962</v>
      </c>
      <c r="G2532">
        <v>3</v>
      </c>
      <c r="H2532" s="133">
        <v>45840</v>
      </c>
      <c r="I2532" s="2">
        <v>0.6583796296296297</v>
      </c>
      <c r="J2532">
        <v>15</v>
      </c>
      <c r="R2532" t="s">
        <v>30</v>
      </c>
      <c r="W2532">
        <v>1</v>
      </c>
      <c r="X2532" t="s">
        <v>30</v>
      </c>
      <c r="AC2532" t="s">
        <v>5685</v>
      </c>
      <c r="AE2532" s="135"/>
    </row>
    <row r="2533" spans="1:31" ht="12.5" customHeight="1" x14ac:dyDescent="0.35">
      <c r="A2533" t="s">
        <v>396</v>
      </c>
      <c r="C2533" t="s">
        <v>5686</v>
      </c>
      <c r="D2533" t="s">
        <v>385</v>
      </c>
      <c r="E2533" s="133">
        <v>45841</v>
      </c>
      <c r="F2533" s="2">
        <v>0.15844907407407408</v>
      </c>
      <c r="G2533">
        <v>3</v>
      </c>
      <c r="H2533" s="133">
        <v>45840</v>
      </c>
      <c r="I2533" s="2">
        <v>0.65844907407407405</v>
      </c>
      <c r="J2533">
        <v>15</v>
      </c>
      <c r="R2533" t="s">
        <v>30</v>
      </c>
      <c r="W2533">
        <v>1</v>
      </c>
      <c r="X2533" t="s">
        <v>30</v>
      </c>
      <c r="AC2533" t="s">
        <v>5687</v>
      </c>
      <c r="AE2533" s="135"/>
    </row>
    <row r="2534" spans="1:31" ht="12.5" customHeight="1" x14ac:dyDescent="0.35">
      <c r="A2534" t="s">
        <v>396</v>
      </c>
      <c r="C2534" t="s">
        <v>5688</v>
      </c>
      <c r="D2534" t="s">
        <v>385</v>
      </c>
      <c r="E2534" s="133">
        <v>45841</v>
      </c>
      <c r="F2534" s="2">
        <v>0.1585648148148148</v>
      </c>
      <c r="G2534">
        <v>3</v>
      </c>
      <c r="H2534" s="133">
        <v>45840</v>
      </c>
      <c r="I2534" s="2">
        <v>0.65856481481481477</v>
      </c>
      <c r="J2534">
        <v>15</v>
      </c>
      <c r="R2534" t="s">
        <v>30</v>
      </c>
      <c r="W2534">
        <v>1</v>
      </c>
      <c r="X2534" t="s">
        <v>30</v>
      </c>
      <c r="AC2534" t="s">
        <v>5689</v>
      </c>
      <c r="AE2534" s="135"/>
    </row>
    <row r="2535" spans="1:31" ht="12.5" customHeight="1" x14ac:dyDescent="0.35">
      <c r="A2535" t="s">
        <v>396</v>
      </c>
      <c r="C2535" t="s">
        <v>5690</v>
      </c>
      <c r="D2535" t="s">
        <v>385</v>
      </c>
      <c r="E2535" s="133">
        <v>45841</v>
      </c>
      <c r="F2535" s="2">
        <v>0.15865740740740741</v>
      </c>
      <c r="G2535">
        <v>3</v>
      </c>
      <c r="H2535" s="133">
        <v>45840</v>
      </c>
      <c r="I2535" s="2">
        <v>0.65865740740740741</v>
      </c>
      <c r="J2535">
        <v>15</v>
      </c>
      <c r="R2535" t="s">
        <v>30</v>
      </c>
      <c r="W2535">
        <v>1</v>
      </c>
      <c r="X2535" t="s">
        <v>30</v>
      </c>
      <c r="AC2535" t="s">
        <v>5691</v>
      </c>
      <c r="AE2535" s="135"/>
    </row>
    <row r="2536" spans="1:31" ht="12.5" customHeight="1" x14ac:dyDescent="0.35">
      <c r="A2536" t="s">
        <v>396</v>
      </c>
      <c r="C2536" t="s">
        <v>5692</v>
      </c>
      <c r="D2536" t="s">
        <v>385</v>
      </c>
      <c r="E2536" s="133">
        <v>45841</v>
      </c>
      <c r="F2536" s="2">
        <v>0.15872685185185184</v>
      </c>
      <c r="G2536">
        <v>3</v>
      </c>
      <c r="H2536" s="133">
        <v>45840</v>
      </c>
      <c r="I2536" s="2">
        <v>0.65872685185185187</v>
      </c>
      <c r="J2536">
        <v>15</v>
      </c>
      <c r="R2536" t="s">
        <v>30</v>
      </c>
      <c r="W2536">
        <v>1</v>
      </c>
      <c r="X2536" t="s">
        <v>30</v>
      </c>
      <c r="AC2536" t="s">
        <v>5693</v>
      </c>
      <c r="AE2536" s="135"/>
    </row>
    <row r="2537" spans="1:31" ht="12.5" customHeight="1" x14ac:dyDescent="0.35">
      <c r="A2537" t="s">
        <v>396</v>
      </c>
      <c r="C2537" t="s">
        <v>5694</v>
      </c>
      <c r="D2537" t="s">
        <v>385</v>
      </c>
      <c r="E2537" s="133">
        <v>45841</v>
      </c>
      <c r="F2537" s="2">
        <v>0.15881944444444443</v>
      </c>
      <c r="G2537">
        <v>3</v>
      </c>
      <c r="H2537" s="133">
        <v>45840</v>
      </c>
      <c r="I2537" s="2">
        <v>0.65881944444444451</v>
      </c>
      <c r="J2537">
        <v>15</v>
      </c>
      <c r="R2537" t="s">
        <v>30</v>
      </c>
      <c r="W2537">
        <v>1</v>
      </c>
      <c r="X2537" t="s">
        <v>30</v>
      </c>
      <c r="AC2537" t="s">
        <v>5695</v>
      </c>
      <c r="AE2537" s="135"/>
    </row>
    <row r="2538" spans="1:31" ht="12.5" customHeight="1" x14ac:dyDescent="0.35">
      <c r="A2538" t="s">
        <v>396</v>
      </c>
      <c r="C2538" t="s">
        <v>5696</v>
      </c>
      <c r="D2538" t="s">
        <v>385</v>
      </c>
      <c r="E2538" s="133">
        <v>45841</v>
      </c>
      <c r="F2538" s="2">
        <v>0.15891203703703705</v>
      </c>
      <c r="G2538">
        <v>3</v>
      </c>
      <c r="H2538" s="133">
        <v>45840</v>
      </c>
      <c r="I2538" s="2">
        <v>0.65891203703703705</v>
      </c>
      <c r="J2538">
        <v>15</v>
      </c>
      <c r="R2538" t="s">
        <v>30</v>
      </c>
      <c r="W2538">
        <v>1</v>
      </c>
      <c r="X2538" t="s">
        <v>30</v>
      </c>
      <c r="AC2538" t="s">
        <v>5697</v>
      </c>
      <c r="AE2538" s="135"/>
    </row>
    <row r="2539" spans="1:31" ht="12.5" customHeight="1" x14ac:dyDescent="0.35">
      <c r="A2539" t="s">
        <v>396</v>
      </c>
      <c r="C2539" t="s">
        <v>5698</v>
      </c>
      <c r="D2539" t="s">
        <v>385</v>
      </c>
      <c r="E2539" s="133">
        <v>45841</v>
      </c>
      <c r="F2539" s="2">
        <v>0.15898148148148147</v>
      </c>
      <c r="G2539">
        <v>3</v>
      </c>
      <c r="H2539" s="133">
        <v>45840</v>
      </c>
      <c r="I2539" s="2">
        <v>0.6589814814814815</v>
      </c>
      <c r="J2539">
        <v>15</v>
      </c>
      <c r="R2539" t="s">
        <v>432</v>
      </c>
      <c r="S2539">
        <v>2</v>
      </c>
      <c r="T2539">
        <v>0</v>
      </c>
      <c r="U2539">
        <v>0</v>
      </c>
      <c r="V2539">
        <v>0</v>
      </c>
      <c r="W2539">
        <v>1</v>
      </c>
      <c r="X2539" t="s">
        <v>30</v>
      </c>
      <c r="AC2539" t="s">
        <v>5699</v>
      </c>
      <c r="AE2539" s="135"/>
    </row>
    <row r="2540" spans="1:31" ht="12.5" customHeight="1" x14ac:dyDescent="0.35">
      <c r="A2540" t="s">
        <v>396</v>
      </c>
      <c r="C2540" t="s">
        <v>5700</v>
      </c>
      <c r="D2540" t="s">
        <v>385</v>
      </c>
      <c r="E2540" s="133">
        <v>45841</v>
      </c>
      <c r="F2540" s="2">
        <v>0.15907407407407406</v>
      </c>
      <c r="G2540">
        <v>3</v>
      </c>
      <c r="H2540" s="133">
        <v>45840</v>
      </c>
      <c r="I2540" s="2">
        <v>0.65907407407407403</v>
      </c>
      <c r="J2540">
        <v>15</v>
      </c>
      <c r="R2540" t="s">
        <v>30</v>
      </c>
      <c r="W2540">
        <v>1</v>
      </c>
      <c r="X2540" t="s">
        <v>30</v>
      </c>
      <c r="AC2540" t="s">
        <v>5701</v>
      </c>
      <c r="AE2540" s="135"/>
    </row>
    <row r="2541" spans="1:31" ht="12.5" customHeight="1" x14ac:dyDescent="0.35">
      <c r="A2541" t="s">
        <v>396</v>
      </c>
      <c r="C2541" t="s">
        <v>5702</v>
      </c>
      <c r="D2541" t="s">
        <v>385</v>
      </c>
      <c r="E2541" s="133">
        <v>45841</v>
      </c>
      <c r="F2541" s="2">
        <v>0.15916666666666668</v>
      </c>
      <c r="G2541">
        <v>3</v>
      </c>
      <c r="H2541" s="133">
        <v>45840</v>
      </c>
      <c r="I2541" s="2">
        <v>0.65916666666666668</v>
      </c>
      <c r="J2541">
        <v>15</v>
      </c>
      <c r="R2541" t="s">
        <v>30</v>
      </c>
      <c r="W2541">
        <v>1</v>
      </c>
      <c r="X2541" t="s">
        <v>30</v>
      </c>
      <c r="AC2541" t="s">
        <v>5703</v>
      </c>
      <c r="AE2541" s="135"/>
    </row>
    <row r="2542" spans="1:31" ht="12.5" customHeight="1" x14ac:dyDescent="0.35">
      <c r="A2542" t="s">
        <v>396</v>
      </c>
      <c r="C2542" t="s">
        <v>5704</v>
      </c>
      <c r="D2542" t="s">
        <v>385</v>
      </c>
      <c r="E2542" s="133">
        <v>45841</v>
      </c>
      <c r="F2542" s="2">
        <v>0.15925925925925927</v>
      </c>
      <c r="G2542">
        <v>3</v>
      </c>
      <c r="H2542" s="133">
        <v>45840</v>
      </c>
      <c r="I2542" s="2">
        <v>0.65925925925925932</v>
      </c>
      <c r="J2542">
        <v>15</v>
      </c>
      <c r="R2542" t="s">
        <v>30</v>
      </c>
      <c r="W2542">
        <v>1</v>
      </c>
      <c r="X2542" t="s">
        <v>30</v>
      </c>
      <c r="AC2542" t="s">
        <v>5705</v>
      </c>
      <c r="AE2542" s="135"/>
    </row>
    <row r="2543" spans="1:31" ht="12.5" customHeight="1" x14ac:dyDescent="0.35">
      <c r="A2543" t="s">
        <v>396</v>
      </c>
      <c r="C2543" t="s">
        <v>5706</v>
      </c>
      <c r="D2543" t="s">
        <v>385</v>
      </c>
      <c r="E2543" s="133">
        <v>45841</v>
      </c>
      <c r="F2543" s="2">
        <v>0.15935185185185186</v>
      </c>
      <c r="G2543">
        <v>3</v>
      </c>
      <c r="H2543" s="133">
        <v>45840</v>
      </c>
      <c r="I2543" s="2">
        <v>0.65935185185185186</v>
      </c>
      <c r="J2543">
        <v>15</v>
      </c>
      <c r="R2543" t="s">
        <v>30</v>
      </c>
      <c r="W2543">
        <v>1</v>
      </c>
      <c r="X2543" t="s">
        <v>30</v>
      </c>
      <c r="AC2543" t="s">
        <v>5707</v>
      </c>
      <c r="AE2543" s="135"/>
    </row>
    <row r="2544" spans="1:31" ht="12.5" customHeight="1" x14ac:dyDescent="0.35">
      <c r="A2544" t="s">
        <v>396</v>
      </c>
      <c r="C2544" t="s">
        <v>5708</v>
      </c>
      <c r="D2544" t="s">
        <v>385</v>
      </c>
      <c r="E2544" s="133">
        <v>45841</v>
      </c>
      <c r="F2544" s="2">
        <v>0.15946759259259261</v>
      </c>
      <c r="G2544">
        <v>3</v>
      </c>
      <c r="H2544" s="133">
        <v>45840</v>
      </c>
      <c r="I2544" s="2">
        <v>0.65946759259259258</v>
      </c>
      <c r="J2544">
        <v>15</v>
      </c>
      <c r="R2544" t="s">
        <v>30</v>
      </c>
      <c r="W2544">
        <v>1</v>
      </c>
      <c r="X2544" t="s">
        <v>30</v>
      </c>
      <c r="AC2544" t="s">
        <v>5709</v>
      </c>
      <c r="AE2544" s="135"/>
    </row>
    <row r="2545" spans="1:31" ht="12.5" customHeight="1" x14ac:dyDescent="0.35">
      <c r="A2545" t="s">
        <v>396</v>
      </c>
      <c r="C2545" t="s">
        <v>5710</v>
      </c>
      <c r="D2545" t="s">
        <v>385</v>
      </c>
      <c r="E2545" s="133">
        <v>45841</v>
      </c>
      <c r="F2545" s="2">
        <v>0.15956018518518519</v>
      </c>
      <c r="G2545">
        <v>3</v>
      </c>
      <c r="H2545" s="133">
        <v>45840</v>
      </c>
      <c r="I2545" s="2">
        <v>0.65956018518518522</v>
      </c>
      <c r="J2545">
        <v>15</v>
      </c>
      <c r="R2545" t="s">
        <v>30</v>
      </c>
      <c r="W2545">
        <v>1</v>
      </c>
      <c r="X2545" t="s">
        <v>30</v>
      </c>
      <c r="AC2545" t="s">
        <v>5711</v>
      </c>
      <c r="AE2545" s="135"/>
    </row>
    <row r="2546" spans="1:31" ht="12.5" customHeight="1" x14ac:dyDescent="0.35">
      <c r="A2546" t="s">
        <v>396</v>
      </c>
      <c r="C2546" t="s">
        <v>5712</v>
      </c>
      <c r="D2546" t="s">
        <v>385</v>
      </c>
      <c r="E2546" s="133">
        <v>45841</v>
      </c>
      <c r="F2546" s="2">
        <v>0.15967592592592592</v>
      </c>
      <c r="G2546">
        <v>3</v>
      </c>
      <c r="H2546" s="133">
        <v>45840</v>
      </c>
      <c r="I2546" s="2">
        <v>0.65967592592592594</v>
      </c>
      <c r="J2546">
        <v>15</v>
      </c>
      <c r="R2546" t="s">
        <v>30</v>
      </c>
      <c r="W2546">
        <v>1</v>
      </c>
      <c r="X2546" t="s">
        <v>30</v>
      </c>
      <c r="AC2546" t="s">
        <v>5713</v>
      </c>
      <c r="AE2546" s="135"/>
    </row>
    <row r="2547" spans="1:31" ht="12.5" customHeight="1" x14ac:dyDescent="0.35">
      <c r="A2547" t="s">
        <v>396</v>
      </c>
      <c r="C2547" t="s">
        <v>5714</v>
      </c>
      <c r="D2547" t="s">
        <v>385</v>
      </c>
      <c r="E2547" s="133">
        <v>45841</v>
      </c>
      <c r="F2547" s="2">
        <v>0.15974537037037037</v>
      </c>
      <c r="G2547">
        <v>3</v>
      </c>
      <c r="H2547" s="133">
        <v>45840</v>
      </c>
      <c r="I2547" s="2">
        <v>0.6597453703703704</v>
      </c>
      <c r="J2547">
        <v>15</v>
      </c>
      <c r="R2547" t="s">
        <v>30</v>
      </c>
      <c r="W2547">
        <v>1</v>
      </c>
      <c r="X2547" t="s">
        <v>30</v>
      </c>
      <c r="AC2547" t="s">
        <v>5715</v>
      </c>
      <c r="AE2547" s="135"/>
    </row>
    <row r="2548" spans="1:31" ht="12.5" customHeight="1" x14ac:dyDescent="0.35">
      <c r="A2548" t="s">
        <v>396</v>
      </c>
      <c r="C2548" t="s">
        <v>5716</v>
      </c>
      <c r="D2548" t="s">
        <v>385</v>
      </c>
      <c r="E2548" s="133">
        <v>45841</v>
      </c>
      <c r="F2548" s="2">
        <v>0.15983796296296296</v>
      </c>
      <c r="G2548">
        <v>3</v>
      </c>
      <c r="H2548" s="133">
        <v>45840</v>
      </c>
      <c r="I2548" s="2">
        <v>0.65983796296296293</v>
      </c>
      <c r="J2548">
        <v>15</v>
      </c>
      <c r="R2548" t="s">
        <v>30</v>
      </c>
      <c r="W2548">
        <v>1</v>
      </c>
      <c r="X2548" t="s">
        <v>30</v>
      </c>
      <c r="AC2548" t="s">
        <v>5717</v>
      </c>
      <c r="AE2548" s="135"/>
    </row>
    <row r="2549" spans="1:31" ht="12.5" customHeight="1" x14ac:dyDescent="0.35">
      <c r="A2549" t="s">
        <v>396</v>
      </c>
      <c r="C2549" t="s">
        <v>5718</v>
      </c>
      <c r="D2549" t="s">
        <v>385</v>
      </c>
      <c r="E2549" s="133">
        <v>45841</v>
      </c>
      <c r="F2549" s="2">
        <v>0.15995370370370371</v>
      </c>
      <c r="G2549">
        <v>3</v>
      </c>
      <c r="H2549" s="133">
        <v>45840</v>
      </c>
      <c r="I2549" s="2">
        <v>0.65995370370370365</v>
      </c>
      <c r="J2549">
        <v>15</v>
      </c>
      <c r="R2549" t="s">
        <v>432</v>
      </c>
      <c r="S2549">
        <v>2</v>
      </c>
      <c r="T2549">
        <v>0</v>
      </c>
      <c r="U2549">
        <v>0</v>
      </c>
      <c r="V2549">
        <v>0</v>
      </c>
      <c r="W2549">
        <v>1</v>
      </c>
      <c r="X2549" t="s">
        <v>30</v>
      </c>
      <c r="AC2549" t="s">
        <v>5719</v>
      </c>
      <c r="AE2549" s="135"/>
    </row>
    <row r="2550" spans="1:31" ht="12.5" customHeight="1" x14ac:dyDescent="0.35">
      <c r="A2550" t="s">
        <v>396</v>
      </c>
      <c r="C2550" t="s">
        <v>5720</v>
      </c>
      <c r="D2550" t="s">
        <v>385</v>
      </c>
      <c r="E2550" s="133">
        <v>45841</v>
      </c>
      <c r="F2550" s="2">
        <v>0.16002314814814814</v>
      </c>
      <c r="G2550">
        <v>3</v>
      </c>
      <c r="H2550" s="133">
        <v>45840</v>
      </c>
      <c r="I2550" s="2">
        <v>0.66002314814814811</v>
      </c>
      <c r="J2550">
        <v>15</v>
      </c>
      <c r="R2550" t="s">
        <v>30</v>
      </c>
      <c r="W2550">
        <v>1</v>
      </c>
      <c r="X2550" t="s">
        <v>30</v>
      </c>
      <c r="AC2550" t="s">
        <v>5721</v>
      </c>
      <c r="AE2550" s="135"/>
    </row>
    <row r="2551" spans="1:31" ht="12.5" customHeight="1" x14ac:dyDescent="0.35">
      <c r="A2551" t="s">
        <v>396</v>
      </c>
      <c r="C2551" t="s">
        <v>5722</v>
      </c>
      <c r="D2551" t="s">
        <v>385</v>
      </c>
      <c r="E2551" s="133">
        <v>45841</v>
      </c>
      <c r="F2551" s="2">
        <v>0.16011574074074075</v>
      </c>
      <c r="G2551">
        <v>3</v>
      </c>
      <c r="H2551" s="133">
        <v>45840</v>
      </c>
      <c r="I2551" s="2">
        <v>0.66011574074074075</v>
      </c>
      <c r="J2551">
        <v>15</v>
      </c>
      <c r="R2551" t="s">
        <v>30</v>
      </c>
      <c r="W2551">
        <v>1</v>
      </c>
      <c r="X2551" t="s">
        <v>30</v>
      </c>
      <c r="AC2551" t="s">
        <v>5723</v>
      </c>
      <c r="AE2551" s="135"/>
    </row>
    <row r="2552" spans="1:31" ht="12.5" customHeight="1" x14ac:dyDescent="0.35">
      <c r="A2552" t="s">
        <v>396</v>
      </c>
      <c r="C2552" t="s">
        <v>5724</v>
      </c>
      <c r="D2552" t="s">
        <v>385</v>
      </c>
      <c r="E2552" s="133">
        <v>45841</v>
      </c>
      <c r="F2552" s="2">
        <v>0.16025462962962964</v>
      </c>
      <c r="G2552">
        <v>3</v>
      </c>
      <c r="H2552" s="133">
        <v>45840</v>
      </c>
      <c r="I2552" s="2">
        <v>0.66025462962962966</v>
      </c>
      <c r="J2552">
        <v>15</v>
      </c>
      <c r="R2552" t="s">
        <v>30</v>
      </c>
      <c r="W2552">
        <v>1</v>
      </c>
      <c r="X2552" t="s">
        <v>30</v>
      </c>
      <c r="AC2552" t="s">
        <v>5725</v>
      </c>
      <c r="AE2552" s="135"/>
    </row>
    <row r="2553" spans="1:31" ht="12.5" customHeight="1" x14ac:dyDescent="0.35">
      <c r="A2553" t="s">
        <v>396</v>
      </c>
      <c r="C2553" t="s">
        <v>5726</v>
      </c>
      <c r="D2553" t="s">
        <v>385</v>
      </c>
      <c r="E2553" s="133">
        <v>45841</v>
      </c>
      <c r="F2553" s="2">
        <v>0.16034722222222222</v>
      </c>
      <c r="G2553">
        <v>3</v>
      </c>
      <c r="H2553" s="133">
        <v>45840</v>
      </c>
      <c r="I2553" s="2">
        <v>0.6603472222222222</v>
      </c>
      <c r="J2553">
        <v>15</v>
      </c>
      <c r="R2553" t="s">
        <v>30</v>
      </c>
      <c r="W2553">
        <v>1</v>
      </c>
      <c r="X2553" t="s">
        <v>30</v>
      </c>
      <c r="AC2553" t="s">
        <v>5727</v>
      </c>
      <c r="AE2553" s="135"/>
    </row>
    <row r="2554" spans="1:31" ht="12.5" customHeight="1" x14ac:dyDescent="0.35">
      <c r="A2554" t="s">
        <v>396</v>
      </c>
      <c r="C2554" t="s">
        <v>5728</v>
      </c>
      <c r="D2554" t="s">
        <v>385</v>
      </c>
      <c r="E2554" s="133">
        <v>45841</v>
      </c>
      <c r="F2554" s="2">
        <v>0.16043981481481481</v>
      </c>
      <c r="G2554">
        <v>3</v>
      </c>
      <c r="H2554" s="133">
        <v>45840</v>
      </c>
      <c r="I2554" s="2">
        <v>0.66043981481481484</v>
      </c>
      <c r="J2554">
        <v>15</v>
      </c>
      <c r="R2554" t="s">
        <v>30</v>
      </c>
      <c r="W2554">
        <v>1</v>
      </c>
      <c r="X2554" t="s">
        <v>30</v>
      </c>
      <c r="AC2554" t="s">
        <v>5729</v>
      </c>
      <c r="AE2554" s="135"/>
    </row>
    <row r="2555" spans="1:31" ht="12.5" customHeight="1" x14ac:dyDescent="0.35">
      <c r="A2555" t="s">
        <v>396</v>
      </c>
      <c r="C2555" t="s">
        <v>5730</v>
      </c>
      <c r="D2555" t="s">
        <v>385</v>
      </c>
      <c r="E2555" s="133">
        <v>45841</v>
      </c>
      <c r="F2555" s="2">
        <v>0.16055555555555556</v>
      </c>
      <c r="G2555">
        <v>3</v>
      </c>
      <c r="H2555" s="133">
        <v>45840</v>
      </c>
      <c r="I2555" s="2">
        <v>0.66055555555555556</v>
      </c>
      <c r="J2555">
        <v>15</v>
      </c>
      <c r="R2555" t="s">
        <v>30</v>
      </c>
      <c r="W2555">
        <v>1</v>
      </c>
      <c r="X2555" t="s">
        <v>30</v>
      </c>
      <c r="AC2555" t="s">
        <v>5731</v>
      </c>
      <c r="AE2555" s="135"/>
    </row>
    <row r="2556" spans="1:31" ht="12.5" customHeight="1" x14ac:dyDescent="0.35">
      <c r="A2556" t="s">
        <v>396</v>
      </c>
      <c r="C2556" t="s">
        <v>5732</v>
      </c>
      <c r="D2556" t="s">
        <v>385</v>
      </c>
      <c r="E2556" s="133">
        <v>45841</v>
      </c>
      <c r="F2556" s="2">
        <v>0.16069444444444445</v>
      </c>
      <c r="G2556">
        <v>3</v>
      </c>
      <c r="H2556" s="133">
        <v>45840</v>
      </c>
      <c r="I2556" s="2">
        <v>0.66069444444444447</v>
      </c>
      <c r="J2556">
        <v>15</v>
      </c>
      <c r="R2556" t="s">
        <v>30</v>
      </c>
      <c r="W2556">
        <v>1</v>
      </c>
      <c r="X2556" t="s">
        <v>30</v>
      </c>
      <c r="AC2556" t="s">
        <v>5733</v>
      </c>
      <c r="AE2556" s="135"/>
    </row>
    <row r="2557" spans="1:31" ht="12.5" customHeight="1" x14ac:dyDescent="0.35">
      <c r="A2557" t="s">
        <v>396</v>
      </c>
      <c r="C2557" t="s">
        <v>5734</v>
      </c>
      <c r="D2557" t="s">
        <v>385</v>
      </c>
      <c r="E2557" s="133">
        <v>45841</v>
      </c>
      <c r="F2557" s="2">
        <v>0.16078703703703703</v>
      </c>
      <c r="G2557">
        <v>3</v>
      </c>
      <c r="H2557" s="133">
        <v>45840</v>
      </c>
      <c r="I2557" s="2">
        <v>0.66078703703703701</v>
      </c>
      <c r="J2557">
        <v>15</v>
      </c>
      <c r="R2557" t="s">
        <v>30</v>
      </c>
      <c r="W2557">
        <v>1</v>
      </c>
      <c r="X2557" t="s">
        <v>30</v>
      </c>
      <c r="AC2557" t="s">
        <v>5735</v>
      </c>
      <c r="AE2557" s="135"/>
    </row>
    <row r="2558" spans="1:31" ht="12.5" customHeight="1" x14ac:dyDescent="0.35">
      <c r="A2558" t="s">
        <v>396</v>
      </c>
      <c r="C2558" t="s">
        <v>5736</v>
      </c>
      <c r="D2558" t="s">
        <v>385</v>
      </c>
      <c r="E2558" s="133">
        <v>45841</v>
      </c>
      <c r="F2558" s="2">
        <v>0.16087962962962962</v>
      </c>
      <c r="G2558">
        <v>3</v>
      </c>
      <c r="H2558" s="133">
        <v>45840</v>
      </c>
      <c r="I2558" s="2">
        <v>0.66087962962962965</v>
      </c>
      <c r="J2558">
        <v>15</v>
      </c>
      <c r="R2558" t="s">
        <v>30</v>
      </c>
      <c r="W2558">
        <v>1</v>
      </c>
      <c r="X2558" t="s">
        <v>30</v>
      </c>
      <c r="AC2558" t="s">
        <v>5737</v>
      </c>
      <c r="AE2558" s="135"/>
    </row>
    <row r="2559" spans="1:31" ht="12.5" customHeight="1" x14ac:dyDescent="0.35">
      <c r="A2559" t="s">
        <v>396</v>
      </c>
      <c r="C2559" t="s">
        <v>5738</v>
      </c>
      <c r="D2559" t="s">
        <v>385</v>
      </c>
      <c r="E2559" s="133">
        <v>45841</v>
      </c>
      <c r="F2559" s="2">
        <v>0.16099537037037037</v>
      </c>
      <c r="G2559">
        <v>3</v>
      </c>
      <c r="H2559" s="133">
        <v>45840</v>
      </c>
      <c r="I2559" s="2">
        <v>0.66099537037037037</v>
      </c>
      <c r="J2559">
        <v>15</v>
      </c>
      <c r="R2559" t="s">
        <v>30</v>
      </c>
      <c r="W2559">
        <v>1</v>
      </c>
      <c r="X2559" t="s">
        <v>30</v>
      </c>
      <c r="AC2559" t="s">
        <v>5739</v>
      </c>
      <c r="AE2559" s="135"/>
    </row>
    <row r="2560" spans="1:31" ht="12.5" customHeight="1" x14ac:dyDescent="0.35">
      <c r="A2560" t="s">
        <v>396</v>
      </c>
      <c r="C2560" t="s">
        <v>5740</v>
      </c>
      <c r="D2560" t="s">
        <v>385</v>
      </c>
      <c r="E2560" s="133">
        <v>45841</v>
      </c>
      <c r="F2560" s="2">
        <v>0.16118055555555555</v>
      </c>
      <c r="G2560">
        <v>3</v>
      </c>
      <c r="H2560" s="133">
        <v>45840</v>
      </c>
      <c r="I2560" s="2">
        <v>0.66118055555555555</v>
      </c>
      <c r="J2560">
        <v>15</v>
      </c>
      <c r="R2560" t="s">
        <v>30</v>
      </c>
      <c r="W2560">
        <v>1</v>
      </c>
      <c r="X2560" t="s">
        <v>30</v>
      </c>
      <c r="AC2560" t="s">
        <v>5741</v>
      </c>
      <c r="AE2560" s="135"/>
    </row>
    <row r="2561" spans="1:31" ht="12.5" customHeight="1" x14ac:dyDescent="0.35">
      <c r="A2561" t="s">
        <v>396</v>
      </c>
      <c r="C2561" t="s">
        <v>5742</v>
      </c>
      <c r="D2561" t="s">
        <v>385</v>
      </c>
      <c r="E2561" s="133">
        <v>45841</v>
      </c>
      <c r="F2561" s="2">
        <v>0.16125</v>
      </c>
      <c r="G2561">
        <v>3</v>
      </c>
      <c r="H2561" s="133">
        <v>45840</v>
      </c>
      <c r="I2561" s="2">
        <v>0.66125</v>
      </c>
      <c r="J2561">
        <v>15</v>
      </c>
      <c r="R2561" t="s">
        <v>30</v>
      </c>
      <c r="W2561">
        <v>1</v>
      </c>
      <c r="X2561" t="s">
        <v>30</v>
      </c>
      <c r="AC2561" t="s">
        <v>5743</v>
      </c>
      <c r="AE2561" s="135"/>
    </row>
    <row r="2562" spans="1:31" ht="12.5" customHeight="1" x14ac:dyDescent="0.35">
      <c r="A2562" t="s">
        <v>396</v>
      </c>
      <c r="C2562" t="s">
        <v>5744</v>
      </c>
      <c r="D2562" t="s">
        <v>385</v>
      </c>
      <c r="E2562" s="133">
        <v>45841</v>
      </c>
      <c r="F2562" s="2">
        <v>0.16134259259259259</v>
      </c>
      <c r="G2562">
        <v>3</v>
      </c>
      <c r="H2562" s="133">
        <v>45840</v>
      </c>
      <c r="I2562" s="2">
        <v>0.66134259259259254</v>
      </c>
      <c r="J2562">
        <v>15</v>
      </c>
      <c r="R2562" t="s">
        <v>30</v>
      </c>
      <c r="W2562">
        <v>1</v>
      </c>
      <c r="X2562" t="s">
        <v>30</v>
      </c>
      <c r="AC2562" t="s">
        <v>5745</v>
      </c>
      <c r="AE2562" s="135"/>
    </row>
    <row r="2563" spans="1:31" ht="12.5" customHeight="1" x14ac:dyDescent="0.35">
      <c r="A2563" t="s">
        <v>396</v>
      </c>
      <c r="C2563" t="s">
        <v>5746</v>
      </c>
      <c r="D2563" t="s">
        <v>385</v>
      </c>
      <c r="E2563" s="133">
        <v>45841</v>
      </c>
      <c r="F2563" s="2">
        <v>0.16141203703703702</v>
      </c>
      <c r="G2563">
        <v>3</v>
      </c>
      <c r="H2563" s="133">
        <v>45840</v>
      </c>
      <c r="I2563" s="2">
        <v>0.66141203703703699</v>
      </c>
      <c r="J2563">
        <v>15</v>
      </c>
      <c r="R2563" t="s">
        <v>30</v>
      </c>
      <c r="W2563">
        <v>1</v>
      </c>
      <c r="X2563" t="s">
        <v>30</v>
      </c>
      <c r="AC2563" t="s">
        <v>5747</v>
      </c>
      <c r="AE2563" s="135"/>
    </row>
    <row r="2564" spans="1:31" ht="12.5" customHeight="1" x14ac:dyDescent="0.35">
      <c r="A2564" t="s">
        <v>396</v>
      </c>
      <c r="C2564" t="s">
        <v>5748</v>
      </c>
      <c r="D2564" t="s">
        <v>385</v>
      </c>
      <c r="E2564" s="133">
        <v>45841</v>
      </c>
      <c r="F2564" s="2">
        <v>0.1615277777777778</v>
      </c>
      <c r="G2564">
        <v>3</v>
      </c>
      <c r="H2564" s="133">
        <v>45840</v>
      </c>
      <c r="I2564" s="2">
        <v>0.66152777777777783</v>
      </c>
      <c r="J2564">
        <v>15</v>
      </c>
      <c r="R2564" t="s">
        <v>30</v>
      </c>
      <c r="W2564">
        <v>1</v>
      </c>
      <c r="X2564" t="s">
        <v>30</v>
      </c>
      <c r="AC2564" t="s">
        <v>5749</v>
      </c>
      <c r="AE2564" s="135"/>
    </row>
    <row r="2565" spans="1:31" ht="12.5" customHeight="1" x14ac:dyDescent="0.35">
      <c r="A2565" t="s">
        <v>396</v>
      </c>
      <c r="C2565" t="s">
        <v>5750</v>
      </c>
      <c r="D2565" t="s">
        <v>385</v>
      </c>
      <c r="E2565" s="133">
        <v>45841</v>
      </c>
      <c r="F2565" s="2">
        <v>0.16159722222222223</v>
      </c>
      <c r="G2565">
        <v>3</v>
      </c>
      <c r="H2565" s="133">
        <v>45840</v>
      </c>
      <c r="I2565" s="2">
        <v>0.66159722222222228</v>
      </c>
      <c r="J2565">
        <v>15</v>
      </c>
      <c r="R2565" t="s">
        <v>30</v>
      </c>
      <c r="W2565">
        <v>1</v>
      </c>
      <c r="X2565" t="s">
        <v>30</v>
      </c>
      <c r="AC2565" t="s">
        <v>5751</v>
      </c>
      <c r="AE2565" s="135"/>
    </row>
    <row r="2566" spans="1:31" ht="12.5" customHeight="1" x14ac:dyDescent="0.35">
      <c r="A2566" t="s">
        <v>396</v>
      </c>
      <c r="C2566" t="s">
        <v>5752</v>
      </c>
      <c r="D2566" t="s">
        <v>385</v>
      </c>
      <c r="E2566" s="133">
        <v>45841</v>
      </c>
      <c r="F2566" s="2">
        <v>0.16173611111111111</v>
      </c>
      <c r="G2566">
        <v>3</v>
      </c>
      <c r="H2566" s="133">
        <v>45840</v>
      </c>
      <c r="I2566" s="2">
        <v>0.66173611111111108</v>
      </c>
      <c r="J2566">
        <v>15</v>
      </c>
      <c r="R2566" t="s">
        <v>30</v>
      </c>
      <c r="W2566">
        <v>1</v>
      </c>
      <c r="X2566" t="s">
        <v>30</v>
      </c>
      <c r="AC2566" t="s">
        <v>5753</v>
      </c>
      <c r="AE2566" s="135"/>
    </row>
    <row r="2567" spans="1:31" ht="12.5" customHeight="1" x14ac:dyDescent="0.35">
      <c r="A2567" t="s">
        <v>396</v>
      </c>
      <c r="C2567" t="s">
        <v>5754</v>
      </c>
      <c r="D2567" t="s">
        <v>385</v>
      </c>
      <c r="E2567" s="133">
        <v>45841</v>
      </c>
      <c r="F2567" s="2">
        <v>0.1618287037037037</v>
      </c>
      <c r="G2567">
        <v>3</v>
      </c>
      <c r="H2567" s="133">
        <v>45840</v>
      </c>
      <c r="I2567" s="2">
        <v>0.66182870370370372</v>
      </c>
      <c r="J2567">
        <v>15</v>
      </c>
      <c r="R2567" t="s">
        <v>30</v>
      </c>
      <c r="W2567">
        <v>1</v>
      </c>
      <c r="X2567" t="s">
        <v>30</v>
      </c>
      <c r="AC2567" t="s">
        <v>5755</v>
      </c>
      <c r="AE2567" s="135"/>
    </row>
    <row r="2568" spans="1:31" ht="12.5" customHeight="1" x14ac:dyDescent="0.35">
      <c r="A2568" t="s">
        <v>396</v>
      </c>
      <c r="C2568" t="s">
        <v>5756</v>
      </c>
      <c r="D2568" t="s">
        <v>385</v>
      </c>
      <c r="E2568" s="133">
        <v>45841</v>
      </c>
      <c r="F2568" s="2">
        <v>0.16196759259259261</v>
      </c>
      <c r="G2568">
        <v>3</v>
      </c>
      <c r="H2568" s="133">
        <v>45840</v>
      </c>
      <c r="I2568" s="2">
        <v>0.66196759259259264</v>
      </c>
      <c r="J2568">
        <v>15</v>
      </c>
      <c r="R2568" t="s">
        <v>30</v>
      </c>
      <c r="W2568">
        <v>1</v>
      </c>
      <c r="X2568" t="s">
        <v>30</v>
      </c>
      <c r="AC2568" t="s">
        <v>5757</v>
      </c>
      <c r="AE2568" s="135"/>
    </row>
    <row r="2569" spans="1:31" ht="12.5" customHeight="1" x14ac:dyDescent="0.35">
      <c r="A2569" t="s">
        <v>396</v>
      </c>
      <c r="C2569" t="s">
        <v>5758</v>
      </c>
      <c r="D2569" t="s">
        <v>385</v>
      </c>
      <c r="E2569" s="133">
        <v>45841</v>
      </c>
      <c r="F2569" s="2">
        <v>0.1620601851851852</v>
      </c>
      <c r="G2569">
        <v>3</v>
      </c>
      <c r="H2569" s="133">
        <v>45840</v>
      </c>
      <c r="I2569" s="2">
        <v>0.66206018518518517</v>
      </c>
      <c r="J2569">
        <v>15</v>
      </c>
      <c r="R2569" t="s">
        <v>30</v>
      </c>
      <c r="W2569">
        <v>1</v>
      </c>
      <c r="X2569" t="s">
        <v>30</v>
      </c>
      <c r="AC2569" t="s">
        <v>5759</v>
      </c>
      <c r="AE2569" s="135"/>
    </row>
    <row r="2570" spans="1:31" ht="12.5" customHeight="1" x14ac:dyDescent="0.35">
      <c r="A2570" t="s">
        <v>396</v>
      </c>
      <c r="C2570" t="s">
        <v>5760</v>
      </c>
      <c r="D2570" t="s">
        <v>385</v>
      </c>
      <c r="E2570" s="133">
        <v>45841</v>
      </c>
      <c r="F2570" s="2">
        <v>0.16217592592592592</v>
      </c>
      <c r="G2570">
        <v>3</v>
      </c>
      <c r="H2570" s="133">
        <v>45840</v>
      </c>
      <c r="I2570" s="2">
        <v>0.66217592592592589</v>
      </c>
      <c r="J2570">
        <v>15</v>
      </c>
      <c r="R2570" t="s">
        <v>30</v>
      </c>
      <c r="W2570">
        <v>1</v>
      </c>
      <c r="X2570" t="s">
        <v>30</v>
      </c>
      <c r="AC2570" t="s">
        <v>5761</v>
      </c>
      <c r="AE2570" s="135"/>
    </row>
    <row r="2571" spans="1:31" ht="12.5" customHeight="1" x14ac:dyDescent="0.35">
      <c r="A2571" t="s">
        <v>396</v>
      </c>
      <c r="C2571" t="s">
        <v>5762</v>
      </c>
      <c r="D2571" t="s">
        <v>385</v>
      </c>
      <c r="E2571" s="133">
        <v>45841</v>
      </c>
      <c r="F2571" s="2">
        <v>0.16226851851851851</v>
      </c>
      <c r="G2571">
        <v>3</v>
      </c>
      <c r="H2571" s="133">
        <v>45840</v>
      </c>
      <c r="I2571" s="2">
        <v>0.66226851851851853</v>
      </c>
      <c r="J2571">
        <v>15</v>
      </c>
      <c r="R2571" t="s">
        <v>30</v>
      </c>
      <c r="W2571">
        <v>1</v>
      </c>
      <c r="X2571" t="s">
        <v>30</v>
      </c>
      <c r="AC2571" t="s">
        <v>5763</v>
      </c>
      <c r="AE2571" s="135"/>
    </row>
    <row r="2572" spans="1:31" ht="12.5" customHeight="1" x14ac:dyDescent="0.35">
      <c r="A2572" t="s">
        <v>396</v>
      </c>
      <c r="C2572" t="s">
        <v>5764</v>
      </c>
      <c r="D2572" t="s">
        <v>385</v>
      </c>
      <c r="E2572" s="133">
        <v>45841</v>
      </c>
      <c r="F2572" s="2">
        <v>0.16236111111111109</v>
      </c>
      <c r="G2572">
        <v>3</v>
      </c>
      <c r="H2572" s="133">
        <v>45840</v>
      </c>
      <c r="I2572" s="2">
        <v>0.66236111111111107</v>
      </c>
      <c r="J2572">
        <v>15</v>
      </c>
      <c r="R2572" t="s">
        <v>30</v>
      </c>
      <c r="W2572">
        <v>1</v>
      </c>
      <c r="X2572" t="s">
        <v>30</v>
      </c>
      <c r="AC2572" t="s">
        <v>5765</v>
      </c>
      <c r="AE2572" s="135"/>
    </row>
    <row r="2573" spans="1:31" ht="12.5" customHeight="1" x14ac:dyDescent="0.35">
      <c r="A2573" t="s">
        <v>396</v>
      </c>
      <c r="C2573" t="s">
        <v>5766</v>
      </c>
      <c r="D2573" t="s">
        <v>385</v>
      </c>
      <c r="E2573" s="133">
        <v>45841</v>
      </c>
      <c r="F2573" s="2">
        <v>0.16243055555555555</v>
      </c>
      <c r="G2573">
        <v>3</v>
      </c>
      <c r="H2573" s="133">
        <v>45840</v>
      </c>
      <c r="I2573" s="2">
        <v>0.66243055555555552</v>
      </c>
      <c r="J2573">
        <v>15</v>
      </c>
      <c r="R2573" t="s">
        <v>30</v>
      </c>
      <c r="W2573">
        <v>1</v>
      </c>
      <c r="X2573" t="s">
        <v>30</v>
      </c>
      <c r="AC2573" t="s">
        <v>5767</v>
      </c>
      <c r="AE2573" s="135"/>
    </row>
    <row r="2574" spans="1:31" ht="12.5" customHeight="1" x14ac:dyDescent="0.35">
      <c r="A2574" t="s">
        <v>396</v>
      </c>
      <c r="C2574" t="s">
        <v>5768</v>
      </c>
      <c r="D2574" t="s">
        <v>385</v>
      </c>
      <c r="E2574" s="133">
        <v>45841</v>
      </c>
      <c r="F2574" s="2">
        <v>0.16252314814814814</v>
      </c>
      <c r="G2574">
        <v>3</v>
      </c>
      <c r="H2574" s="133">
        <v>45840</v>
      </c>
      <c r="I2574" s="2">
        <v>0.66252314814814817</v>
      </c>
      <c r="J2574">
        <v>15</v>
      </c>
      <c r="R2574" t="s">
        <v>30</v>
      </c>
      <c r="W2574">
        <v>1</v>
      </c>
      <c r="X2574" t="s">
        <v>30</v>
      </c>
      <c r="AC2574" t="s">
        <v>5769</v>
      </c>
      <c r="AE2574" s="135"/>
    </row>
    <row r="2575" spans="1:31" ht="12.5" customHeight="1" x14ac:dyDescent="0.35">
      <c r="A2575" t="s">
        <v>396</v>
      </c>
      <c r="C2575" t="s">
        <v>5770</v>
      </c>
      <c r="D2575" t="s">
        <v>385</v>
      </c>
      <c r="E2575" s="133">
        <v>45841</v>
      </c>
      <c r="F2575" s="2">
        <v>0.16259259259259259</v>
      </c>
      <c r="G2575">
        <v>3</v>
      </c>
      <c r="H2575" s="133">
        <v>45840</v>
      </c>
      <c r="I2575" s="2">
        <v>0.66259259259259262</v>
      </c>
      <c r="J2575">
        <v>15</v>
      </c>
      <c r="R2575" t="s">
        <v>30</v>
      </c>
      <c r="W2575">
        <v>1</v>
      </c>
      <c r="X2575" t="s">
        <v>30</v>
      </c>
      <c r="AC2575" t="s">
        <v>5771</v>
      </c>
      <c r="AE2575" s="135"/>
    </row>
    <row r="2576" spans="1:31" ht="12.5" customHeight="1" x14ac:dyDescent="0.35">
      <c r="A2576" t="s">
        <v>396</v>
      </c>
      <c r="C2576" t="s">
        <v>5772</v>
      </c>
      <c r="D2576" t="s">
        <v>385</v>
      </c>
      <c r="E2576" s="133">
        <v>45841</v>
      </c>
      <c r="F2576" s="2">
        <v>0.16268518518518518</v>
      </c>
      <c r="G2576">
        <v>3</v>
      </c>
      <c r="H2576" s="133">
        <v>45840</v>
      </c>
      <c r="I2576" s="2">
        <v>0.66268518518518515</v>
      </c>
      <c r="J2576">
        <v>15</v>
      </c>
      <c r="R2576" t="s">
        <v>30</v>
      </c>
      <c r="W2576">
        <v>1</v>
      </c>
      <c r="X2576" t="s">
        <v>30</v>
      </c>
      <c r="AC2576" t="s">
        <v>5773</v>
      </c>
      <c r="AE2576" s="135"/>
    </row>
    <row r="2577" spans="1:31" ht="12.5" customHeight="1" x14ac:dyDescent="0.35">
      <c r="A2577" t="s">
        <v>396</v>
      </c>
      <c r="C2577" t="s">
        <v>5774</v>
      </c>
      <c r="D2577" t="s">
        <v>385</v>
      </c>
      <c r="E2577" s="133">
        <v>45841</v>
      </c>
      <c r="F2577" s="2">
        <v>0.16277777777777777</v>
      </c>
      <c r="G2577">
        <v>3</v>
      </c>
      <c r="H2577" s="133">
        <v>45840</v>
      </c>
      <c r="I2577" s="2">
        <v>0.6627777777777778</v>
      </c>
      <c r="J2577">
        <v>15</v>
      </c>
      <c r="R2577" t="s">
        <v>30</v>
      </c>
      <c r="W2577">
        <v>1</v>
      </c>
      <c r="X2577" t="s">
        <v>30</v>
      </c>
      <c r="AC2577" t="s">
        <v>5775</v>
      </c>
      <c r="AE2577" s="135"/>
    </row>
    <row r="2578" spans="1:31" ht="12.5" customHeight="1" x14ac:dyDescent="0.35">
      <c r="A2578" t="s">
        <v>396</v>
      </c>
      <c r="C2578" t="s">
        <v>5776</v>
      </c>
      <c r="D2578" t="s">
        <v>385</v>
      </c>
      <c r="E2578" s="133">
        <v>45841</v>
      </c>
      <c r="F2578" s="2">
        <v>0.16287037037037036</v>
      </c>
      <c r="G2578">
        <v>3</v>
      </c>
      <c r="H2578" s="133">
        <v>45840</v>
      </c>
      <c r="I2578" s="2">
        <v>0.66287037037037033</v>
      </c>
      <c r="J2578">
        <v>15</v>
      </c>
      <c r="R2578" t="s">
        <v>30</v>
      </c>
      <c r="W2578">
        <v>1</v>
      </c>
      <c r="X2578" t="s">
        <v>30</v>
      </c>
      <c r="AC2578" t="s">
        <v>5777</v>
      </c>
      <c r="AE2578" s="135"/>
    </row>
    <row r="2579" spans="1:31" ht="12.5" customHeight="1" x14ac:dyDescent="0.35">
      <c r="A2579" t="s">
        <v>396</v>
      </c>
      <c r="C2579" t="s">
        <v>5778</v>
      </c>
      <c r="D2579" t="s">
        <v>385</v>
      </c>
      <c r="E2579" s="133">
        <v>45841</v>
      </c>
      <c r="F2579" s="2">
        <v>0.16293981481481482</v>
      </c>
      <c r="G2579">
        <v>3</v>
      </c>
      <c r="H2579" s="133">
        <v>45840</v>
      </c>
      <c r="I2579" s="2">
        <v>0.66293981481481479</v>
      </c>
      <c r="J2579">
        <v>15</v>
      </c>
      <c r="R2579" t="s">
        <v>30</v>
      </c>
      <c r="W2579">
        <v>1</v>
      </c>
      <c r="X2579" t="s">
        <v>30</v>
      </c>
      <c r="AC2579" t="s">
        <v>5779</v>
      </c>
      <c r="AE2579" s="135"/>
    </row>
    <row r="2580" spans="1:31" ht="12.5" customHeight="1" x14ac:dyDescent="0.35">
      <c r="A2580" t="s">
        <v>396</v>
      </c>
      <c r="C2580" t="s">
        <v>5780</v>
      </c>
      <c r="D2580" t="s">
        <v>385</v>
      </c>
      <c r="E2580" s="133">
        <v>45841</v>
      </c>
      <c r="F2580" s="2">
        <v>0.1630787037037037</v>
      </c>
      <c r="G2580">
        <v>3</v>
      </c>
      <c r="H2580" s="133">
        <v>45840</v>
      </c>
      <c r="I2580" s="2">
        <v>0.6630787037037037</v>
      </c>
      <c r="J2580">
        <v>15</v>
      </c>
      <c r="R2580" t="s">
        <v>30</v>
      </c>
      <c r="W2580">
        <v>1</v>
      </c>
      <c r="X2580" t="s">
        <v>30</v>
      </c>
      <c r="AC2580" t="s">
        <v>5781</v>
      </c>
      <c r="AE2580" s="135"/>
    </row>
    <row r="2581" spans="1:31" ht="12.5" customHeight="1" x14ac:dyDescent="0.35">
      <c r="A2581" t="s">
        <v>396</v>
      </c>
      <c r="C2581" t="s">
        <v>5782</v>
      </c>
      <c r="D2581" t="s">
        <v>385</v>
      </c>
      <c r="E2581" s="133">
        <v>45841</v>
      </c>
      <c r="F2581" s="2">
        <v>0.16317129629629631</v>
      </c>
      <c r="G2581">
        <v>3</v>
      </c>
      <c r="H2581" s="133">
        <v>45840</v>
      </c>
      <c r="I2581" s="2">
        <v>0.66317129629629623</v>
      </c>
      <c r="J2581">
        <v>15</v>
      </c>
      <c r="R2581" t="s">
        <v>30</v>
      </c>
      <c r="W2581">
        <v>1</v>
      </c>
      <c r="X2581" t="s">
        <v>30</v>
      </c>
      <c r="AC2581" t="s">
        <v>5783</v>
      </c>
      <c r="AE2581" s="135"/>
    </row>
    <row r="2582" spans="1:31" ht="12.5" customHeight="1" x14ac:dyDescent="0.35">
      <c r="A2582" t="s">
        <v>396</v>
      </c>
      <c r="C2582" t="s">
        <v>5784</v>
      </c>
      <c r="D2582" t="s">
        <v>385</v>
      </c>
      <c r="E2582" s="133">
        <v>45841</v>
      </c>
      <c r="F2582" s="2">
        <v>0.16324074074074074</v>
      </c>
      <c r="G2582">
        <v>3</v>
      </c>
      <c r="H2582" s="133">
        <v>45840</v>
      </c>
      <c r="I2582" s="2">
        <v>0.66324074074074069</v>
      </c>
      <c r="J2582">
        <v>15</v>
      </c>
      <c r="R2582" t="s">
        <v>30</v>
      </c>
      <c r="W2582">
        <v>1</v>
      </c>
      <c r="X2582" t="s">
        <v>30</v>
      </c>
      <c r="AC2582" t="s">
        <v>5785</v>
      </c>
      <c r="AE2582" s="135"/>
    </row>
    <row r="2583" spans="1:31" ht="12.5" customHeight="1" x14ac:dyDescent="0.35">
      <c r="A2583" t="s">
        <v>396</v>
      </c>
      <c r="C2583" t="s">
        <v>5786</v>
      </c>
      <c r="D2583" t="s">
        <v>385</v>
      </c>
      <c r="E2583" s="133">
        <v>45841</v>
      </c>
      <c r="F2583" s="2">
        <v>0.16340277777777779</v>
      </c>
      <c r="G2583">
        <v>3</v>
      </c>
      <c r="H2583" s="133">
        <v>45840</v>
      </c>
      <c r="I2583" s="2">
        <v>0.66340277777777779</v>
      </c>
      <c r="J2583">
        <v>15</v>
      </c>
      <c r="R2583" t="s">
        <v>30</v>
      </c>
      <c r="W2583">
        <v>1</v>
      </c>
      <c r="X2583" t="s">
        <v>30</v>
      </c>
      <c r="AC2583" t="s">
        <v>5787</v>
      </c>
      <c r="AE2583" s="135"/>
    </row>
    <row r="2584" spans="1:31" ht="12.5" customHeight="1" x14ac:dyDescent="0.35">
      <c r="A2584" t="s">
        <v>396</v>
      </c>
      <c r="C2584" t="s">
        <v>5788</v>
      </c>
      <c r="D2584" t="s">
        <v>385</v>
      </c>
      <c r="E2584" s="133">
        <v>45841</v>
      </c>
      <c r="F2584" s="2">
        <v>0.1635648148148148</v>
      </c>
      <c r="G2584">
        <v>3</v>
      </c>
      <c r="H2584" s="133">
        <v>45840</v>
      </c>
      <c r="I2584" s="2">
        <v>0.66356481481481489</v>
      </c>
      <c r="J2584">
        <v>15</v>
      </c>
      <c r="R2584" t="s">
        <v>30</v>
      </c>
      <c r="W2584">
        <v>1</v>
      </c>
      <c r="X2584" t="s">
        <v>30</v>
      </c>
      <c r="AC2584" t="s">
        <v>5789</v>
      </c>
      <c r="AE2584" s="135"/>
    </row>
    <row r="2585" spans="1:31" ht="12.5" customHeight="1" x14ac:dyDescent="0.35">
      <c r="A2585" t="s">
        <v>396</v>
      </c>
      <c r="C2585" t="s">
        <v>5790</v>
      </c>
      <c r="D2585" t="s">
        <v>385</v>
      </c>
      <c r="E2585" s="133">
        <v>45841</v>
      </c>
      <c r="F2585" s="2">
        <v>0.16365740740740739</v>
      </c>
      <c r="G2585">
        <v>3</v>
      </c>
      <c r="H2585" s="133">
        <v>45840</v>
      </c>
      <c r="I2585" s="2">
        <v>0.66365740740740742</v>
      </c>
      <c r="J2585">
        <v>15</v>
      </c>
      <c r="R2585" t="s">
        <v>30</v>
      </c>
      <c r="W2585">
        <v>1</v>
      </c>
      <c r="X2585" t="s">
        <v>30</v>
      </c>
      <c r="AC2585" t="s">
        <v>5791</v>
      </c>
      <c r="AE2585" s="135"/>
    </row>
    <row r="2586" spans="1:31" ht="12.5" customHeight="1" x14ac:dyDescent="0.35">
      <c r="A2586" t="s">
        <v>396</v>
      </c>
      <c r="C2586" t="s">
        <v>5792</v>
      </c>
      <c r="D2586" t="s">
        <v>385</v>
      </c>
      <c r="E2586" s="133">
        <v>45841</v>
      </c>
      <c r="F2586" s="2">
        <v>0.16377314814814814</v>
      </c>
      <c r="G2586">
        <v>3</v>
      </c>
      <c r="H2586" s="133">
        <v>45840</v>
      </c>
      <c r="I2586" s="2">
        <v>0.66377314814814814</v>
      </c>
      <c r="J2586">
        <v>15</v>
      </c>
      <c r="R2586" t="s">
        <v>30</v>
      </c>
      <c r="W2586">
        <v>1</v>
      </c>
      <c r="X2586" t="s">
        <v>30</v>
      </c>
      <c r="AC2586" t="s">
        <v>5793</v>
      </c>
      <c r="AE2586" s="135"/>
    </row>
    <row r="2587" spans="1:31" ht="12.5" customHeight="1" x14ac:dyDescent="0.35">
      <c r="A2587" t="s">
        <v>396</v>
      </c>
      <c r="C2587" t="s">
        <v>5794</v>
      </c>
      <c r="D2587" t="s">
        <v>385</v>
      </c>
      <c r="E2587" s="133">
        <v>45841</v>
      </c>
      <c r="F2587" s="2">
        <v>0.16393518518518518</v>
      </c>
      <c r="G2587">
        <v>3</v>
      </c>
      <c r="H2587" s="133">
        <v>45840</v>
      </c>
      <c r="I2587" s="2">
        <v>0.66393518518518524</v>
      </c>
      <c r="J2587">
        <v>15</v>
      </c>
      <c r="R2587" t="s">
        <v>30</v>
      </c>
      <c r="W2587">
        <v>1</v>
      </c>
      <c r="X2587" t="s">
        <v>30</v>
      </c>
      <c r="AC2587" t="s">
        <v>5795</v>
      </c>
      <c r="AE2587" s="135"/>
    </row>
    <row r="2588" spans="1:31" ht="12.5" customHeight="1" x14ac:dyDescent="0.35">
      <c r="A2588" t="s">
        <v>396</v>
      </c>
      <c r="C2588" t="s">
        <v>5796</v>
      </c>
      <c r="D2588" t="s">
        <v>385</v>
      </c>
      <c r="E2588" s="133">
        <v>45841</v>
      </c>
      <c r="F2588" s="2">
        <v>0.16400462962962961</v>
      </c>
      <c r="G2588">
        <v>3</v>
      </c>
      <c r="H2588" s="133">
        <v>45840</v>
      </c>
      <c r="I2588" s="2">
        <v>0.66400462962962969</v>
      </c>
      <c r="J2588">
        <v>15</v>
      </c>
      <c r="R2588" t="s">
        <v>30</v>
      </c>
      <c r="W2588">
        <v>1</v>
      </c>
      <c r="X2588" t="s">
        <v>30</v>
      </c>
      <c r="AC2588" t="s">
        <v>5797</v>
      </c>
      <c r="AE2588" s="135"/>
    </row>
    <row r="2589" spans="1:31" ht="12.5" customHeight="1" x14ac:dyDescent="0.35">
      <c r="A2589" t="s">
        <v>396</v>
      </c>
      <c r="C2589" t="s">
        <v>5798</v>
      </c>
      <c r="D2589" t="s">
        <v>385</v>
      </c>
      <c r="E2589" s="133">
        <v>45841</v>
      </c>
      <c r="F2589" s="2">
        <v>0.16412037037037039</v>
      </c>
      <c r="G2589">
        <v>3</v>
      </c>
      <c r="H2589" s="133">
        <v>45840</v>
      </c>
      <c r="I2589" s="2">
        <v>0.66412037037037031</v>
      </c>
      <c r="J2589">
        <v>15</v>
      </c>
      <c r="R2589" t="s">
        <v>432</v>
      </c>
      <c r="S2589">
        <v>2</v>
      </c>
      <c r="T2589">
        <v>0</v>
      </c>
      <c r="U2589">
        <v>0</v>
      </c>
      <c r="V2589">
        <v>0</v>
      </c>
      <c r="W2589">
        <v>1</v>
      </c>
      <c r="X2589" t="s">
        <v>30</v>
      </c>
      <c r="AC2589" t="s">
        <v>5799</v>
      </c>
      <c r="AE2589" s="135"/>
    </row>
    <row r="2590" spans="1:31" ht="12.5" customHeight="1" x14ac:dyDescent="0.35">
      <c r="A2590" t="s">
        <v>396</v>
      </c>
      <c r="C2590" t="s">
        <v>5800</v>
      </c>
      <c r="D2590" t="s">
        <v>385</v>
      </c>
      <c r="E2590" s="133">
        <v>45841</v>
      </c>
      <c r="F2590" s="2">
        <v>0.16421296296296298</v>
      </c>
      <c r="G2590">
        <v>3</v>
      </c>
      <c r="H2590" s="133">
        <v>45840</v>
      </c>
      <c r="I2590" s="2">
        <v>0.66421296296296295</v>
      </c>
      <c r="J2590">
        <v>15</v>
      </c>
      <c r="R2590" t="s">
        <v>30</v>
      </c>
      <c r="W2590">
        <v>1</v>
      </c>
      <c r="X2590" t="s">
        <v>30</v>
      </c>
      <c r="AC2590" t="s">
        <v>5801</v>
      </c>
      <c r="AE2590" s="135"/>
    </row>
    <row r="2591" spans="1:31" ht="12.5" customHeight="1" x14ac:dyDescent="0.35">
      <c r="A2591" t="s">
        <v>396</v>
      </c>
      <c r="C2591" t="s">
        <v>5802</v>
      </c>
      <c r="D2591" t="s">
        <v>385</v>
      </c>
      <c r="E2591" s="133">
        <v>45841</v>
      </c>
      <c r="F2591" s="2">
        <v>0.16430555555555557</v>
      </c>
      <c r="G2591">
        <v>3</v>
      </c>
      <c r="H2591" s="133">
        <v>45840</v>
      </c>
      <c r="I2591" s="2">
        <v>0.66430555555555559</v>
      </c>
      <c r="J2591">
        <v>15</v>
      </c>
      <c r="R2591" t="s">
        <v>30</v>
      </c>
      <c r="W2591">
        <v>1</v>
      </c>
      <c r="X2591" t="s">
        <v>30</v>
      </c>
      <c r="AC2591" t="s">
        <v>5803</v>
      </c>
      <c r="AE2591" s="135"/>
    </row>
    <row r="2592" spans="1:31" ht="12.5" customHeight="1" x14ac:dyDescent="0.35">
      <c r="A2592" t="s">
        <v>396</v>
      </c>
      <c r="C2592" t="s">
        <v>5804</v>
      </c>
      <c r="D2592" t="s">
        <v>385</v>
      </c>
      <c r="E2592" s="133">
        <v>45841</v>
      </c>
      <c r="F2592" s="2">
        <v>0.16439814814814815</v>
      </c>
      <c r="G2592">
        <v>3</v>
      </c>
      <c r="H2592" s="133">
        <v>45840</v>
      </c>
      <c r="I2592" s="2">
        <v>0.66439814814814813</v>
      </c>
      <c r="J2592">
        <v>15</v>
      </c>
      <c r="R2592" t="s">
        <v>30</v>
      </c>
      <c r="W2592">
        <v>1</v>
      </c>
      <c r="X2592" t="s">
        <v>30</v>
      </c>
      <c r="AC2592" t="s">
        <v>5805</v>
      </c>
      <c r="AE2592" s="135"/>
    </row>
    <row r="2593" spans="1:31" ht="12.5" customHeight="1" x14ac:dyDescent="0.35">
      <c r="A2593" t="s">
        <v>396</v>
      </c>
      <c r="C2593" t="s">
        <v>5806</v>
      </c>
      <c r="D2593" t="s">
        <v>385</v>
      </c>
      <c r="E2593" s="133">
        <v>45841</v>
      </c>
      <c r="F2593" s="2">
        <v>0.16449074074074074</v>
      </c>
      <c r="G2593">
        <v>3</v>
      </c>
      <c r="H2593" s="133">
        <v>45840</v>
      </c>
      <c r="I2593" s="2">
        <v>0.66449074074074077</v>
      </c>
      <c r="J2593">
        <v>15</v>
      </c>
      <c r="R2593" t="s">
        <v>30</v>
      </c>
      <c r="W2593">
        <v>1</v>
      </c>
      <c r="X2593" t="s">
        <v>30</v>
      </c>
      <c r="AC2593" t="s">
        <v>5807</v>
      </c>
      <c r="AE2593" s="135"/>
    </row>
    <row r="2594" spans="1:31" ht="12.5" customHeight="1" x14ac:dyDescent="0.35">
      <c r="A2594" t="s">
        <v>396</v>
      </c>
      <c r="C2594" t="s">
        <v>5808</v>
      </c>
      <c r="D2594" t="s">
        <v>385</v>
      </c>
      <c r="E2594" s="133">
        <v>45841</v>
      </c>
      <c r="F2594" s="2">
        <v>0.16458333333333333</v>
      </c>
      <c r="G2594">
        <v>3</v>
      </c>
      <c r="H2594" s="133">
        <v>45840</v>
      </c>
      <c r="I2594" s="2">
        <v>0.6645833333333333</v>
      </c>
      <c r="J2594">
        <v>15</v>
      </c>
      <c r="R2594" t="s">
        <v>30</v>
      </c>
      <c r="W2594">
        <v>1</v>
      </c>
      <c r="X2594" t="s">
        <v>30</v>
      </c>
      <c r="AC2594" t="s">
        <v>5809</v>
      </c>
      <c r="AE2594" s="135"/>
    </row>
    <row r="2595" spans="1:31" ht="12.5" customHeight="1" x14ac:dyDescent="0.35">
      <c r="A2595" t="s">
        <v>396</v>
      </c>
      <c r="C2595" t="s">
        <v>5810</v>
      </c>
      <c r="D2595" t="s">
        <v>385</v>
      </c>
      <c r="E2595" s="133">
        <v>45841</v>
      </c>
      <c r="F2595" s="2">
        <v>0.16474537037037038</v>
      </c>
      <c r="G2595">
        <v>3</v>
      </c>
      <c r="H2595" s="133">
        <v>45840</v>
      </c>
      <c r="I2595" s="2">
        <v>0.6647453703703704</v>
      </c>
      <c r="J2595">
        <v>15</v>
      </c>
      <c r="R2595" t="s">
        <v>30</v>
      </c>
      <c r="W2595">
        <v>1</v>
      </c>
      <c r="X2595" t="s">
        <v>30</v>
      </c>
      <c r="AC2595" t="s">
        <v>5811</v>
      </c>
      <c r="AE2595" s="135"/>
    </row>
    <row r="2596" spans="1:31" ht="12.5" customHeight="1" x14ac:dyDescent="0.35">
      <c r="A2596" t="s">
        <v>396</v>
      </c>
      <c r="C2596" t="s">
        <v>5812</v>
      </c>
      <c r="D2596" t="s">
        <v>385</v>
      </c>
      <c r="E2596" s="133">
        <v>45841</v>
      </c>
      <c r="F2596" s="2">
        <v>0.16483796296296296</v>
      </c>
      <c r="G2596">
        <v>3</v>
      </c>
      <c r="H2596" s="133">
        <v>45840</v>
      </c>
      <c r="I2596" s="2">
        <v>0.66483796296296294</v>
      </c>
      <c r="J2596">
        <v>15</v>
      </c>
      <c r="R2596" t="s">
        <v>30</v>
      </c>
      <c r="W2596">
        <v>1</v>
      </c>
      <c r="X2596" t="s">
        <v>30</v>
      </c>
      <c r="AC2596" t="s">
        <v>5813</v>
      </c>
      <c r="AE2596" s="135"/>
    </row>
    <row r="2597" spans="1:31" ht="12.5" customHeight="1" x14ac:dyDescent="0.35">
      <c r="A2597" t="s">
        <v>396</v>
      </c>
      <c r="C2597" t="s">
        <v>5814</v>
      </c>
      <c r="D2597" t="s">
        <v>385</v>
      </c>
      <c r="E2597" s="133">
        <v>45841</v>
      </c>
      <c r="F2597" s="2">
        <v>0.16490740740740742</v>
      </c>
      <c r="G2597">
        <v>3</v>
      </c>
      <c r="H2597" s="133">
        <v>45840</v>
      </c>
      <c r="I2597" s="2">
        <v>0.66490740740740739</v>
      </c>
      <c r="J2597">
        <v>15</v>
      </c>
      <c r="R2597" t="s">
        <v>30</v>
      </c>
      <c r="W2597">
        <v>1</v>
      </c>
      <c r="X2597" t="s">
        <v>30</v>
      </c>
      <c r="AC2597" t="s">
        <v>5815</v>
      </c>
      <c r="AE2597" s="135"/>
    </row>
    <row r="2598" spans="1:31" ht="12.5" customHeight="1" x14ac:dyDescent="0.35">
      <c r="A2598" t="s">
        <v>396</v>
      </c>
      <c r="C2598" t="s">
        <v>5816</v>
      </c>
      <c r="D2598" t="s">
        <v>385</v>
      </c>
      <c r="E2598" s="133">
        <v>45841</v>
      </c>
      <c r="F2598" s="2">
        <v>0.16497685185185185</v>
      </c>
      <c r="G2598">
        <v>3</v>
      </c>
      <c r="H2598" s="133">
        <v>45840</v>
      </c>
      <c r="I2598" s="2">
        <v>0.66497685185185185</v>
      </c>
      <c r="J2598">
        <v>15</v>
      </c>
      <c r="R2598" t="s">
        <v>30</v>
      </c>
      <c r="W2598">
        <v>1</v>
      </c>
      <c r="X2598" t="s">
        <v>30</v>
      </c>
      <c r="AC2598" t="s">
        <v>5817</v>
      </c>
      <c r="AE2598" s="135"/>
    </row>
    <row r="2599" spans="1:31" ht="12.5" customHeight="1" x14ac:dyDescent="0.35">
      <c r="A2599" t="s">
        <v>396</v>
      </c>
      <c r="C2599" t="s">
        <v>5818</v>
      </c>
      <c r="D2599" t="s">
        <v>385</v>
      </c>
      <c r="E2599" s="133">
        <v>45841</v>
      </c>
      <c r="F2599" s="2">
        <v>0.16506944444444446</v>
      </c>
      <c r="G2599">
        <v>3</v>
      </c>
      <c r="H2599" s="133">
        <v>45840</v>
      </c>
      <c r="I2599" s="2">
        <v>0.66506944444444438</v>
      </c>
      <c r="J2599">
        <v>15</v>
      </c>
      <c r="R2599" t="s">
        <v>30</v>
      </c>
      <c r="W2599">
        <v>1</v>
      </c>
      <c r="X2599" t="s">
        <v>30</v>
      </c>
      <c r="AC2599" t="s">
        <v>5819</v>
      </c>
      <c r="AE2599" s="135"/>
    </row>
    <row r="2600" spans="1:31" ht="12.5" customHeight="1" x14ac:dyDescent="0.35">
      <c r="A2600" t="s">
        <v>396</v>
      </c>
      <c r="C2600" t="s">
        <v>5820</v>
      </c>
      <c r="D2600" t="s">
        <v>385</v>
      </c>
      <c r="E2600" s="133">
        <v>45841</v>
      </c>
      <c r="F2600" s="2">
        <v>0.16516203703703705</v>
      </c>
      <c r="G2600">
        <v>3</v>
      </c>
      <c r="H2600" s="133">
        <v>45840</v>
      </c>
      <c r="I2600" s="2">
        <v>0.66516203703703702</v>
      </c>
      <c r="J2600">
        <v>15</v>
      </c>
      <c r="R2600" t="s">
        <v>30</v>
      </c>
      <c r="W2600">
        <v>1</v>
      </c>
      <c r="X2600" t="s">
        <v>30</v>
      </c>
      <c r="AC2600" t="s">
        <v>5821</v>
      </c>
      <c r="AE2600" s="135"/>
    </row>
    <row r="2601" spans="1:31" ht="12.5" customHeight="1" x14ac:dyDescent="0.35">
      <c r="A2601" t="s">
        <v>396</v>
      </c>
      <c r="C2601" t="s">
        <v>5822</v>
      </c>
      <c r="D2601" t="s">
        <v>385</v>
      </c>
      <c r="E2601" s="133">
        <v>45841</v>
      </c>
      <c r="F2601" s="2">
        <v>0.16523148148148148</v>
      </c>
      <c r="G2601">
        <v>3</v>
      </c>
      <c r="H2601" s="133">
        <v>45840</v>
      </c>
      <c r="I2601" s="2">
        <v>0.66523148148148148</v>
      </c>
      <c r="J2601">
        <v>15</v>
      </c>
      <c r="R2601" t="s">
        <v>30</v>
      </c>
      <c r="W2601">
        <v>1</v>
      </c>
      <c r="X2601" t="s">
        <v>30</v>
      </c>
      <c r="AC2601" t="s">
        <v>5823</v>
      </c>
      <c r="AE2601" s="135"/>
    </row>
    <row r="2602" spans="1:31" ht="12.5" customHeight="1" x14ac:dyDescent="0.35">
      <c r="A2602" t="s">
        <v>396</v>
      </c>
      <c r="C2602" t="s">
        <v>5824</v>
      </c>
      <c r="D2602" t="s">
        <v>385</v>
      </c>
      <c r="E2602" s="133">
        <v>45841</v>
      </c>
      <c r="F2602" s="2">
        <v>0.1653240740740741</v>
      </c>
      <c r="G2602">
        <v>3</v>
      </c>
      <c r="H2602" s="133">
        <v>45840</v>
      </c>
      <c r="I2602" s="2">
        <v>0.66532407407407412</v>
      </c>
      <c r="J2602">
        <v>15</v>
      </c>
      <c r="R2602" t="s">
        <v>30</v>
      </c>
      <c r="W2602">
        <v>1</v>
      </c>
      <c r="X2602" t="s">
        <v>30</v>
      </c>
      <c r="AC2602" t="s">
        <v>5825</v>
      </c>
      <c r="AE2602" s="135"/>
    </row>
    <row r="2603" spans="1:31" ht="12.5" customHeight="1" x14ac:dyDescent="0.35">
      <c r="A2603" t="s">
        <v>396</v>
      </c>
      <c r="C2603" t="s">
        <v>5826</v>
      </c>
      <c r="D2603" t="s">
        <v>385</v>
      </c>
      <c r="E2603" s="133">
        <v>45841</v>
      </c>
      <c r="F2603" s="2">
        <v>0.16541666666666668</v>
      </c>
      <c r="G2603">
        <v>3</v>
      </c>
      <c r="H2603" s="133">
        <v>45840</v>
      </c>
      <c r="I2603" s="2">
        <v>0.66541666666666666</v>
      </c>
      <c r="J2603">
        <v>15</v>
      </c>
      <c r="R2603" t="s">
        <v>30</v>
      </c>
      <c r="W2603">
        <v>1</v>
      </c>
      <c r="X2603" t="s">
        <v>30</v>
      </c>
      <c r="AC2603" t="s">
        <v>5827</v>
      </c>
      <c r="AE2603" s="135"/>
    </row>
    <row r="2604" spans="1:31" ht="12.5" customHeight="1" x14ac:dyDescent="0.35">
      <c r="A2604" t="s">
        <v>396</v>
      </c>
      <c r="C2604" t="s">
        <v>5828</v>
      </c>
      <c r="D2604" t="s">
        <v>385</v>
      </c>
      <c r="E2604" s="133">
        <v>45841</v>
      </c>
      <c r="F2604" s="2">
        <v>0.16550925925925927</v>
      </c>
      <c r="G2604">
        <v>3</v>
      </c>
      <c r="H2604" s="133">
        <v>45840</v>
      </c>
      <c r="I2604" s="2">
        <v>0.66550925925925919</v>
      </c>
      <c r="J2604">
        <v>15</v>
      </c>
      <c r="R2604" t="s">
        <v>30</v>
      </c>
      <c r="W2604">
        <v>1</v>
      </c>
      <c r="X2604" t="s">
        <v>30</v>
      </c>
      <c r="AC2604" t="s">
        <v>5829</v>
      </c>
      <c r="AE2604" s="135"/>
    </row>
    <row r="2605" spans="1:31" ht="12.5" customHeight="1" x14ac:dyDescent="0.35">
      <c r="A2605" t="s">
        <v>396</v>
      </c>
      <c r="C2605" t="s">
        <v>5830</v>
      </c>
      <c r="D2605" t="s">
        <v>385</v>
      </c>
      <c r="E2605" s="133">
        <v>45841</v>
      </c>
      <c r="F2605" s="2">
        <v>0.16562499999999999</v>
      </c>
      <c r="G2605">
        <v>3</v>
      </c>
      <c r="H2605" s="133">
        <v>45840</v>
      </c>
      <c r="I2605" s="2">
        <v>0.66562500000000002</v>
      </c>
      <c r="J2605">
        <v>15</v>
      </c>
      <c r="R2605" t="s">
        <v>30</v>
      </c>
      <c r="W2605">
        <v>1</v>
      </c>
      <c r="X2605" t="s">
        <v>30</v>
      </c>
      <c r="AC2605" t="s">
        <v>5831</v>
      </c>
      <c r="AE2605" s="135"/>
    </row>
    <row r="2606" spans="1:31" ht="12.5" customHeight="1" x14ac:dyDescent="0.35">
      <c r="A2606" t="s">
        <v>396</v>
      </c>
      <c r="C2606" t="s">
        <v>5832</v>
      </c>
      <c r="D2606" t="s">
        <v>385</v>
      </c>
      <c r="E2606" s="133">
        <v>45841</v>
      </c>
      <c r="F2606" s="2">
        <v>0.16578703703703704</v>
      </c>
      <c r="G2606">
        <v>3</v>
      </c>
      <c r="H2606" s="133">
        <v>45840</v>
      </c>
      <c r="I2606" s="2">
        <v>0.66578703703703701</v>
      </c>
      <c r="J2606">
        <v>15</v>
      </c>
      <c r="R2606" t="s">
        <v>30</v>
      </c>
      <c r="W2606">
        <v>1</v>
      </c>
      <c r="X2606" t="s">
        <v>30</v>
      </c>
      <c r="AC2606" t="s">
        <v>5833</v>
      </c>
      <c r="AE2606" s="135"/>
    </row>
    <row r="2607" spans="1:31" ht="12.5" customHeight="1" x14ac:dyDescent="0.35">
      <c r="A2607" t="s">
        <v>396</v>
      </c>
      <c r="C2607" t="s">
        <v>5834</v>
      </c>
      <c r="D2607" t="s">
        <v>385</v>
      </c>
      <c r="E2607" s="133">
        <v>45841</v>
      </c>
      <c r="F2607" s="2">
        <v>0.16585648148148149</v>
      </c>
      <c r="G2607">
        <v>3</v>
      </c>
      <c r="H2607" s="133">
        <v>45840</v>
      </c>
      <c r="I2607" s="2">
        <v>0.66585648148148147</v>
      </c>
      <c r="J2607">
        <v>15</v>
      </c>
      <c r="R2607" t="s">
        <v>30</v>
      </c>
      <c r="W2607">
        <v>1</v>
      </c>
      <c r="X2607" t="s">
        <v>30</v>
      </c>
      <c r="AC2607" t="s">
        <v>5835</v>
      </c>
      <c r="AE2607" s="135"/>
    </row>
    <row r="2608" spans="1:31" ht="12.5" customHeight="1" x14ac:dyDescent="0.35">
      <c r="A2608" t="s">
        <v>396</v>
      </c>
      <c r="C2608" t="s">
        <v>5836</v>
      </c>
      <c r="D2608" t="s">
        <v>385</v>
      </c>
      <c r="E2608" s="133">
        <v>45841</v>
      </c>
      <c r="F2608" s="2">
        <v>0.16594907407407408</v>
      </c>
      <c r="G2608">
        <v>3</v>
      </c>
      <c r="H2608" s="133">
        <v>45840</v>
      </c>
      <c r="I2608" s="2">
        <v>0.66594907407407411</v>
      </c>
      <c r="J2608">
        <v>15</v>
      </c>
      <c r="R2608" t="s">
        <v>30</v>
      </c>
      <c r="W2608">
        <v>1</v>
      </c>
      <c r="X2608" t="s">
        <v>30</v>
      </c>
      <c r="AC2608" t="s">
        <v>5837</v>
      </c>
      <c r="AE2608" s="135"/>
    </row>
    <row r="2609" spans="1:31" ht="12.5" customHeight="1" x14ac:dyDescent="0.35">
      <c r="A2609" t="s">
        <v>396</v>
      </c>
      <c r="C2609" t="s">
        <v>5838</v>
      </c>
      <c r="D2609" t="s">
        <v>385</v>
      </c>
      <c r="E2609" s="133">
        <v>45841</v>
      </c>
      <c r="F2609" s="2">
        <v>0.16604166666666667</v>
      </c>
      <c r="G2609">
        <v>3</v>
      </c>
      <c r="H2609" s="133">
        <v>45840</v>
      </c>
      <c r="I2609" s="2">
        <v>0.66604166666666664</v>
      </c>
      <c r="J2609">
        <v>15</v>
      </c>
      <c r="R2609" t="s">
        <v>30</v>
      </c>
      <c r="W2609">
        <v>1</v>
      </c>
      <c r="X2609" t="s">
        <v>30</v>
      </c>
      <c r="AC2609" t="s">
        <v>5839</v>
      </c>
      <c r="AE2609" s="135"/>
    </row>
    <row r="2610" spans="1:31" ht="12.5" customHeight="1" x14ac:dyDescent="0.35">
      <c r="A2610" t="s">
        <v>396</v>
      </c>
      <c r="C2610" t="s">
        <v>5840</v>
      </c>
      <c r="D2610" t="s">
        <v>385</v>
      </c>
      <c r="E2610" s="133">
        <v>45841</v>
      </c>
      <c r="F2610" s="2">
        <v>0.16613425925925926</v>
      </c>
      <c r="G2610">
        <v>3</v>
      </c>
      <c r="H2610" s="133">
        <v>45840</v>
      </c>
      <c r="I2610" s="2">
        <v>0.66613425925925929</v>
      </c>
      <c r="J2610">
        <v>15</v>
      </c>
      <c r="R2610" t="s">
        <v>30</v>
      </c>
      <c r="W2610">
        <v>1</v>
      </c>
      <c r="X2610" t="s">
        <v>30</v>
      </c>
      <c r="AC2610" t="s">
        <v>5841</v>
      </c>
      <c r="AE2610" s="135"/>
    </row>
    <row r="2611" spans="1:31" ht="12.5" customHeight="1" x14ac:dyDescent="0.35">
      <c r="A2611" t="s">
        <v>396</v>
      </c>
      <c r="C2611" t="s">
        <v>5842</v>
      </c>
      <c r="D2611" t="s">
        <v>385</v>
      </c>
      <c r="E2611" s="133">
        <v>45841</v>
      </c>
      <c r="F2611" s="2">
        <v>0.16622685185185185</v>
      </c>
      <c r="G2611">
        <v>3</v>
      </c>
      <c r="H2611" s="133">
        <v>45840</v>
      </c>
      <c r="I2611" s="2">
        <v>0.66622685185185182</v>
      </c>
      <c r="J2611">
        <v>15</v>
      </c>
      <c r="R2611" t="s">
        <v>30</v>
      </c>
      <c r="W2611">
        <v>1</v>
      </c>
      <c r="X2611" t="s">
        <v>30</v>
      </c>
      <c r="AC2611" t="s">
        <v>5843</v>
      </c>
      <c r="AE2611" s="135"/>
    </row>
    <row r="2612" spans="1:31" ht="12.5" customHeight="1" x14ac:dyDescent="0.35">
      <c r="A2612" t="s">
        <v>396</v>
      </c>
      <c r="C2612" t="s">
        <v>5844</v>
      </c>
      <c r="D2612" t="s">
        <v>385</v>
      </c>
      <c r="E2612" s="133">
        <v>45841</v>
      </c>
      <c r="F2612" s="2">
        <v>0.1663425925925926</v>
      </c>
      <c r="G2612">
        <v>3</v>
      </c>
      <c r="H2612" s="133">
        <v>45840</v>
      </c>
      <c r="I2612" s="2">
        <v>0.66634259259259265</v>
      </c>
      <c r="J2612">
        <v>15</v>
      </c>
      <c r="R2612" t="s">
        <v>30</v>
      </c>
      <c r="W2612">
        <v>1</v>
      </c>
      <c r="X2612" t="s">
        <v>30</v>
      </c>
      <c r="AC2612" t="s">
        <v>5845</v>
      </c>
      <c r="AE2612" s="135"/>
    </row>
    <row r="2613" spans="1:31" ht="12.5" customHeight="1" x14ac:dyDescent="0.35">
      <c r="A2613" t="s">
        <v>396</v>
      </c>
      <c r="C2613" t="s">
        <v>5846</v>
      </c>
      <c r="D2613" t="s">
        <v>385</v>
      </c>
      <c r="E2613" s="133">
        <v>45841</v>
      </c>
      <c r="F2613" s="2">
        <v>0.16641203703703702</v>
      </c>
      <c r="G2613">
        <v>3</v>
      </c>
      <c r="H2613" s="133">
        <v>45840</v>
      </c>
      <c r="I2613" s="2">
        <v>0.66641203703703711</v>
      </c>
      <c r="J2613">
        <v>15</v>
      </c>
      <c r="R2613" t="s">
        <v>30</v>
      </c>
      <c r="W2613">
        <v>1</v>
      </c>
      <c r="X2613" t="s">
        <v>30</v>
      </c>
      <c r="AC2613" t="s">
        <v>5847</v>
      </c>
      <c r="AE2613" s="135"/>
    </row>
    <row r="2614" spans="1:31" ht="12.5" customHeight="1" x14ac:dyDescent="0.35">
      <c r="A2614" t="s">
        <v>396</v>
      </c>
      <c r="C2614" t="s">
        <v>5848</v>
      </c>
      <c r="D2614" t="s">
        <v>385</v>
      </c>
      <c r="E2614" s="133">
        <v>45841</v>
      </c>
      <c r="F2614" s="2">
        <v>0.16648148148148148</v>
      </c>
      <c r="G2614">
        <v>3</v>
      </c>
      <c r="H2614" s="133">
        <v>45840</v>
      </c>
      <c r="I2614" s="2">
        <v>0.66648148148148145</v>
      </c>
      <c r="J2614">
        <v>15</v>
      </c>
      <c r="R2614" t="s">
        <v>30</v>
      </c>
      <c r="W2614">
        <v>1</v>
      </c>
      <c r="X2614" t="s">
        <v>30</v>
      </c>
      <c r="AC2614" t="s">
        <v>5849</v>
      </c>
      <c r="AE2614" s="135"/>
    </row>
    <row r="2615" spans="1:31" ht="12.5" customHeight="1" x14ac:dyDescent="0.35">
      <c r="A2615" t="s">
        <v>396</v>
      </c>
      <c r="C2615" t="s">
        <v>5850</v>
      </c>
      <c r="D2615" t="s">
        <v>385</v>
      </c>
      <c r="E2615" s="133">
        <v>45841</v>
      </c>
      <c r="F2615" s="2">
        <v>0.16657407407407407</v>
      </c>
      <c r="G2615">
        <v>3</v>
      </c>
      <c r="H2615" s="133">
        <v>45840</v>
      </c>
      <c r="I2615" s="2">
        <v>0.6665740740740741</v>
      </c>
      <c r="J2615">
        <v>15</v>
      </c>
      <c r="R2615" t="s">
        <v>30</v>
      </c>
      <c r="W2615">
        <v>1</v>
      </c>
      <c r="X2615" t="s">
        <v>30</v>
      </c>
      <c r="AC2615" t="s">
        <v>5851</v>
      </c>
      <c r="AE2615" s="135"/>
    </row>
    <row r="2616" spans="1:31" ht="12.5" customHeight="1" x14ac:dyDescent="0.35">
      <c r="A2616" t="s">
        <v>396</v>
      </c>
      <c r="C2616" t="s">
        <v>5852</v>
      </c>
      <c r="D2616" t="s">
        <v>385</v>
      </c>
      <c r="E2616" s="133">
        <v>45841</v>
      </c>
      <c r="F2616" s="2">
        <v>0.16664351851851852</v>
      </c>
      <c r="G2616">
        <v>3</v>
      </c>
      <c r="H2616" s="133">
        <v>45840</v>
      </c>
      <c r="I2616" s="2">
        <v>0.66664351851851855</v>
      </c>
      <c r="J2616">
        <v>15</v>
      </c>
      <c r="R2616" t="s">
        <v>30</v>
      </c>
      <c r="W2616">
        <v>1</v>
      </c>
      <c r="X2616" t="s">
        <v>30</v>
      </c>
      <c r="AC2616" t="s">
        <v>5853</v>
      </c>
      <c r="AE2616" s="135"/>
    </row>
    <row r="2617" spans="1:31" ht="12.5" customHeight="1" x14ac:dyDescent="0.35">
      <c r="A2617" t="s">
        <v>396</v>
      </c>
      <c r="C2617" t="s">
        <v>5854</v>
      </c>
      <c r="D2617" t="s">
        <v>385</v>
      </c>
      <c r="E2617" s="133">
        <v>45841</v>
      </c>
      <c r="F2617" s="2">
        <v>0.16671296296296298</v>
      </c>
      <c r="G2617">
        <v>4</v>
      </c>
      <c r="H2617" s="133">
        <v>45840</v>
      </c>
      <c r="I2617" s="2">
        <v>0.66671296296296301</v>
      </c>
      <c r="J2617">
        <v>16</v>
      </c>
      <c r="R2617" t="s">
        <v>30</v>
      </c>
      <c r="W2617">
        <v>1</v>
      </c>
      <c r="X2617" t="s">
        <v>30</v>
      </c>
      <c r="AC2617" t="s">
        <v>5855</v>
      </c>
      <c r="AE2617" s="135"/>
    </row>
    <row r="2618" spans="1:31" ht="12.5" customHeight="1" x14ac:dyDescent="0.35">
      <c r="A2618" t="s">
        <v>396</v>
      </c>
      <c r="C2618" t="s">
        <v>5856</v>
      </c>
      <c r="D2618" t="s">
        <v>385</v>
      </c>
      <c r="E2618" s="133">
        <v>45841</v>
      </c>
      <c r="F2618" s="2">
        <v>0.16680555555555554</v>
      </c>
      <c r="G2618">
        <v>4</v>
      </c>
      <c r="H2618" s="133">
        <v>45840</v>
      </c>
      <c r="I2618" s="2">
        <v>0.66680555555555554</v>
      </c>
      <c r="J2618">
        <v>16</v>
      </c>
      <c r="R2618" t="s">
        <v>30</v>
      </c>
      <c r="W2618">
        <v>1</v>
      </c>
      <c r="X2618" t="s">
        <v>30</v>
      </c>
      <c r="AC2618" t="s">
        <v>5857</v>
      </c>
      <c r="AE2618" s="135"/>
    </row>
    <row r="2619" spans="1:31" ht="12.5" customHeight="1" x14ac:dyDescent="0.35">
      <c r="A2619" t="s">
        <v>396</v>
      </c>
      <c r="C2619" t="s">
        <v>5858</v>
      </c>
      <c r="D2619" t="s">
        <v>385</v>
      </c>
      <c r="E2619" s="133">
        <v>45841</v>
      </c>
      <c r="F2619" s="2">
        <v>0.166875</v>
      </c>
      <c r="G2619">
        <v>4</v>
      </c>
      <c r="H2619" s="133">
        <v>45840</v>
      </c>
      <c r="I2619" s="2">
        <v>0.666875</v>
      </c>
      <c r="J2619">
        <v>16</v>
      </c>
      <c r="R2619" t="s">
        <v>30</v>
      </c>
      <c r="W2619">
        <v>1</v>
      </c>
      <c r="X2619" t="s">
        <v>30</v>
      </c>
      <c r="AC2619" t="s">
        <v>5859</v>
      </c>
      <c r="AE2619" s="135"/>
    </row>
    <row r="2620" spans="1:31" ht="12.5" customHeight="1" x14ac:dyDescent="0.35">
      <c r="A2620" t="s">
        <v>396</v>
      </c>
      <c r="C2620" t="s">
        <v>5860</v>
      </c>
      <c r="D2620" t="s">
        <v>385</v>
      </c>
      <c r="E2620" s="133">
        <v>45841</v>
      </c>
      <c r="F2620" s="2">
        <v>0.16696759259259261</v>
      </c>
      <c r="G2620">
        <v>4</v>
      </c>
      <c r="H2620" s="133">
        <v>45840</v>
      </c>
      <c r="I2620" s="2">
        <v>0.66696759259259253</v>
      </c>
      <c r="J2620">
        <v>16</v>
      </c>
      <c r="R2620" t="s">
        <v>30</v>
      </c>
      <c r="W2620">
        <v>1</v>
      </c>
      <c r="X2620" t="s">
        <v>30</v>
      </c>
      <c r="AC2620" t="s">
        <v>5861</v>
      </c>
      <c r="AE2620" s="135"/>
    </row>
    <row r="2621" spans="1:31" ht="12.5" customHeight="1" x14ac:dyDescent="0.35">
      <c r="A2621" t="s">
        <v>396</v>
      </c>
      <c r="C2621" t="s">
        <v>5862</v>
      </c>
      <c r="D2621" t="s">
        <v>385</v>
      </c>
      <c r="E2621" s="133">
        <v>45841</v>
      </c>
      <c r="F2621" s="2">
        <v>0.16708333333333333</v>
      </c>
      <c r="G2621">
        <v>4</v>
      </c>
      <c r="H2621" s="133">
        <v>45840</v>
      </c>
      <c r="I2621" s="2">
        <v>0.66708333333333336</v>
      </c>
      <c r="J2621">
        <v>16</v>
      </c>
      <c r="R2621" t="s">
        <v>30</v>
      </c>
      <c r="W2621">
        <v>1</v>
      </c>
      <c r="X2621" t="s">
        <v>30</v>
      </c>
      <c r="AC2621" t="s">
        <v>5863</v>
      </c>
      <c r="AE2621" s="135"/>
    </row>
    <row r="2622" spans="1:31" ht="12.5" customHeight="1" x14ac:dyDescent="0.35">
      <c r="A2622" t="s">
        <v>396</v>
      </c>
      <c r="C2622" t="s">
        <v>5864</v>
      </c>
      <c r="D2622" t="s">
        <v>385</v>
      </c>
      <c r="E2622" s="133">
        <v>45841</v>
      </c>
      <c r="F2622" s="2">
        <v>0.16717592592592592</v>
      </c>
      <c r="G2622">
        <v>4</v>
      </c>
      <c r="H2622" s="133">
        <v>45840</v>
      </c>
      <c r="I2622" s="2">
        <v>0.66717592592592589</v>
      </c>
      <c r="J2622">
        <v>16</v>
      </c>
      <c r="R2622" t="s">
        <v>30</v>
      </c>
      <c r="W2622">
        <v>1</v>
      </c>
      <c r="X2622" t="s">
        <v>30</v>
      </c>
      <c r="AC2622" t="s">
        <v>5865</v>
      </c>
      <c r="AE2622" s="135"/>
    </row>
    <row r="2623" spans="1:31" ht="12.5" customHeight="1" x14ac:dyDescent="0.35">
      <c r="A2623" t="s">
        <v>396</v>
      </c>
      <c r="C2623" t="s">
        <v>5866</v>
      </c>
      <c r="D2623" t="s">
        <v>385</v>
      </c>
      <c r="E2623" s="133">
        <v>45841</v>
      </c>
      <c r="F2623" s="2">
        <v>0.16724537037037038</v>
      </c>
      <c r="G2623">
        <v>4</v>
      </c>
      <c r="H2623" s="133">
        <v>45840</v>
      </c>
      <c r="I2623" s="2">
        <v>0.66724537037037035</v>
      </c>
      <c r="J2623">
        <v>16</v>
      </c>
      <c r="R2623" t="s">
        <v>30</v>
      </c>
      <c r="W2623">
        <v>1</v>
      </c>
      <c r="X2623" t="s">
        <v>30</v>
      </c>
      <c r="AC2623" t="s">
        <v>5867</v>
      </c>
      <c r="AE2623" s="135"/>
    </row>
    <row r="2624" spans="1:31" ht="12.5" customHeight="1" x14ac:dyDescent="0.35">
      <c r="A2624" t="s">
        <v>396</v>
      </c>
      <c r="C2624" t="s">
        <v>5868</v>
      </c>
      <c r="D2624" t="s">
        <v>385</v>
      </c>
      <c r="E2624" s="133">
        <v>45841</v>
      </c>
      <c r="F2624" s="2">
        <v>0.1673611111111111</v>
      </c>
      <c r="G2624">
        <v>4</v>
      </c>
      <c r="H2624" s="133">
        <v>45840</v>
      </c>
      <c r="I2624" s="2">
        <v>0.66736111111111107</v>
      </c>
      <c r="J2624">
        <v>16</v>
      </c>
      <c r="R2624" t="s">
        <v>30</v>
      </c>
      <c r="W2624">
        <v>1</v>
      </c>
      <c r="X2624" t="s">
        <v>30</v>
      </c>
      <c r="AC2624" t="s">
        <v>5869</v>
      </c>
      <c r="AE2624" s="135"/>
    </row>
    <row r="2625" spans="1:31" ht="12.5" customHeight="1" x14ac:dyDescent="0.35">
      <c r="A2625" t="s">
        <v>396</v>
      </c>
      <c r="C2625" t="s">
        <v>5870</v>
      </c>
      <c r="D2625" t="s">
        <v>385</v>
      </c>
      <c r="E2625" s="133">
        <v>45841</v>
      </c>
      <c r="F2625" s="2">
        <v>0.16743055555555555</v>
      </c>
      <c r="G2625">
        <v>4</v>
      </c>
      <c r="H2625" s="133">
        <v>45840</v>
      </c>
      <c r="I2625" s="2">
        <v>0.66743055555555564</v>
      </c>
      <c r="J2625">
        <v>16</v>
      </c>
      <c r="R2625" t="s">
        <v>30</v>
      </c>
      <c r="W2625">
        <v>1</v>
      </c>
      <c r="X2625" t="s">
        <v>30</v>
      </c>
      <c r="AC2625" t="s">
        <v>5871</v>
      </c>
      <c r="AE2625" s="135"/>
    </row>
    <row r="2626" spans="1:31" ht="12.5" customHeight="1" x14ac:dyDescent="0.35">
      <c r="A2626" t="s">
        <v>396</v>
      </c>
      <c r="C2626" t="s">
        <v>5872</v>
      </c>
      <c r="D2626" t="s">
        <v>385</v>
      </c>
      <c r="E2626" s="133">
        <v>45841</v>
      </c>
      <c r="F2626" s="2">
        <v>0.16752314814814814</v>
      </c>
      <c r="G2626">
        <v>4</v>
      </c>
      <c r="H2626" s="133">
        <v>45840</v>
      </c>
      <c r="I2626" s="2">
        <v>0.66752314814814817</v>
      </c>
      <c r="J2626">
        <v>16</v>
      </c>
      <c r="R2626" t="s">
        <v>30</v>
      </c>
      <c r="W2626">
        <v>1</v>
      </c>
      <c r="X2626" t="s">
        <v>30</v>
      </c>
      <c r="AC2626" t="s">
        <v>5873</v>
      </c>
      <c r="AE2626" s="135"/>
    </row>
    <row r="2627" spans="1:31" ht="12.5" customHeight="1" x14ac:dyDescent="0.35">
      <c r="A2627" t="s">
        <v>396</v>
      </c>
      <c r="C2627" t="s">
        <v>5874</v>
      </c>
      <c r="D2627" t="s">
        <v>385</v>
      </c>
      <c r="E2627" s="133">
        <v>45841</v>
      </c>
      <c r="F2627" s="2">
        <v>0.16763888888888889</v>
      </c>
      <c r="G2627">
        <v>4</v>
      </c>
      <c r="H2627" s="133">
        <v>45840</v>
      </c>
      <c r="I2627" s="2">
        <v>0.66763888888888889</v>
      </c>
      <c r="J2627">
        <v>16</v>
      </c>
      <c r="R2627" t="s">
        <v>30</v>
      </c>
      <c r="W2627">
        <v>1</v>
      </c>
      <c r="X2627" t="s">
        <v>30</v>
      </c>
      <c r="AC2627" t="s">
        <v>5875</v>
      </c>
      <c r="AE2627" s="135"/>
    </row>
    <row r="2628" spans="1:31" ht="12.5" customHeight="1" x14ac:dyDescent="0.35">
      <c r="A2628" t="s">
        <v>396</v>
      </c>
      <c r="C2628" t="s">
        <v>5876</v>
      </c>
      <c r="D2628" t="s">
        <v>385</v>
      </c>
      <c r="E2628" s="133">
        <v>45841</v>
      </c>
      <c r="F2628" s="2">
        <v>0.16775462962962961</v>
      </c>
      <c r="G2628">
        <v>4</v>
      </c>
      <c r="H2628" s="133">
        <v>45840</v>
      </c>
      <c r="I2628" s="2">
        <v>0.66775462962962961</v>
      </c>
      <c r="J2628">
        <v>16</v>
      </c>
      <c r="R2628" t="s">
        <v>30</v>
      </c>
      <c r="W2628">
        <v>1</v>
      </c>
      <c r="X2628" t="s">
        <v>30</v>
      </c>
      <c r="AC2628" t="s">
        <v>5877</v>
      </c>
      <c r="AE2628" s="135"/>
    </row>
    <row r="2629" spans="1:31" ht="12.5" customHeight="1" x14ac:dyDescent="0.35">
      <c r="A2629" t="s">
        <v>396</v>
      </c>
      <c r="C2629" t="s">
        <v>5878</v>
      </c>
      <c r="D2629" t="s">
        <v>385</v>
      </c>
      <c r="E2629" s="133">
        <v>45841</v>
      </c>
      <c r="F2629" s="2">
        <v>0.16782407407407407</v>
      </c>
      <c r="G2629">
        <v>4</v>
      </c>
      <c r="H2629" s="133">
        <v>45840</v>
      </c>
      <c r="I2629" s="2">
        <v>0.66782407407407407</v>
      </c>
      <c r="J2629">
        <v>16</v>
      </c>
      <c r="R2629" t="s">
        <v>30</v>
      </c>
      <c r="W2629">
        <v>1</v>
      </c>
      <c r="X2629" t="s">
        <v>30</v>
      </c>
      <c r="AC2629" t="s">
        <v>5879</v>
      </c>
      <c r="AE2629" s="135"/>
    </row>
    <row r="2630" spans="1:31" ht="12.5" customHeight="1" x14ac:dyDescent="0.35">
      <c r="A2630" t="s">
        <v>396</v>
      </c>
      <c r="C2630" t="s">
        <v>5880</v>
      </c>
      <c r="D2630" t="s">
        <v>385</v>
      </c>
      <c r="E2630" s="133">
        <v>45841</v>
      </c>
      <c r="F2630" s="2">
        <v>0.16791666666666669</v>
      </c>
      <c r="G2630">
        <v>4</v>
      </c>
      <c r="H2630" s="133">
        <v>45840</v>
      </c>
      <c r="I2630" s="2">
        <v>0.66791666666666671</v>
      </c>
      <c r="J2630">
        <v>16</v>
      </c>
      <c r="R2630" t="s">
        <v>30</v>
      </c>
      <c r="W2630">
        <v>1</v>
      </c>
      <c r="X2630" t="s">
        <v>30</v>
      </c>
      <c r="AC2630" t="s">
        <v>5881</v>
      </c>
      <c r="AE2630" s="135"/>
    </row>
    <row r="2631" spans="1:31" ht="12.5" customHeight="1" x14ac:dyDescent="0.35">
      <c r="A2631" t="s">
        <v>396</v>
      </c>
      <c r="C2631" t="s">
        <v>5882</v>
      </c>
      <c r="D2631" t="s">
        <v>385</v>
      </c>
      <c r="E2631" s="133">
        <v>45841</v>
      </c>
      <c r="F2631" s="2">
        <v>0.16803240740740741</v>
      </c>
      <c r="G2631">
        <v>4</v>
      </c>
      <c r="H2631" s="133">
        <v>45840</v>
      </c>
      <c r="I2631" s="2">
        <v>0.66803240740740744</v>
      </c>
      <c r="J2631">
        <v>16</v>
      </c>
      <c r="R2631" t="s">
        <v>30</v>
      </c>
      <c r="W2631">
        <v>1</v>
      </c>
      <c r="X2631" t="s">
        <v>30</v>
      </c>
      <c r="AC2631" t="s">
        <v>5883</v>
      </c>
      <c r="AE2631" s="135"/>
    </row>
    <row r="2632" spans="1:31" ht="12.5" customHeight="1" x14ac:dyDescent="0.35">
      <c r="A2632" t="s">
        <v>396</v>
      </c>
      <c r="C2632" t="s">
        <v>5884</v>
      </c>
      <c r="D2632" t="s">
        <v>385</v>
      </c>
      <c r="E2632" s="133">
        <v>45841</v>
      </c>
      <c r="F2632" s="2">
        <v>0.168125</v>
      </c>
      <c r="G2632">
        <v>4</v>
      </c>
      <c r="H2632" s="133">
        <v>45840</v>
      </c>
      <c r="I2632" s="2">
        <v>0.66812499999999997</v>
      </c>
      <c r="J2632">
        <v>16</v>
      </c>
      <c r="R2632" t="s">
        <v>30</v>
      </c>
      <c r="W2632">
        <v>1</v>
      </c>
      <c r="X2632" t="s">
        <v>30</v>
      </c>
      <c r="AC2632" t="s">
        <v>5885</v>
      </c>
      <c r="AE2632" s="135"/>
    </row>
    <row r="2633" spans="1:31" ht="12.5" customHeight="1" x14ac:dyDescent="0.35">
      <c r="A2633" t="s">
        <v>396</v>
      </c>
      <c r="C2633" t="s">
        <v>5886</v>
      </c>
      <c r="D2633" t="s">
        <v>385</v>
      </c>
      <c r="E2633" s="133">
        <v>45841</v>
      </c>
      <c r="F2633" s="2">
        <v>0.16819444444444445</v>
      </c>
      <c r="G2633">
        <v>4</v>
      </c>
      <c r="H2633" s="133">
        <v>45840</v>
      </c>
      <c r="I2633" s="2">
        <v>0.66819444444444442</v>
      </c>
      <c r="J2633">
        <v>16</v>
      </c>
      <c r="R2633" t="s">
        <v>30</v>
      </c>
      <c r="W2633">
        <v>1</v>
      </c>
      <c r="X2633" t="s">
        <v>30</v>
      </c>
      <c r="AC2633" t="s">
        <v>5887</v>
      </c>
      <c r="AE2633" s="135"/>
    </row>
    <row r="2634" spans="1:31" ht="12.5" customHeight="1" x14ac:dyDescent="0.35">
      <c r="A2634" t="s">
        <v>396</v>
      </c>
      <c r="C2634" t="s">
        <v>5888</v>
      </c>
      <c r="D2634" t="s">
        <v>385</v>
      </c>
      <c r="E2634" s="133">
        <v>45841</v>
      </c>
      <c r="F2634" s="2">
        <v>0.16833333333333333</v>
      </c>
      <c r="G2634">
        <v>4</v>
      </c>
      <c r="H2634" s="133">
        <v>45840</v>
      </c>
      <c r="I2634" s="2">
        <v>0.66833333333333333</v>
      </c>
      <c r="J2634">
        <v>16</v>
      </c>
      <c r="R2634" t="s">
        <v>30</v>
      </c>
      <c r="W2634">
        <v>1</v>
      </c>
      <c r="X2634" t="s">
        <v>30</v>
      </c>
      <c r="AC2634" t="s">
        <v>5889</v>
      </c>
      <c r="AE2634" s="135"/>
    </row>
    <row r="2635" spans="1:31" ht="12.5" customHeight="1" x14ac:dyDescent="0.35">
      <c r="A2635" t="s">
        <v>396</v>
      </c>
      <c r="C2635" t="s">
        <v>5890</v>
      </c>
      <c r="D2635" t="s">
        <v>385</v>
      </c>
      <c r="E2635" s="133">
        <v>45841</v>
      </c>
      <c r="F2635" s="2">
        <v>0.16842592592592595</v>
      </c>
      <c r="G2635">
        <v>4</v>
      </c>
      <c r="H2635" s="133">
        <v>45840</v>
      </c>
      <c r="I2635" s="2">
        <v>0.66842592592592587</v>
      </c>
      <c r="J2635">
        <v>16</v>
      </c>
      <c r="R2635" t="s">
        <v>30</v>
      </c>
      <c r="W2635">
        <v>1</v>
      </c>
      <c r="X2635" t="s">
        <v>30</v>
      </c>
      <c r="AC2635" t="s">
        <v>5891</v>
      </c>
      <c r="AE2635" s="135"/>
    </row>
    <row r="2636" spans="1:31" ht="12.5" customHeight="1" x14ac:dyDescent="0.35">
      <c r="A2636" t="s">
        <v>396</v>
      </c>
      <c r="C2636" t="s">
        <v>5892</v>
      </c>
      <c r="D2636" t="s">
        <v>385</v>
      </c>
      <c r="E2636" s="133">
        <v>45841</v>
      </c>
      <c r="F2636" s="2">
        <v>0.16858796296296297</v>
      </c>
      <c r="G2636">
        <v>4</v>
      </c>
      <c r="H2636" s="133">
        <v>45840</v>
      </c>
      <c r="I2636" s="2">
        <v>0.66858796296296286</v>
      </c>
      <c r="J2636">
        <v>16</v>
      </c>
      <c r="R2636" t="s">
        <v>30</v>
      </c>
      <c r="W2636">
        <v>1</v>
      </c>
      <c r="X2636" t="s">
        <v>30</v>
      </c>
      <c r="AC2636" t="s">
        <v>5893</v>
      </c>
      <c r="AE2636" s="135"/>
    </row>
    <row r="2637" spans="1:31" ht="12.5" customHeight="1" x14ac:dyDescent="0.35">
      <c r="A2637" t="s">
        <v>396</v>
      </c>
      <c r="C2637" t="s">
        <v>5894</v>
      </c>
      <c r="D2637" t="s">
        <v>385</v>
      </c>
      <c r="E2637" s="133">
        <v>45841</v>
      </c>
      <c r="F2637" s="2">
        <v>0.16865740740740742</v>
      </c>
      <c r="G2637">
        <v>4</v>
      </c>
      <c r="H2637" s="133">
        <v>45840</v>
      </c>
      <c r="I2637" s="2">
        <v>0.66865740740740742</v>
      </c>
      <c r="J2637">
        <v>16</v>
      </c>
      <c r="R2637" t="s">
        <v>30</v>
      </c>
      <c r="W2637">
        <v>1</v>
      </c>
      <c r="X2637" t="s">
        <v>30</v>
      </c>
      <c r="AC2637" t="s">
        <v>5895</v>
      </c>
      <c r="AE2637" s="135"/>
    </row>
    <row r="2638" spans="1:31" ht="12.5" customHeight="1" x14ac:dyDescent="0.35">
      <c r="A2638" t="s">
        <v>396</v>
      </c>
      <c r="C2638" t="s">
        <v>5896</v>
      </c>
      <c r="D2638" t="s">
        <v>385</v>
      </c>
      <c r="E2638" s="133">
        <v>45841</v>
      </c>
      <c r="F2638" s="2">
        <v>0.16872685185185185</v>
      </c>
      <c r="G2638">
        <v>4</v>
      </c>
      <c r="H2638" s="133">
        <v>45840</v>
      </c>
      <c r="I2638" s="2">
        <v>0.66872685185185177</v>
      </c>
      <c r="J2638">
        <v>16</v>
      </c>
      <c r="R2638" t="s">
        <v>30</v>
      </c>
      <c r="W2638">
        <v>1</v>
      </c>
      <c r="X2638" t="s">
        <v>30</v>
      </c>
      <c r="AC2638" t="s">
        <v>5897</v>
      </c>
      <c r="AE2638" s="135"/>
    </row>
    <row r="2639" spans="1:31" ht="12.5" customHeight="1" x14ac:dyDescent="0.35">
      <c r="A2639" t="s">
        <v>396</v>
      </c>
      <c r="C2639" t="s">
        <v>5898</v>
      </c>
      <c r="D2639" t="s">
        <v>385</v>
      </c>
      <c r="E2639" s="133">
        <v>45841</v>
      </c>
      <c r="F2639" s="2">
        <v>0.16881944444444444</v>
      </c>
      <c r="G2639">
        <v>4</v>
      </c>
      <c r="H2639" s="133">
        <v>45840</v>
      </c>
      <c r="I2639" s="2">
        <v>0.66881944444444441</v>
      </c>
      <c r="J2639">
        <v>16</v>
      </c>
      <c r="R2639" t="s">
        <v>30</v>
      </c>
      <c r="W2639">
        <v>1</v>
      </c>
      <c r="X2639" t="s">
        <v>30</v>
      </c>
      <c r="AC2639" t="s">
        <v>5899</v>
      </c>
      <c r="AE2639" s="135"/>
    </row>
    <row r="2640" spans="1:31" ht="12.5" customHeight="1" x14ac:dyDescent="0.35">
      <c r="A2640" t="s">
        <v>396</v>
      </c>
      <c r="C2640" t="s">
        <v>5900</v>
      </c>
      <c r="D2640" t="s">
        <v>385</v>
      </c>
      <c r="E2640" s="133">
        <v>45841</v>
      </c>
      <c r="F2640" s="2">
        <v>0.16893518518518516</v>
      </c>
      <c r="G2640">
        <v>4</v>
      </c>
      <c r="H2640" s="133">
        <v>45840</v>
      </c>
      <c r="I2640" s="2">
        <v>0.66893518518518524</v>
      </c>
      <c r="J2640">
        <v>16</v>
      </c>
      <c r="R2640" t="s">
        <v>30</v>
      </c>
      <c r="W2640">
        <v>1</v>
      </c>
      <c r="X2640" t="s">
        <v>30</v>
      </c>
      <c r="AC2640" t="s">
        <v>5901</v>
      </c>
      <c r="AE2640" s="135"/>
    </row>
    <row r="2641" spans="1:31" ht="12.5" customHeight="1" x14ac:dyDescent="0.35">
      <c r="A2641" t="s">
        <v>396</v>
      </c>
      <c r="C2641" t="s">
        <v>5902</v>
      </c>
      <c r="D2641" t="s">
        <v>385</v>
      </c>
      <c r="E2641" s="133">
        <v>45841</v>
      </c>
      <c r="F2641" s="2">
        <v>0.16902777777777778</v>
      </c>
      <c r="G2641">
        <v>4</v>
      </c>
      <c r="H2641" s="133">
        <v>45840</v>
      </c>
      <c r="I2641" s="2">
        <v>0.66902777777777789</v>
      </c>
      <c r="J2641">
        <v>16</v>
      </c>
      <c r="R2641" t="s">
        <v>30</v>
      </c>
      <c r="W2641">
        <v>1</v>
      </c>
      <c r="X2641" t="s">
        <v>30</v>
      </c>
      <c r="AC2641" t="s">
        <v>5903</v>
      </c>
      <c r="AE2641" s="135"/>
    </row>
    <row r="2642" spans="1:31" ht="12.5" customHeight="1" x14ac:dyDescent="0.35">
      <c r="A2642" t="s">
        <v>396</v>
      </c>
      <c r="C2642" t="s">
        <v>5904</v>
      </c>
      <c r="D2642" t="s">
        <v>385</v>
      </c>
      <c r="E2642" s="133">
        <v>45841</v>
      </c>
      <c r="F2642" s="2">
        <v>0.16914351851851853</v>
      </c>
      <c r="G2642">
        <v>4</v>
      </c>
      <c r="H2642" s="133">
        <v>45840</v>
      </c>
      <c r="I2642" s="2">
        <v>0.6691435185185185</v>
      </c>
      <c r="J2642">
        <v>16</v>
      </c>
      <c r="R2642" t="s">
        <v>30</v>
      </c>
      <c r="W2642">
        <v>1</v>
      </c>
      <c r="X2642" t="s">
        <v>30</v>
      </c>
      <c r="AC2642" t="s">
        <v>5905</v>
      </c>
      <c r="AE2642" s="135"/>
    </row>
    <row r="2643" spans="1:31" ht="12.5" customHeight="1" x14ac:dyDescent="0.35">
      <c r="A2643" t="s">
        <v>396</v>
      </c>
      <c r="C2643" t="s">
        <v>5906</v>
      </c>
      <c r="D2643" t="s">
        <v>385</v>
      </c>
      <c r="E2643" s="133">
        <v>45841</v>
      </c>
      <c r="F2643" s="2">
        <v>0.16921296296296295</v>
      </c>
      <c r="G2643">
        <v>4</v>
      </c>
      <c r="H2643" s="133">
        <v>45840</v>
      </c>
      <c r="I2643" s="2">
        <v>0.66921296296296295</v>
      </c>
      <c r="J2643">
        <v>16</v>
      </c>
      <c r="R2643" t="s">
        <v>30</v>
      </c>
      <c r="W2643">
        <v>1</v>
      </c>
      <c r="X2643" t="s">
        <v>30</v>
      </c>
      <c r="AC2643" t="s">
        <v>5907</v>
      </c>
      <c r="AE2643" s="135"/>
    </row>
    <row r="2644" spans="1:31" ht="12.5" customHeight="1" x14ac:dyDescent="0.35">
      <c r="A2644" t="s">
        <v>396</v>
      </c>
      <c r="C2644" t="s">
        <v>5908</v>
      </c>
      <c r="D2644" t="s">
        <v>385</v>
      </c>
      <c r="E2644" s="133">
        <v>45841</v>
      </c>
      <c r="F2644" s="2">
        <v>0.16928240740740741</v>
      </c>
      <c r="G2644">
        <v>4</v>
      </c>
      <c r="H2644" s="133">
        <v>45840</v>
      </c>
      <c r="I2644" s="2">
        <v>0.66928240740740741</v>
      </c>
      <c r="J2644">
        <v>16</v>
      </c>
      <c r="R2644" t="s">
        <v>30</v>
      </c>
      <c r="W2644">
        <v>1</v>
      </c>
      <c r="X2644" t="s">
        <v>30</v>
      </c>
      <c r="AC2644" t="s">
        <v>5909</v>
      </c>
      <c r="AE2644" s="135"/>
    </row>
    <row r="2645" spans="1:31" ht="12.5" customHeight="1" x14ac:dyDescent="0.35">
      <c r="A2645" t="s">
        <v>396</v>
      </c>
      <c r="C2645" t="s">
        <v>5910</v>
      </c>
      <c r="D2645" t="s">
        <v>385</v>
      </c>
      <c r="E2645" s="133">
        <v>45841</v>
      </c>
      <c r="F2645" s="2">
        <v>0.16937500000000003</v>
      </c>
      <c r="G2645">
        <v>4</v>
      </c>
      <c r="H2645" s="133">
        <v>45840</v>
      </c>
      <c r="I2645" s="2">
        <v>0.66937500000000005</v>
      </c>
      <c r="J2645">
        <v>16</v>
      </c>
      <c r="R2645" t="s">
        <v>30</v>
      </c>
      <c r="W2645">
        <v>1</v>
      </c>
      <c r="X2645" t="s">
        <v>30</v>
      </c>
      <c r="AC2645" t="s">
        <v>5911</v>
      </c>
      <c r="AE2645" s="135"/>
    </row>
    <row r="2646" spans="1:31" ht="12.5" customHeight="1" x14ac:dyDescent="0.35">
      <c r="A2646" t="s">
        <v>396</v>
      </c>
      <c r="C2646" t="s">
        <v>5912</v>
      </c>
      <c r="D2646" t="s">
        <v>385</v>
      </c>
      <c r="E2646" s="133">
        <v>45841</v>
      </c>
      <c r="F2646" s="2">
        <v>0.16944444444444443</v>
      </c>
      <c r="G2646">
        <v>4</v>
      </c>
      <c r="H2646" s="133">
        <v>45840</v>
      </c>
      <c r="I2646" s="2">
        <v>0.6694444444444444</v>
      </c>
      <c r="J2646">
        <v>16</v>
      </c>
      <c r="R2646" t="s">
        <v>30</v>
      </c>
      <c r="W2646">
        <v>1</v>
      </c>
      <c r="X2646" t="s">
        <v>30</v>
      </c>
      <c r="AC2646" t="s">
        <v>5913</v>
      </c>
      <c r="AE2646" s="135"/>
    </row>
    <row r="2647" spans="1:31" ht="12.5" customHeight="1" x14ac:dyDescent="0.35">
      <c r="A2647" t="s">
        <v>396</v>
      </c>
      <c r="C2647" t="s">
        <v>5914</v>
      </c>
      <c r="D2647" t="s">
        <v>385</v>
      </c>
      <c r="E2647" s="133">
        <v>45841</v>
      </c>
      <c r="F2647" s="2">
        <v>0.16953703703703704</v>
      </c>
      <c r="G2647">
        <v>4</v>
      </c>
      <c r="H2647" s="133">
        <v>45840</v>
      </c>
      <c r="I2647" s="2">
        <v>0.66953703703703704</v>
      </c>
      <c r="J2647">
        <v>16</v>
      </c>
      <c r="R2647" t="s">
        <v>30</v>
      </c>
      <c r="W2647">
        <v>1</v>
      </c>
      <c r="X2647" t="s">
        <v>30</v>
      </c>
      <c r="AC2647" t="s">
        <v>5915</v>
      </c>
      <c r="AE2647" s="135"/>
    </row>
    <row r="2648" spans="1:31" ht="12.5" customHeight="1" x14ac:dyDescent="0.35">
      <c r="A2648" t="s">
        <v>396</v>
      </c>
      <c r="C2648" t="s">
        <v>5916</v>
      </c>
      <c r="D2648" t="s">
        <v>385</v>
      </c>
      <c r="E2648" s="133">
        <v>45841</v>
      </c>
      <c r="F2648" s="2">
        <v>0.16965277777777776</v>
      </c>
      <c r="G2648">
        <v>4</v>
      </c>
      <c r="H2648" s="133">
        <v>45840</v>
      </c>
      <c r="I2648" s="2">
        <v>0.66965277777777776</v>
      </c>
      <c r="J2648">
        <v>16</v>
      </c>
      <c r="R2648" t="s">
        <v>30</v>
      </c>
      <c r="W2648">
        <v>1</v>
      </c>
      <c r="X2648" t="s">
        <v>30</v>
      </c>
      <c r="AC2648" t="s">
        <v>5917</v>
      </c>
      <c r="AE2648" s="135"/>
    </row>
    <row r="2649" spans="1:31" ht="12.5" customHeight="1" x14ac:dyDescent="0.35">
      <c r="A2649" t="s">
        <v>396</v>
      </c>
      <c r="C2649" t="s">
        <v>5918</v>
      </c>
      <c r="D2649" t="s">
        <v>385</v>
      </c>
      <c r="E2649" s="133">
        <v>45841</v>
      </c>
      <c r="F2649" s="2">
        <v>0.16974537037037038</v>
      </c>
      <c r="G2649">
        <v>4</v>
      </c>
      <c r="H2649" s="133">
        <v>45840</v>
      </c>
      <c r="I2649" s="2">
        <v>0.6697453703703703</v>
      </c>
      <c r="J2649">
        <v>16</v>
      </c>
      <c r="R2649" t="s">
        <v>30</v>
      </c>
      <c r="W2649">
        <v>1</v>
      </c>
      <c r="X2649" t="s">
        <v>30</v>
      </c>
      <c r="AC2649" t="s">
        <v>5919</v>
      </c>
      <c r="AE2649" s="135"/>
    </row>
    <row r="2650" spans="1:31" ht="12.5" customHeight="1" x14ac:dyDescent="0.35">
      <c r="A2650" t="s">
        <v>396</v>
      </c>
      <c r="C2650" t="s">
        <v>5920</v>
      </c>
      <c r="D2650" t="s">
        <v>385</v>
      </c>
      <c r="E2650" s="133">
        <v>45841</v>
      </c>
      <c r="F2650" s="2">
        <v>0.16988425925925923</v>
      </c>
      <c r="G2650">
        <v>4</v>
      </c>
      <c r="H2650" s="133">
        <v>45840</v>
      </c>
      <c r="I2650" s="2">
        <v>0.66988425925925921</v>
      </c>
      <c r="J2650">
        <v>16</v>
      </c>
      <c r="R2650" t="s">
        <v>30</v>
      </c>
      <c r="W2650">
        <v>1</v>
      </c>
      <c r="X2650" t="s">
        <v>30</v>
      </c>
      <c r="AC2650" t="s">
        <v>5921</v>
      </c>
      <c r="AE2650" s="135"/>
    </row>
    <row r="2651" spans="1:31" ht="12.5" customHeight="1" x14ac:dyDescent="0.35">
      <c r="A2651" t="s">
        <v>396</v>
      </c>
      <c r="C2651" t="s">
        <v>5922</v>
      </c>
      <c r="D2651" t="s">
        <v>385</v>
      </c>
      <c r="E2651" s="133">
        <v>45841</v>
      </c>
      <c r="F2651" s="2">
        <v>0.17</v>
      </c>
      <c r="G2651">
        <v>4</v>
      </c>
      <c r="H2651" s="133">
        <v>45840</v>
      </c>
      <c r="I2651" s="2">
        <v>0.66999999999999993</v>
      </c>
      <c r="J2651">
        <v>16</v>
      </c>
      <c r="R2651" t="s">
        <v>30</v>
      </c>
      <c r="W2651">
        <v>1</v>
      </c>
      <c r="X2651" t="s">
        <v>30</v>
      </c>
      <c r="AC2651" t="s">
        <v>5923</v>
      </c>
      <c r="AE2651" s="135"/>
    </row>
    <row r="2652" spans="1:31" ht="12.5" customHeight="1" x14ac:dyDescent="0.35">
      <c r="A2652" t="s">
        <v>396</v>
      </c>
      <c r="C2652" t="s">
        <v>5924</v>
      </c>
      <c r="D2652" t="s">
        <v>385</v>
      </c>
      <c r="E2652" s="133">
        <v>45841</v>
      </c>
      <c r="F2652" s="2">
        <v>0.17006944444444447</v>
      </c>
      <c r="G2652">
        <v>4</v>
      </c>
      <c r="H2652" s="133">
        <v>45840</v>
      </c>
      <c r="I2652" s="2">
        <v>0.6700694444444445</v>
      </c>
      <c r="J2652">
        <v>16</v>
      </c>
      <c r="R2652" t="s">
        <v>30</v>
      </c>
      <c r="W2652">
        <v>1</v>
      </c>
      <c r="X2652" t="s">
        <v>30</v>
      </c>
      <c r="AC2652" t="s">
        <v>5925</v>
      </c>
      <c r="AE2652" s="135"/>
    </row>
    <row r="2653" spans="1:31" ht="12.5" customHeight="1" x14ac:dyDescent="0.35">
      <c r="A2653" t="s">
        <v>396</v>
      </c>
      <c r="C2653" t="s">
        <v>5926</v>
      </c>
      <c r="D2653" t="s">
        <v>385</v>
      </c>
      <c r="E2653" s="133">
        <v>45841</v>
      </c>
      <c r="F2653" s="2">
        <v>0.17016203703703703</v>
      </c>
      <c r="G2653">
        <v>4</v>
      </c>
      <c r="H2653" s="133">
        <v>45840</v>
      </c>
      <c r="I2653" s="2">
        <v>0.67016203703703703</v>
      </c>
      <c r="J2653">
        <v>16</v>
      </c>
      <c r="R2653" t="s">
        <v>30</v>
      </c>
      <c r="W2653">
        <v>1</v>
      </c>
      <c r="X2653" t="s">
        <v>30</v>
      </c>
      <c r="AC2653" t="s">
        <v>5927</v>
      </c>
      <c r="AE2653" s="135"/>
    </row>
    <row r="2654" spans="1:31" ht="12.5" customHeight="1" x14ac:dyDescent="0.35">
      <c r="A2654" t="s">
        <v>396</v>
      </c>
      <c r="C2654" t="s">
        <v>5928</v>
      </c>
      <c r="D2654" t="s">
        <v>385</v>
      </c>
      <c r="E2654" s="133">
        <v>45841</v>
      </c>
      <c r="F2654" s="2">
        <v>0.17023148148148148</v>
      </c>
      <c r="G2654">
        <v>4</v>
      </c>
      <c r="H2654" s="133">
        <v>45840</v>
      </c>
      <c r="I2654" s="2">
        <v>0.67023148148148148</v>
      </c>
      <c r="J2654">
        <v>16</v>
      </c>
      <c r="R2654" t="s">
        <v>30</v>
      </c>
      <c r="W2654">
        <v>1</v>
      </c>
      <c r="X2654" t="s">
        <v>30</v>
      </c>
      <c r="AC2654" t="s">
        <v>5929</v>
      </c>
      <c r="AE2654" s="135"/>
    </row>
    <row r="2655" spans="1:31" ht="12.5" customHeight="1" x14ac:dyDescent="0.35">
      <c r="A2655" t="s">
        <v>396</v>
      </c>
      <c r="C2655" t="s">
        <v>5930</v>
      </c>
      <c r="D2655" t="s">
        <v>385</v>
      </c>
      <c r="E2655" s="133">
        <v>45841</v>
      </c>
      <c r="F2655" s="2">
        <v>0.17034722222222221</v>
      </c>
      <c r="G2655">
        <v>4</v>
      </c>
      <c r="H2655" s="133">
        <v>45840</v>
      </c>
      <c r="I2655" s="2">
        <v>0.67034722222222232</v>
      </c>
      <c r="J2655">
        <v>16</v>
      </c>
      <c r="R2655" t="s">
        <v>30</v>
      </c>
      <c r="W2655">
        <v>1</v>
      </c>
      <c r="X2655" t="s">
        <v>30</v>
      </c>
      <c r="AC2655" t="s">
        <v>5931</v>
      </c>
      <c r="AE2655" s="135"/>
    </row>
    <row r="2656" spans="1:31" ht="12.5" customHeight="1" x14ac:dyDescent="0.35">
      <c r="A2656" t="s">
        <v>396</v>
      </c>
      <c r="C2656" t="s">
        <v>5932</v>
      </c>
      <c r="D2656" t="s">
        <v>385</v>
      </c>
      <c r="E2656" s="133">
        <v>45841</v>
      </c>
      <c r="F2656" s="2">
        <v>0.17046296296296296</v>
      </c>
      <c r="G2656">
        <v>4</v>
      </c>
      <c r="H2656" s="133">
        <v>45840</v>
      </c>
      <c r="I2656" s="2">
        <v>0.67046296296296293</v>
      </c>
      <c r="J2656">
        <v>16</v>
      </c>
      <c r="R2656" t="s">
        <v>30</v>
      </c>
      <c r="W2656">
        <v>1</v>
      </c>
      <c r="X2656" t="s">
        <v>30</v>
      </c>
      <c r="AC2656" t="s">
        <v>5933</v>
      </c>
      <c r="AE2656" s="135"/>
    </row>
    <row r="2657" spans="1:31" ht="12.5" customHeight="1" x14ac:dyDescent="0.35">
      <c r="A2657" t="s">
        <v>396</v>
      </c>
      <c r="C2657" t="s">
        <v>5934</v>
      </c>
      <c r="D2657" t="s">
        <v>385</v>
      </c>
      <c r="E2657" s="133">
        <v>45841</v>
      </c>
      <c r="F2657" s="2">
        <v>0.17057870370370368</v>
      </c>
      <c r="G2657">
        <v>4</v>
      </c>
      <c r="H2657" s="133">
        <v>45840</v>
      </c>
      <c r="I2657" s="2">
        <v>0.67057870370370365</v>
      </c>
      <c r="J2657">
        <v>16</v>
      </c>
      <c r="R2657" t="s">
        <v>30</v>
      </c>
      <c r="W2657">
        <v>1</v>
      </c>
      <c r="X2657" t="s">
        <v>30</v>
      </c>
      <c r="AC2657" t="s">
        <v>5935</v>
      </c>
      <c r="AE2657" s="135"/>
    </row>
    <row r="2658" spans="1:31" ht="12.5" customHeight="1" x14ac:dyDescent="0.35">
      <c r="A2658" t="s">
        <v>396</v>
      </c>
      <c r="C2658" t="s">
        <v>5936</v>
      </c>
      <c r="D2658" t="s">
        <v>385</v>
      </c>
      <c r="E2658" s="133">
        <v>45841</v>
      </c>
      <c r="F2658" s="2">
        <v>0.17067129629629629</v>
      </c>
      <c r="G2658">
        <v>4</v>
      </c>
      <c r="H2658" s="133">
        <v>45840</v>
      </c>
      <c r="I2658" s="2">
        <v>0.67067129629629629</v>
      </c>
      <c r="J2658">
        <v>16</v>
      </c>
      <c r="R2658" t="s">
        <v>30</v>
      </c>
      <c r="W2658">
        <v>1</v>
      </c>
      <c r="X2658" t="s">
        <v>30</v>
      </c>
      <c r="AC2658" t="s">
        <v>5937</v>
      </c>
      <c r="AE2658" s="135"/>
    </row>
    <row r="2659" spans="1:31" ht="12.5" customHeight="1" x14ac:dyDescent="0.35">
      <c r="A2659" t="s">
        <v>396</v>
      </c>
      <c r="C2659" t="s">
        <v>5938</v>
      </c>
      <c r="D2659" t="s">
        <v>385</v>
      </c>
      <c r="E2659" s="133">
        <v>45841</v>
      </c>
      <c r="F2659" s="2">
        <v>0.17076388888888891</v>
      </c>
      <c r="G2659">
        <v>4</v>
      </c>
      <c r="H2659" s="133">
        <v>45840</v>
      </c>
      <c r="I2659" s="2">
        <v>0.67076388888888883</v>
      </c>
      <c r="J2659">
        <v>16</v>
      </c>
      <c r="R2659" t="s">
        <v>30</v>
      </c>
      <c r="W2659">
        <v>1</v>
      </c>
      <c r="X2659" t="s">
        <v>30</v>
      </c>
      <c r="AC2659" t="s">
        <v>5939</v>
      </c>
      <c r="AE2659" s="135"/>
    </row>
    <row r="2660" spans="1:31" ht="12.5" customHeight="1" x14ac:dyDescent="0.35">
      <c r="A2660" t="s">
        <v>396</v>
      </c>
      <c r="C2660" t="s">
        <v>5940</v>
      </c>
      <c r="D2660" t="s">
        <v>385</v>
      </c>
      <c r="E2660" s="133">
        <v>45841</v>
      </c>
      <c r="F2660" s="2">
        <v>0.17085648148148147</v>
      </c>
      <c r="G2660">
        <v>4</v>
      </c>
      <c r="H2660" s="133">
        <v>45840</v>
      </c>
      <c r="I2660" s="2">
        <v>0.67085648148148147</v>
      </c>
      <c r="J2660">
        <v>16</v>
      </c>
      <c r="R2660" t="s">
        <v>30</v>
      </c>
      <c r="W2660">
        <v>1</v>
      </c>
      <c r="X2660" t="s">
        <v>30</v>
      </c>
      <c r="AC2660" t="s">
        <v>5941</v>
      </c>
      <c r="AE2660" s="135"/>
    </row>
    <row r="2661" spans="1:31" ht="12.5" customHeight="1" x14ac:dyDescent="0.35">
      <c r="A2661" t="s">
        <v>396</v>
      </c>
      <c r="C2661" t="s">
        <v>5942</v>
      </c>
      <c r="D2661" t="s">
        <v>385</v>
      </c>
      <c r="E2661" s="133">
        <v>45841</v>
      </c>
      <c r="F2661" s="2">
        <v>0.17092592592592593</v>
      </c>
      <c r="G2661">
        <v>4</v>
      </c>
      <c r="H2661" s="133">
        <v>45840</v>
      </c>
      <c r="I2661" s="2">
        <v>0.67092592592592604</v>
      </c>
      <c r="J2661">
        <v>16</v>
      </c>
      <c r="R2661" t="s">
        <v>30</v>
      </c>
      <c r="W2661">
        <v>1</v>
      </c>
      <c r="X2661" t="s">
        <v>30</v>
      </c>
      <c r="AC2661" t="s">
        <v>5943</v>
      </c>
      <c r="AE2661" s="135"/>
    </row>
    <row r="2662" spans="1:31" ht="12.5" customHeight="1" x14ac:dyDescent="0.35">
      <c r="A2662" t="s">
        <v>396</v>
      </c>
      <c r="C2662" t="s">
        <v>5944</v>
      </c>
      <c r="D2662" t="s">
        <v>385</v>
      </c>
      <c r="E2662" s="133">
        <v>45841</v>
      </c>
      <c r="F2662" s="2">
        <v>0.17106481481481481</v>
      </c>
      <c r="G2662">
        <v>4</v>
      </c>
      <c r="H2662" s="133">
        <v>45840</v>
      </c>
      <c r="I2662" s="2">
        <v>0.67106481481481473</v>
      </c>
      <c r="J2662">
        <v>16</v>
      </c>
      <c r="R2662" t="s">
        <v>30</v>
      </c>
      <c r="W2662">
        <v>1</v>
      </c>
      <c r="X2662" t="s">
        <v>30</v>
      </c>
      <c r="AC2662" t="s">
        <v>5945</v>
      </c>
      <c r="AE2662" s="135"/>
    </row>
    <row r="2663" spans="1:31" ht="12.5" customHeight="1" x14ac:dyDescent="0.35">
      <c r="A2663" t="s">
        <v>396</v>
      </c>
      <c r="C2663" t="s">
        <v>5946</v>
      </c>
      <c r="D2663" t="s">
        <v>385</v>
      </c>
      <c r="E2663" s="133">
        <v>45841</v>
      </c>
      <c r="F2663" s="2">
        <v>0.17120370370370372</v>
      </c>
      <c r="G2663">
        <v>4</v>
      </c>
      <c r="H2663" s="133">
        <v>45840</v>
      </c>
      <c r="I2663" s="2">
        <v>0.67120370370370364</v>
      </c>
      <c r="J2663">
        <v>16</v>
      </c>
      <c r="R2663" t="s">
        <v>30</v>
      </c>
      <c r="W2663">
        <v>1</v>
      </c>
      <c r="X2663" t="s">
        <v>30</v>
      </c>
      <c r="AC2663" t="s">
        <v>5947</v>
      </c>
      <c r="AE2663" s="135"/>
    </row>
    <row r="2664" spans="1:31" ht="12.5" customHeight="1" x14ac:dyDescent="0.35">
      <c r="A2664" t="s">
        <v>396</v>
      </c>
      <c r="C2664" t="s">
        <v>5948</v>
      </c>
      <c r="D2664" t="s">
        <v>385</v>
      </c>
      <c r="E2664" s="133">
        <v>45841</v>
      </c>
      <c r="F2664" s="2">
        <v>0.17129629629629628</v>
      </c>
      <c r="G2664">
        <v>4</v>
      </c>
      <c r="H2664" s="133">
        <v>45840</v>
      </c>
      <c r="I2664" s="2">
        <v>0.67129629629629628</v>
      </c>
      <c r="J2664">
        <v>16</v>
      </c>
      <c r="R2664" t="s">
        <v>30</v>
      </c>
      <c r="W2664">
        <v>1</v>
      </c>
      <c r="X2664" t="s">
        <v>30</v>
      </c>
      <c r="AC2664" t="s">
        <v>5949</v>
      </c>
      <c r="AE2664" s="135"/>
    </row>
    <row r="2665" spans="1:31" ht="12.5" customHeight="1" x14ac:dyDescent="0.35">
      <c r="A2665" t="s">
        <v>396</v>
      </c>
      <c r="C2665" t="s">
        <v>5950</v>
      </c>
      <c r="D2665" t="s">
        <v>385</v>
      </c>
      <c r="E2665" s="133">
        <v>45841</v>
      </c>
      <c r="F2665" s="2">
        <v>0.17141203703703703</v>
      </c>
      <c r="G2665">
        <v>4</v>
      </c>
      <c r="H2665" s="133">
        <v>45840</v>
      </c>
      <c r="I2665" s="2">
        <v>0.671412037037037</v>
      </c>
      <c r="J2665">
        <v>16</v>
      </c>
      <c r="R2665" t="s">
        <v>30</v>
      </c>
      <c r="W2665">
        <v>1</v>
      </c>
      <c r="X2665" t="s">
        <v>30</v>
      </c>
      <c r="AC2665" t="s">
        <v>5951</v>
      </c>
      <c r="AE2665" s="135"/>
    </row>
    <row r="2666" spans="1:31" ht="12.5" customHeight="1" x14ac:dyDescent="0.35">
      <c r="A2666" t="s">
        <v>396</v>
      </c>
      <c r="C2666" t="s">
        <v>5952</v>
      </c>
      <c r="D2666" t="s">
        <v>385</v>
      </c>
      <c r="E2666" s="133">
        <v>45841</v>
      </c>
      <c r="F2666" s="2">
        <v>0.17150462962962965</v>
      </c>
      <c r="G2666">
        <v>4</v>
      </c>
      <c r="H2666" s="133">
        <v>45840</v>
      </c>
      <c r="I2666" s="2">
        <v>0.67150462962962953</v>
      </c>
      <c r="J2666">
        <v>16</v>
      </c>
      <c r="R2666" t="s">
        <v>30</v>
      </c>
      <c r="W2666">
        <v>1</v>
      </c>
      <c r="X2666" t="s">
        <v>30</v>
      </c>
      <c r="AC2666" t="s">
        <v>5953</v>
      </c>
      <c r="AE2666" s="135"/>
    </row>
    <row r="2667" spans="1:31" ht="12.5" customHeight="1" x14ac:dyDescent="0.35">
      <c r="A2667" t="s">
        <v>396</v>
      </c>
      <c r="C2667" t="s">
        <v>5954</v>
      </c>
      <c r="D2667" t="s">
        <v>385</v>
      </c>
      <c r="E2667" s="133">
        <v>45841</v>
      </c>
      <c r="F2667" s="2">
        <v>0.17159722222222221</v>
      </c>
      <c r="G2667">
        <v>4</v>
      </c>
      <c r="H2667" s="133">
        <v>45840</v>
      </c>
      <c r="I2667" s="2">
        <v>0.67159722222222218</v>
      </c>
      <c r="J2667">
        <v>16</v>
      </c>
      <c r="R2667" t="s">
        <v>30</v>
      </c>
      <c r="W2667">
        <v>1</v>
      </c>
      <c r="X2667" t="s">
        <v>30</v>
      </c>
      <c r="AC2667" t="s">
        <v>5955</v>
      </c>
      <c r="AE2667" s="135"/>
    </row>
    <row r="2668" spans="1:31" ht="12.5" customHeight="1" x14ac:dyDescent="0.35">
      <c r="A2668" t="s">
        <v>396</v>
      </c>
      <c r="C2668" t="s">
        <v>5956</v>
      </c>
      <c r="D2668" t="s">
        <v>385</v>
      </c>
      <c r="E2668" s="133">
        <v>45841</v>
      </c>
      <c r="F2668" s="2">
        <v>0.17166666666666666</v>
      </c>
      <c r="G2668">
        <v>4</v>
      </c>
      <c r="H2668" s="133">
        <v>45840</v>
      </c>
      <c r="I2668" s="2">
        <v>0.67166666666666675</v>
      </c>
      <c r="J2668">
        <v>16</v>
      </c>
      <c r="R2668" t="s">
        <v>30</v>
      </c>
      <c r="W2668">
        <v>1</v>
      </c>
      <c r="X2668" t="s">
        <v>30</v>
      </c>
      <c r="AC2668" t="s">
        <v>5957</v>
      </c>
      <c r="AE2668" s="135"/>
    </row>
    <row r="2669" spans="1:31" ht="12.5" customHeight="1" x14ac:dyDescent="0.35">
      <c r="A2669" t="s">
        <v>396</v>
      </c>
      <c r="C2669" t="s">
        <v>5958</v>
      </c>
      <c r="D2669" t="s">
        <v>385</v>
      </c>
      <c r="E2669" s="133">
        <v>45841</v>
      </c>
      <c r="F2669" s="2">
        <v>0.17178240740740738</v>
      </c>
      <c r="G2669">
        <v>4</v>
      </c>
      <c r="H2669" s="133">
        <v>45840</v>
      </c>
      <c r="I2669" s="2">
        <v>0.67178240740740736</v>
      </c>
      <c r="J2669">
        <v>16</v>
      </c>
      <c r="R2669" t="s">
        <v>30</v>
      </c>
      <c r="W2669">
        <v>1</v>
      </c>
      <c r="X2669" t="s">
        <v>30</v>
      </c>
      <c r="AC2669" t="s">
        <v>5959</v>
      </c>
      <c r="AE2669" s="135"/>
    </row>
    <row r="2670" spans="1:31" ht="12.5" customHeight="1" x14ac:dyDescent="0.35">
      <c r="A2670" t="s">
        <v>396</v>
      </c>
      <c r="C2670" t="s">
        <v>5960</v>
      </c>
      <c r="D2670" t="s">
        <v>385</v>
      </c>
      <c r="E2670" s="133">
        <v>45841</v>
      </c>
      <c r="F2670" s="2">
        <v>0.17189814814814816</v>
      </c>
      <c r="G2670">
        <v>4</v>
      </c>
      <c r="H2670" s="133">
        <v>45840</v>
      </c>
      <c r="I2670" s="2">
        <v>0.67189814814814808</v>
      </c>
      <c r="J2670">
        <v>16</v>
      </c>
      <c r="R2670" t="s">
        <v>30</v>
      </c>
      <c r="W2670">
        <v>1</v>
      </c>
      <c r="X2670" t="s">
        <v>30</v>
      </c>
      <c r="AC2670" t="s">
        <v>5961</v>
      </c>
      <c r="AE2670" s="135"/>
    </row>
    <row r="2671" spans="1:31" ht="12.5" customHeight="1" x14ac:dyDescent="0.35">
      <c r="A2671" t="s">
        <v>396</v>
      </c>
      <c r="C2671" t="s">
        <v>5962</v>
      </c>
      <c r="D2671" t="s">
        <v>385</v>
      </c>
      <c r="E2671" s="133">
        <v>45841</v>
      </c>
      <c r="F2671" s="2">
        <v>0.17199074074074075</v>
      </c>
      <c r="G2671">
        <v>4</v>
      </c>
      <c r="H2671" s="133">
        <v>45840</v>
      </c>
      <c r="I2671" s="2">
        <v>0.67199074074074072</v>
      </c>
      <c r="J2671">
        <v>16</v>
      </c>
      <c r="R2671" t="s">
        <v>30</v>
      </c>
      <c r="W2671">
        <v>1</v>
      </c>
      <c r="X2671" t="s">
        <v>30</v>
      </c>
      <c r="AC2671" t="s">
        <v>5963</v>
      </c>
      <c r="AE2671" s="135"/>
    </row>
    <row r="2672" spans="1:31" ht="12.5" customHeight="1" x14ac:dyDescent="0.35">
      <c r="A2672" t="s">
        <v>396</v>
      </c>
      <c r="C2672" t="s">
        <v>5964</v>
      </c>
      <c r="D2672" t="s">
        <v>385</v>
      </c>
      <c r="E2672" s="133">
        <v>45841</v>
      </c>
      <c r="F2672" s="2">
        <v>0.17208333333333334</v>
      </c>
      <c r="G2672">
        <v>4</v>
      </c>
      <c r="H2672" s="133">
        <v>45840</v>
      </c>
      <c r="I2672" s="2">
        <v>0.67208333333333325</v>
      </c>
      <c r="J2672">
        <v>16</v>
      </c>
      <c r="R2672" t="s">
        <v>30</v>
      </c>
      <c r="W2672">
        <v>1</v>
      </c>
      <c r="X2672" t="s">
        <v>30</v>
      </c>
      <c r="AC2672" t="s">
        <v>5965</v>
      </c>
      <c r="AE2672" s="135"/>
    </row>
    <row r="2673" spans="1:31" ht="12.5" customHeight="1" x14ac:dyDescent="0.35">
      <c r="A2673" t="s">
        <v>396</v>
      </c>
      <c r="C2673" t="s">
        <v>5966</v>
      </c>
      <c r="D2673" t="s">
        <v>385</v>
      </c>
      <c r="E2673" s="133">
        <v>45841</v>
      </c>
      <c r="F2673" s="2">
        <v>0.17217592592592593</v>
      </c>
      <c r="G2673">
        <v>4</v>
      </c>
      <c r="H2673" s="133">
        <v>45840</v>
      </c>
      <c r="I2673" s="2">
        <v>0.6721759259259259</v>
      </c>
      <c r="J2673">
        <v>16</v>
      </c>
      <c r="R2673" t="s">
        <v>30</v>
      </c>
      <c r="W2673">
        <v>1</v>
      </c>
      <c r="X2673" t="s">
        <v>30</v>
      </c>
      <c r="AC2673" t="s">
        <v>5967</v>
      </c>
      <c r="AE2673" s="135"/>
    </row>
    <row r="2674" spans="1:31" ht="12.5" customHeight="1" x14ac:dyDescent="0.35">
      <c r="A2674" t="s">
        <v>396</v>
      </c>
      <c r="C2674" t="s">
        <v>5968</v>
      </c>
      <c r="D2674" t="s">
        <v>385</v>
      </c>
      <c r="E2674" s="133">
        <v>45841</v>
      </c>
      <c r="F2674" s="2">
        <v>0.17226851851851852</v>
      </c>
      <c r="G2674">
        <v>4</v>
      </c>
      <c r="H2674" s="133">
        <v>45840</v>
      </c>
      <c r="I2674" s="2">
        <v>0.67226851851851854</v>
      </c>
      <c r="J2674">
        <v>16</v>
      </c>
      <c r="R2674" t="s">
        <v>30</v>
      </c>
      <c r="W2674">
        <v>1</v>
      </c>
      <c r="X2674" t="s">
        <v>30</v>
      </c>
      <c r="AC2674" t="s">
        <v>5969</v>
      </c>
      <c r="AE2674" s="135"/>
    </row>
    <row r="2675" spans="1:31" ht="12.5" customHeight="1" x14ac:dyDescent="0.35">
      <c r="A2675" t="s">
        <v>396</v>
      </c>
      <c r="C2675" t="s">
        <v>5970</v>
      </c>
      <c r="D2675" t="s">
        <v>385</v>
      </c>
      <c r="E2675" s="133">
        <v>45841</v>
      </c>
      <c r="F2675" s="2">
        <v>0.1723611111111111</v>
      </c>
      <c r="G2675">
        <v>4</v>
      </c>
      <c r="H2675" s="133">
        <v>45840</v>
      </c>
      <c r="I2675" s="2">
        <v>0.67236111111111108</v>
      </c>
      <c r="J2675">
        <v>16</v>
      </c>
      <c r="R2675" t="s">
        <v>30</v>
      </c>
      <c r="W2675">
        <v>1</v>
      </c>
      <c r="X2675" t="s">
        <v>30</v>
      </c>
      <c r="AC2675" t="s">
        <v>5971</v>
      </c>
      <c r="AE2675" s="135"/>
    </row>
    <row r="2676" spans="1:31" ht="12.5" customHeight="1" x14ac:dyDescent="0.35">
      <c r="A2676" t="s">
        <v>396</v>
      </c>
      <c r="C2676" t="s">
        <v>5972</v>
      </c>
      <c r="D2676" t="s">
        <v>385</v>
      </c>
      <c r="E2676" s="133">
        <v>45841</v>
      </c>
      <c r="F2676" s="2">
        <v>0.17247685185185183</v>
      </c>
      <c r="G2676">
        <v>4</v>
      </c>
      <c r="H2676" s="133">
        <v>45840</v>
      </c>
      <c r="I2676" s="2">
        <v>0.6724768518518518</v>
      </c>
      <c r="J2676">
        <v>16</v>
      </c>
      <c r="R2676" t="s">
        <v>30</v>
      </c>
      <c r="W2676">
        <v>1</v>
      </c>
      <c r="X2676" t="s">
        <v>30</v>
      </c>
      <c r="AC2676" t="s">
        <v>5973</v>
      </c>
      <c r="AE2676" s="135"/>
    </row>
    <row r="2677" spans="1:31" ht="12.5" customHeight="1" x14ac:dyDescent="0.35">
      <c r="A2677" t="s">
        <v>396</v>
      </c>
      <c r="C2677" t="s">
        <v>5974</v>
      </c>
      <c r="D2677" t="s">
        <v>385</v>
      </c>
      <c r="E2677" s="133">
        <v>45841</v>
      </c>
      <c r="F2677" s="2">
        <v>0.17254629629629628</v>
      </c>
      <c r="G2677">
        <v>4</v>
      </c>
      <c r="H2677" s="133">
        <v>45840</v>
      </c>
      <c r="I2677" s="2">
        <v>0.67254629629629636</v>
      </c>
      <c r="J2677">
        <v>16</v>
      </c>
      <c r="R2677" t="s">
        <v>30</v>
      </c>
      <c r="W2677">
        <v>1</v>
      </c>
      <c r="X2677" t="s">
        <v>30</v>
      </c>
      <c r="AC2677" t="s">
        <v>5975</v>
      </c>
      <c r="AE2677" s="135"/>
    </row>
    <row r="2678" spans="1:31" ht="12.5" customHeight="1" x14ac:dyDescent="0.35">
      <c r="A2678" t="s">
        <v>396</v>
      </c>
      <c r="C2678" t="s">
        <v>5976</v>
      </c>
      <c r="D2678" t="s">
        <v>385</v>
      </c>
      <c r="E2678" s="133">
        <v>45841</v>
      </c>
      <c r="F2678" s="2">
        <v>0.1726388888888889</v>
      </c>
      <c r="G2678">
        <v>4</v>
      </c>
      <c r="H2678" s="133">
        <v>45840</v>
      </c>
      <c r="I2678" s="2">
        <v>0.6726388888888889</v>
      </c>
      <c r="J2678">
        <v>16</v>
      </c>
      <c r="R2678" t="s">
        <v>30</v>
      </c>
      <c r="W2678">
        <v>1</v>
      </c>
      <c r="X2678" t="s">
        <v>30</v>
      </c>
      <c r="AC2678" t="s">
        <v>5977</v>
      </c>
      <c r="AE2678" s="135"/>
    </row>
    <row r="2679" spans="1:31" ht="12.5" customHeight="1" x14ac:dyDescent="0.35">
      <c r="A2679" t="s">
        <v>396</v>
      </c>
      <c r="C2679" t="s">
        <v>5978</v>
      </c>
      <c r="D2679" t="s">
        <v>385</v>
      </c>
      <c r="E2679" s="133">
        <v>45841</v>
      </c>
      <c r="F2679" s="2">
        <v>0.17273148148148146</v>
      </c>
      <c r="G2679">
        <v>4</v>
      </c>
      <c r="H2679" s="133">
        <v>45840</v>
      </c>
      <c r="I2679" s="2">
        <v>0.67273148148148154</v>
      </c>
      <c r="J2679">
        <v>16</v>
      </c>
      <c r="R2679" t="s">
        <v>30</v>
      </c>
      <c r="W2679">
        <v>1</v>
      </c>
      <c r="X2679" t="s">
        <v>30</v>
      </c>
      <c r="AC2679" t="s">
        <v>5979</v>
      </c>
      <c r="AE2679" s="135"/>
    </row>
    <row r="2680" spans="1:31" ht="12.5" customHeight="1" x14ac:dyDescent="0.35">
      <c r="A2680" t="s">
        <v>396</v>
      </c>
      <c r="C2680" t="s">
        <v>5980</v>
      </c>
      <c r="D2680" t="s">
        <v>385</v>
      </c>
      <c r="E2680" s="133">
        <v>45841</v>
      </c>
      <c r="F2680" s="2">
        <v>0.17284722222222224</v>
      </c>
      <c r="G2680">
        <v>4</v>
      </c>
      <c r="H2680" s="133">
        <v>45840</v>
      </c>
      <c r="I2680" s="2">
        <v>0.67284722222222226</v>
      </c>
      <c r="J2680">
        <v>16</v>
      </c>
      <c r="R2680" t="s">
        <v>30</v>
      </c>
      <c r="W2680">
        <v>1</v>
      </c>
      <c r="X2680" t="s">
        <v>30</v>
      </c>
      <c r="AC2680" t="s">
        <v>5981</v>
      </c>
      <c r="AE2680" s="135"/>
    </row>
    <row r="2681" spans="1:31" ht="12.5" customHeight="1" x14ac:dyDescent="0.35">
      <c r="A2681" t="s">
        <v>396</v>
      </c>
      <c r="C2681" t="s">
        <v>5982</v>
      </c>
      <c r="D2681" t="s">
        <v>385</v>
      </c>
      <c r="E2681" s="133">
        <v>45841</v>
      </c>
      <c r="F2681" s="2">
        <v>0.17296296296296296</v>
      </c>
      <c r="G2681">
        <v>4</v>
      </c>
      <c r="H2681" s="133">
        <v>45840</v>
      </c>
      <c r="I2681" s="2">
        <v>0.67296296296296287</v>
      </c>
      <c r="J2681">
        <v>16</v>
      </c>
      <c r="R2681" t="s">
        <v>30</v>
      </c>
      <c r="W2681">
        <v>1</v>
      </c>
      <c r="X2681" t="s">
        <v>30</v>
      </c>
      <c r="AC2681" t="s">
        <v>5983</v>
      </c>
      <c r="AE2681" s="135"/>
    </row>
    <row r="2682" spans="1:31" ht="12.5" customHeight="1" x14ac:dyDescent="0.35">
      <c r="A2682" t="s">
        <v>396</v>
      </c>
      <c r="C2682" t="s">
        <v>5984</v>
      </c>
      <c r="D2682" t="s">
        <v>385</v>
      </c>
      <c r="E2682" s="133">
        <v>45841</v>
      </c>
      <c r="F2682" s="2">
        <v>0.17305555555555555</v>
      </c>
      <c r="G2682">
        <v>4</v>
      </c>
      <c r="H2682" s="133">
        <v>45840</v>
      </c>
      <c r="I2682" s="2">
        <v>0.67305555555555552</v>
      </c>
      <c r="J2682">
        <v>16</v>
      </c>
      <c r="R2682" t="s">
        <v>30</v>
      </c>
      <c r="W2682">
        <v>1</v>
      </c>
      <c r="X2682" t="s">
        <v>30</v>
      </c>
      <c r="AC2682" t="s">
        <v>5985</v>
      </c>
      <c r="AE2682" s="135"/>
    </row>
    <row r="2683" spans="1:31" ht="12.5" customHeight="1" x14ac:dyDescent="0.35">
      <c r="A2683" t="s">
        <v>396</v>
      </c>
      <c r="C2683" t="s">
        <v>5986</v>
      </c>
      <c r="D2683" t="s">
        <v>385</v>
      </c>
      <c r="E2683" s="133">
        <v>45841</v>
      </c>
      <c r="F2683" s="2">
        <v>0.17324074074074072</v>
      </c>
      <c r="G2683">
        <v>4</v>
      </c>
      <c r="H2683" s="133">
        <v>45840</v>
      </c>
      <c r="I2683" s="2">
        <v>0.6732407407407407</v>
      </c>
      <c r="J2683">
        <v>16</v>
      </c>
      <c r="R2683" t="s">
        <v>30</v>
      </c>
      <c r="W2683">
        <v>1</v>
      </c>
      <c r="X2683" t="s">
        <v>30</v>
      </c>
      <c r="AC2683" t="s">
        <v>5987</v>
      </c>
      <c r="AE2683" s="135"/>
    </row>
    <row r="2684" spans="1:31" ht="12.5" customHeight="1" x14ac:dyDescent="0.35">
      <c r="A2684" t="s">
        <v>396</v>
      </c>
      <c r="C2684" t="s">
        <v>5988</v>
      </c>
      <c r="D2684" t="s">
        <v>385</v>
      </c>
      <c r="E2684" s="133">
        <v>45841</v>
      </c>
      <c r="F2684" s="2">
        <v>0.1733564814814815</v>
      </c>
      <c r="G2684">
        <v>4</v>
      </c>
      <c r="H2684" s="133">
        <v>45840</v>
      </c>
      <c r="I2684" s="2">
        <v>0.67335648148148142</v>
      </c>
      <c r="J2684">
        <v>16</v>
      </c>
      <c r="R2684" t="s">
        <v>30</v>
      </c>
      <c r="W2684">
        <v>1</v>
      </c>
      <c r="X2684" t="s">
        <v>30</v>
      </c>
      <c r="AC2684" t="s">
        <v>5989</v>
      </c>
      <c r="AE2684" s="135"/>
    </row>
    <row r="2685" spans="1:31" ht="12.5" customHeight="1" x14ac:dyDescent="0.35">
      <c r="A2685" t="s">
        <v>396</v>
      </c>
      <c r="C2685" t="s">
        <v>5990</v>
      </c>
      <c r="D2685" t="s">
        <v>385</v>
      </c>
      <c r="E2685" s="133">
        <v>45841</v>
      </c>
      <c r="F2685" s="2">
        <v>0.17347222222222222</v>
      </c>
      <c r="G2685">
        <v>4</v>
      </c>
      <c r="H2685" s="133">
        <v>45840</v>
      </c>
      <c r="I2685" s="2">
        <v>0.67347222222222225</v>
      </c>
      <c r="J2685">
        <v>16</v>
      </c>
      <c r="R2685" t="s">
        <v>30</v>
      </c>
      <c r="W2685">
        <v>1</v>
      </c>
      <c r="X2685" t="s">
        <v>30</v>
      </c>
      <c r="AC2685" t="s">
        <v>5991</v>
      </c>
      <c r="AE2685" s="135"/>
    </row>
    <row r="2686" spans="1:31" ht="12.5" customHeight="1" x14ac:dyDescent="0.35">
      <c r="A2686" t="s">
        <v>396</v>
      </c>
      <c r="C2686" t="s">
        <v>5992</v>
      </c>
      <c r="D2686" t="s">
        <v>385</v>
      </c>
      <c r="E2686" s="133">
        <v>45841</v>
      </c>
      <c r="F2686" s="2">
        <v>0.17356481481481481</v>
      </c>
      <c r="G2686">
        <v>4</v>
      </c>
      <c r="H2686" s="133">
        <v>45840</v>
      </c>
      <c r="I2686" s="2">
        <v>0.67356481481481489</v>
      </c>
      <c r="J2686">
        <v>16</v>
      </c>
      <c r="R2686" t="s">
        <v>30</v>
      </c>
      <c r="W2686">
        <v>1</v>
      </c>
      <c r="X2686" t="s">
        <v>30</v>
      </c>
      <c r="AC2686" t="s">
        <v>5993</v>
      </c>
      <c r="AE2686" s="135"/>
    </row>
    <row r="2687" spans="1:31" ht="12.5" customHeight="1" x14ac:dyDescent="0.35">
      <c r="A2687" t="s">
        <v>396</v>
      </c>
      <c r="C2687" t="s">
        <v>5994</v>
      </c>
      <c r="D2687" t="s">
        <v>385</v>
      </c>
      <c r="E2687" s="133">
        <v>45841</v>
      </c>
      <c r="F2687" s="2">
        <v>0.1736574074074074</v>
      </c>
      <c r="G2687">
        <v>4</v>
      </c>
      <c r="H2687" s="133">
        <v>45840</v>
      </c>
      <c r="I2687" s="2">
        <v>0.67365740740740743</v>
      </c>
      <c r="J2687">
        <v>16</v>
      </c>
      <c r="R2687" t="s">
        <v>30</v>
      </c>
      <c r="W2687">
        <v>1</v>
      </c>
      <c r="X2687" t="s">
        <v>30</v>
      </c>
      <c r="AC2687" t="s">
        <v>5995</v>
      </c>
      <c r="AE2687" s="135"/>
    </row>
    <row r="2688" spans="1:31" ht="12.5" customHeight="1" x14ac:dyDescent="0.35">
      <c r="A2688" t="s">
        <v>396</v>
      </c>
      <c r="C2688" t="s">
        <v>5996</v>
      </c>
      <c r="D2688" t="s">
        <v>385</v>
      </c>
      <c r="E2688" s="133">
        <v>45841</v>
      </c>
      <c r="F2688" s="2">
        <v>0.17374999999999999</v>
      </c>
      <c r="G2688">
        <v>4</v>
      </c>
      <c r="H2688" s="133">
        <v>45840</v>
      </c>
      <c r="I2688" s="2">
        <v>0.67375000000000007</v>
      </c>
      <c r="J2688">
        <v>16</v>
      </c>
      <c r="R2688" t="s">
        <v>30</v>
      </c>
      <c r="W2688">
        <v>1</v>
      </c>
      <c r="X2688" t="s">
        <v>30</v>
      </c>
      <c r="AC2688" t="s">
        <v>5997</v>
      </c>
      <c r="AE2688" s="135"/>
    </row>
    <row r="2689" spans="1:31" ht="12.5" customHeight="1" x14ac:dyDescent="0.35">
      <c r="A2689" t="s">
        <v>396</v>
      </c>
      <c r="C2689" t="s">
        <v>5998</v>
      </c>
      <c r="D2689" t="s">
        <v>385</v>
      </c>
      <c r="E2689" s="133">
        <v>45841</v>
      </c>
      <c r="F2689" s="2">
        <v>0.17386574074074077</v>
      </c>
      <c r="G2689">
        <v>4</v>
      </c>
      <c r="H2689" s="133">
        <v>45840</v>
      </c>
      <c r="I2689" s="2">
        <v>0.67386574074074079</v>
      </c>
      <c r="J2689">
        <v>16</v>
      </c>
      <c r="R2689" t="s">
        <v>30</v>
      </c>
      <c r="W2689">
        <v>1</v>
      </c>
      <c r="X2689" t="s">
        <v>30</v>
      </c>
      <c r="AC2689" t="s">
        <v>5999</v>
      </c>
      <c r="AE2689" s="135"/>
    </row>
    <row r="2690" spans="1:31" ht="12.5" customHeight="1" x14ac:dyDescent="0.35">
      <c r="A2690" t="s">
        <v>396</v>
      </c>
      <c r="C2690" t="s">
        <v>6000</v>
      </c>
      <c r="D2690" t="s">
        <v>385</v>
      </c>
      <c r="E2690" s="133">
        <v>45841</v>
      </c>
      <c r="F2690" s="2">
        <v>0.17398148148148149</v>
      </c>
      <c r="G2690">
        <v>4</v>
      </c>
      <c r="H2690" s="133">
        <v>45840</v>
      </c>
      <c r="I2690" s="2">
        <v>0.6739814814814814</v>
      </c>
      <c r="J2690">
        <v>16</v>
      </c>
      <c r="R2690" t="s">
        <v>30</v>
      </c>
      <c r="W2690">
        <v>1</v>
      </c>
      <c r="X2690" t="s">
        <v>30</v>
      </c>
      <c r="AC2690" t="s">
        <v>6001</v>
      </c>
      <c r="AE2690" s="135"/>
    </row>
    <row r="2691" spans="1:31" ht="12.5" customHeight="1" x14ac:dyDescent="0.35">
      <c r="A2691" t="s">
        <v>396</v>
      </c>
      <c r="C2691" t="s">
        <v>6002</v>
      </c>
      <c r="D2691" t="s">
        <v>385</v>
      </c>
      <c r="E2691" s="133">
        <v>45841</v>
      </c>
      <c r="F2691" s="2">
        <v>0.17405092592592594</v>
      </c>
      <c r="G2691">
        <v>4</v>
      </c>
      <c r="H2691" s="133">
        <v>45840</v>
      </c>
      <c r="I2691" s="2">
        <v>0.67405092592592597</v>
      </c>
      <c r="J2691">
        <v>16</v>
      </c>
      <c r="R2691" t="s">
        <v>30</v>
      </c>
      <c r="W2691">
        <v>1</v>
      </c>
      <c r="X2691" t="s">
        <v>30</v>
      </c>
      <c r="AC2691" t="s">
        <v>6003</v>
      </c>
      <c r="AE2691" s="135"/>
    </row>
    <row r="2692" spans="1:31" ht="12.5" customHeight="1" x14ac:dyDescent="0.35">
      <c r="A2692" t="s">
        <v>396</v>
      </c>
      <c r="C2692" t="s">
        <v>6004</v>
      </c>
      <c r="D2692" t="s">
        <v>385</v>
      </c>
      <c r="E2692" s="133">
        <v>45841</v>
      </c>
      <c r="F2692" s="2">
        <v>0.1741435185185185</v>
      </c>
      <c r="G2692">
        <v>4</v>
      </c>
      <c r="H2692" s="133">
        <v>45840</v>
      </c>
      <c r="I2692" s="2">
        <v>0.67414351851851861</v>
      </c>
      <c r="J2692">
        <v>16</v>
      </c>
      <c r="R2692" t="s">
        <v>30</v>
      </c>
      <c r="W2692">
        <v>1</v>
      </c>
      <c r="X2692" t="s">
        <v>30</v>
      </c>
      <c r="AC2692" t="s">
        <v>6005</v>
      </c>
      <c r="AE2692" s="135"/>
    </row>
    <row r="2693" spans="1:31" ht="12.5" customHeight="1" x14ac:dyDescent="0.35">
      <c r="A2693" t="s">
        <v>396</v>
      </c>
      <c r="C2693" t="s">
        <v>6006</v>
      </c>
      <c r="D2693" t="s">
        <v>385</v>
      </c>
      <c r="E2693" s="133">
        <v>45841</v>
      </c>
      <c r="F2693" s="2">
        <v>0.17425925925925925</v>
      </c>
      <c r="G2693">
        <v>4</v>
      </c>
      <c r="H2693" s="133">
        <v>45840</v>
      </c>
      <c r="I2693" s="2">
        <v>0.67425925925925922</v>
      </c>
      <c r="J2693">
        <v>16</v>
      </c>
      <c r="R2693" t="s">
        <v>30</v>
      </c>
      <c r="W2693">
        <v>1</v>
      </c>
      <c r="X2693" t="s">
        <v>30</v>
      </c>
      <c r="AC2693" t="s">
        <v>6007</v>
      </c>
      <c r="AE2693" s="135"/>
    </row>
    <row r="2694" spans="1:31" ht="12.5" customHeight="1" x14ac:dyDescent="0.35">
      <c r="A2694" t="s">
        <v>396</v>
      </c>
      <c r="C2694" t="s">
        <v>6008</v>
      </c>
      <c r="D2694" t="s">
        <v>385</v>
      </c>
      <c r="E2694" s="133">
        <v>45841</v>
      </c>
      <c r="F2694" s="2">
        <v>0.17435185185185187</v>
      </c>
      <c r="G2694">
        <v>4</v>
      </c>
      <c r="H2694" s="133">
        <v>45840</v>
      </c>
      <c r="I2694" s="2">
        <v>0.67435185185185187</v>
      </c>
      <c r="J2694">
        <v>16</v>
      </c>
      <c r="R2694" t="s">
        <v>30</v>
      </c>
      <c r="W2694">
        <v>1</v>
      </c>
      <c r="X2694" t="s">
        <v>30</v>
      </c>
      <c r="AC2694" t="s">
        <v>6009</v>
      </c>
      <c r="AE2694" s="135"/>
    </row>
    <row r="2695" spans="1:31" ht="12.5" customHeight="1" x14ac:dyDescent="0.35">
      <c r="A2695" t="s">
        <v>396</v>
      </c>
      <c r="C2695" t="s">
        <v>6010</v>
      </c>
      <c r="D2695" t="s">
        <v>385</v>
      </c>
      <c r="E2695" s="133">
        <v>45841</v>
      </c>
      <c r="F2695" s="2">
        <v>0.17446759259259259</v>
      </c>
      <c r="G2695">
        <v>4</v>
      </c>
      <c r="H2695" s="133">
        <v>45840</v>
      </c>
      <c r="I2695" s="2">
        <v>0.67446759259259259</v>
      </c>
      <c r="J2695">
        <v>16</v>
      </c>
      <c r="R2695" t="s">
        <v>30</v>
      </c>
      <c r="W2695">
        <v>1</v>
      </c>
      <c r="X2695" t="s">
        <v>30</v>
      </c>
      <c r="AC2695" t="s">
        <v>6011</v>
      </c>
      <c r="AE2695" s="135"/>
    </row>
    <row r="2696" spans="1:31" ht="12.5" customHeight="1" x14ac:dyDescent="0.35">
      <c r="A2696" t="s">
        <v>396</v>
      </c>
      <c r="C2696" t="s">
        <v>6012</v>
      </c>
      <c r="D2696" t="s">
        <v>385</v>
      </c>
      <c r="E2696" s="133">
        <v>45841</v>
      </c>
      <c r="F2696" s="2">
        <v>0.17453703703703705</v>
      </c>
      <c r="G2696">
        <v>4</v>
      </c>
      <c r="H2696" s="133">
        <v>45840</v>
      </c>
      <c r="I2696" s="2">
        <v>0.67453703703703705</v>
      </c>
      <c r="J2696">
        <v>16</v>
      </c>
      <c r="R2696" t="s">
        <v>432</v>
      </c>
      <c r="S2696">
        <v>5</v>
      </c>
      <c r="T2696">
        <v>0</v>
      </c>
      <c r="U2696">
        <v>0</v>
      </c>
      <c r="V2696">
        <v>0</v>
      </c>
      <c r="W2696">
        <v>1</v>
      </c>
      <c r="X2696" t="s">
        <v>30</v>
      </c>
      <c r="AC2696" t="s">
        <v>6013</v>
      </c>
      <c r="AE2696" s="135"/>
    </row>
    <row r="2697" spans="1:31" ht="12.5" customHeight="1" x14ac:dyDescent="0.35">
      <c r="A2697" t="s">
        <v>396</v>
      </c>
      <c r="C2697" t="s">
        <v>6014</v>
      </c>
      <c r="D2697" t="s">
        <v>385</v>
      </c>
      <c r="E2697" s="133">
        <v>45841</v>
      </c>
      <c r="F2697" s="2">
        <v>0.1749074074074074</v>
      </c>
      <c r="G2697">
        <v>4</v>
      </c>
      <c r="H2697" s="133">
        <v>45840</v>
      </c>
      <c r="I2697" s="2">
        <v>0.6749074074074074</v>
      </c>
      <c r="J2697">
        <v>16</v>
      </c>
      <c r="R2697" t="s">
        <v>30</v>
      </c>
      <c r="W2697">
        <v>1</v>
      </c>
      <c r="X2697" t="s">
        <v>30</v>
      </c>
      <c r="AC2697" t="s">
        <v>6015</v>
      </c>
      <c r="AE2697" s="135"/>
    </row>
    <row r="2698" spans="1:31" ht="12.5" customHeight="1" x14ac:dyDescent="0.35">
      <c r="A2698" t="s">
        <v>396</v>
      </c>
      <c r="C2698" t="s">
        <v>6016</v>
      </c>
      <c r="D2698" t="s">
        <v>385</v>
      </c>
      <c r="E2698" s="133">
        <v>45841</v>
      </c>
      <c r="F2698" s="2">
        <v>0.17500000000000002</v>
      </c>
      <c r="G2698">
        <v>4</v>
      </c>
      <c r="H2698" s="133">
        <v>45840</v>
      </c>
      <c r="I2698" s="2">
        <v>0.67499999999999993</v>
      </c>
      <c r="J2698">
        <v>16</v>
      </c>
      <c r="R2698" t="s">
        <v>30</v>
      </c>
      <c r="W2698">
        <v>1</v>
      </c>
      <c r="X2698" t="s">
        <v>30</v>
      </c>
      <c r="AC2698" t="s">
        <v>6017</v>
      </c>
      <c r="AE2698" s="135"/>
    </row>
    <row r="2699" spans="1:31" ht="12.5" customHeight="1" x14ac:dyDescent="0.35">
      <c r="A2699" t="s">
        <v>396</v>
      </c>
      <c r="C2699" t="s">
        <v>6018</v>
      </c>
      <c r="D2699" t="s">
        <v>385</v>
      </c>
      <c r="E2699" s="133">
        <v>45841</v>
      </c>
      <c r="F2699" s="2">
        <v>0.17509259259259258</v>
      </c>
      <c r="G2699">
        <v>4</v>
      </c>
      <c r="H2699" s="133">
        <v>45840</v>
      </c>
      <c r="I2699" s="2">
        <v>0.67509259259259258</v>
      </c>
      <c r="J2699">
        <v>16</v>
      </c>
      <c r="R2699" t="s">
        <v>30</v>
      </c>
      <c r="W2699">
        <v>1</v>
      </c>
      <c r="X2699" t="s">
        <v>30</v>
      </c>
      <c r="AC2699" t="s">
        <v>6019</v>
      </c>
      <c r="AE2699" s="135"/>
    </row>
    <row r="2700" spans="1:31" ht="12.5" customHeight="1" x14ac:dyDescent="0.35">
      <c r="A2700" t="s">
        <v>396</v>
      </c>
      <c r="C2700" t="s">
        <v>6020</v>
      </c>
      <c r="D2700" t="s">
        <v>385</v>
      </c>
      <c r="E2700" s="133">
        <v>45841</v>
      </c>
      <c r="F2700" s="2">
        <v>0.17516203703703703</v>
      </c>
      <c r="G2700">
        <v>4</v>
      </c>
      <c r="H2700" s="133">
        <v>45840</v>
      </c>
      <c r="I2700" s="2">
        <v>0.67516203703703714</v>
      </c>
      <c r="J2700">
        <v>16</v>
      </c>
      <c r="R2700" t="s">
        <v>30</v>
      </c>
      <c r="W2700">
        <v>1</v>
      </c>
      <c r="X2700" t="s">
        <v>30</v>
      </c>
      <c r="AC2700" t="s">
        <v>6021</v>
      </c>
      <c r="AE2700" s="135"/>
    </row>
    <row r="2701" spans="1:31" ht="12.5" customHeight="1" x14ac:dyDescent="0.35">
      <c r="A2701" t="s">
        <v>396</v>
      </c>
      <c r="C2701" t="s">
        <v>6022</v>
      </c>
      <c r="D2701" t="s">
        <v>385</v>
      </c>
      <c r="E2701" s="133">
        <v>45841</v>
      </c>
      <c r="F2701" s="2">
        <v>0.17523148148148149</v>
      </c>
      <c r="G2701">
        <v>4</v>
      </c>
      <c r="H2701" s="133">
        <v>45840</v>
      </c>
      <c r="I2701" s="2">
        <v>0.67523148148148149</v>
      </c>
      <c r="J2701">
        <v>16</v>
      </c>
      <c r="R2701" t="s">
        <v>30</v>
      </c>
      <c r="W2701">
        <v>1</v>
      </c>
      <c r="X2701" t="s">
        <v>30</v>
      </c>
      <c r="AC2701" t="s">
        <v>6023</v>
      </c>
      <c r="AE2701" s="135"/>
    </row>
    <row r="2702" spans="1:31" ht="12.5" customHeight="1" x14ac:dyDescent="0.35">
      <c r="A2702" t="s">
        <v>396</v>
      </c>
      <c r="C2702" t="s">
        <v>6024</v>
      </c>
      <c r="D2702" t="s">
        <v>385</v>
      </c>
      <c r="E2702" s="133">
        <v>45841</v>
      </c>
      <c r="F2702" s="2">
        <v>0.17532407407407405</v>
      </c>
      <c r="G2702">
        <v>4</v>
      </c>
      <c r="H2702" s="133">
        <v>45840</v>
      </c>
      <c r="I2702" s="2">
        <v>0.67532407407407413</v>
      </c>
      <c r="J2702">
        <v>16</v>
      </c>
      <c r="R2702" t="s">
        <v>30</v>
      </c>
      <c r="W2702">
        <v>1</v>
      </c>
      <c r="X2702" t="s">
        <v>30</v>
      </c>
      <c r="AC2702" t="s">
        <v>6025</v>
      </c>
      <c r="AE2702" s="135"/>
    </row>
    <row r="2703" spans="1:31" ht="12.5" customHeight="1" x14ac:dyDescent="0.35">
      <c r="A2703" t="s">
        <v>396</v>
      </c>
      <c r="C2703" t="s">
        <v>6026</v>
      </c>
      <c r="D2703" t="s">
        <v>385</v>
      </c>
      <c r="E2703" s="133">
        <v>45841</v>
      </c>
      <c r="F2703" s="2">
        <v>0.17541666666666667</v>
      </c>
      <c r="G2703">
        <v>4</v>
      </c>
      <c r="H2703" s="133">
        <v>45840</v>
      </c>
      <c r="I2703" s="2">
        <v>0.67541666666666667</v>
      </c>
      <c r="J2703">
        <v>16</v>
      </c>
      <c r="R2703" t="s">
        <v>30</v>
      </c>
      <c r="W2703">
        <v>1</v>
      </c>
      <c r="X2703" t="s">
        <v>30</v>
      </c>
      <c r="AC2703" t="s">
        <v>6027</v>
      </c>
      <c r="AE2703" s="135"/>
    </row>
    <row r="2704" spans="1:31" ht="12.5" customHeight="1" x14ac:dyDescent="0.35">
      <c r="A2704" t="s">
        <v>396</v>
      </c>
      <c r="C2704" t="s">
        <v>6028</v>
      </c>
      <c r="D2704" t="s">
        <v>385</v>
      </c>
      <c r="E2704" s="133">
        <v>45841</v>
      </c>
      <c r="F2704" s="2">
        <v>0.17553240740740741</v>
      </c>
      <c r="G2704">
        <v>4</v>
      </c>
      <c r="H2704" s="133">
        <v>45840</v>
      </c>
      <c r="I2704" s="2">
        <v>0.67553240740740739</v>
      </c>
      <c r="J2704">
        <v>16</v>
      </c>
      <c r="R2704" t="s">
        <v>30</v>
      </c>
      <c r="W2704">
        <v>1</v>
      </c>
      <c r="X2704" t="s">
        <v>30</v>
      </c>
      <c r="AC2704" t="s">
        <v>6029</v>
      </c>
      <c r="AE2704" s="135"/>
    </row>
    <row r="2705" spans="1:31" ht="12.5" customHeight="1" x14ac:dyDescent="0.35">
      <c r="A2705" t="s">
        <v>396</v>
      </c>
      <c r="C2705" t="s">
        <v>6030</v>
      </c>
      <c r="D2705" t="s">
        <v>385</v>
      </c>
      <c r="E2705" s="133">
        <v>45841</v>
      </c>
      <c r="F2705" s="2">
        <v>0.17564814814814814</v>
      </c>
      <c r="G2705">
        <v>4</v>
      </c>
      <c r="H2705" s="133">
        <v>45840</v>
      </c>
      <c r="I2705" s="2">
        <v>0.67564814814814822</v>
      </c>
      <c r="J2705">
        <v>16</v>
      </c>
      <c r="R2705" t="s">
        <v>30</v>
      </c>
      <c r="W2705">
        <v>1</v>
      </c>
      <c r="X2705" t="s">
        <v>30</v>
      </c>
      <c r="AC2705" t="s">
        <v>6031</v>
      </c>
      <c r="AE2705" s="135"/>
    </row>
    <row r="2706" spans="1:31" ht="12.5" customHeight="1" x14ac:dyDescent="0.35">
      <c r="A2706" t="s">
        <v>396</v>
      </c>
      <c r="C2706" t="s">
        <v>6032</v>
      </c>
      <c r="D2706" t="s">
        <v>385</v>
      </c>
      <c r="E2706" s="133">
        <v>45841</v>
      </c>
      <c r="F2706" s="2">
        <v>0.17574074074074075</v>
      </c>
      <c r="G2706">
        <v>4</v>
      </c>
      <c r="H2706" s="133">
        <v>45840</v>
      </c>
      <c r="I2706" s="2">
        <v>0.67574074074074064</v>
      </c>
      <c r="J2706">
        <v>16</v>
      </c>
      <c r="R2706" t="s">
        <v>30</v>
      </c>
      <c r="W2706">
        <v>1</v>
      </c>
      <c r="X2706" t="s">
        <v>30</v>
      </c>
      <c r="AC2706" t="s">
        <v>6033</v>
      </c>
      <c r="AE2706" s="135"/>
    </row>
    <row r="2707" spans="1:31" ht="12.5" customHeight="1" x14ac:dyDescent="0.35">
      <c r="A2707" t="s">
        <v>396</v>
      </c>
      <c r="C2707" t="s">
        <v>6034</v>
      </c>
      <c r="D2707" t="s">
        <v>385</v>
      </c>
      <c r="E2707" s="133">
        <v>45841</v>
      </c>
      <c r="F2707" s="2">
        <v>0.17583333333333331</v>
      </c>
      <c r="G2707">
        <v>4</v>
      </c>
      <c r="H2707" s="133">
        <v>45840</v>
      </c>
      <c r="I2707" s="2">
        <v>0.67583333333333329</v>
      </c>
      <c r="J2707">
        <v>16</v>
      </c>
      <c r="R2707" t="s">
        <v>30</v>
      </c>
      <c r="W2707">
        <v>1</v>
      </c>
      <c r="X2707" t="s">
        <v>30</v>
      </c>
      <c r="AC2707" t="s">
        <v>6035</v>
      </c>
      <c r="AE2707" s="135"/>
    </row>
    <row r="2708" spans="1:31" ht="12.5" customHeight="1" x14ac:dyDescent="0.35">
      <c r="A2708" t="s">
        <v>396</v>
      </c>
      <c r="C2708" t="s">
        <v>6036</v>
      </c>
      <c r="D2708" t="s">
        <v>385</v>
      </c>
      <c r="E2708" s="133">
        <v>45841</v>
      </c>
      <c r="F2708" s="2">
        <v>0.17592592592592593</v>
      </c>
      <c r="G2708">
        <v>4</v>
      </c>
      <c r="H2708" s="133">
        <v>45840</v>
      </c>
      <c r="I2708" s="2">
        <v>0.67592592592592593</v>
      </c>
      <c r="J2708">
        <v>16</v>
      </c>
      <c r="R2708" t="s">
        <v>30</v>
      </c>
      <c r="W2708">
        <v>1</v>
      </c>
      <c r="X2708" t="s">
        <v>30</v>
      </c>
      <c r="AC2708" t="s">
        <v>6037</v>
      </c>
      <c r="AE2708" s="135"/>
    </row>
    <row r="2709" spans="1:31" ht="12.5" customHeight="1" x14ac:dyDescent="0.35">
      <c r="A2709" t="s">
        <v>396</v>
      </c>
      <c r="C2709" t="s">
        <v>6038</v>
      </c>
      <c r="D2709" t="s">
        <v>385</v>
      </c>
      <c r="E2709" s="133">
        <v>45841</v>
      </c>
      <c r="F2709" s="2">
        <v>0.17601851851851849</v>
      </c>
      <c r="G2709">
        <v>4</v>
      </c>
      <c r="H2709" s="133">
        <v>45840</v>
      </c>
      <c r="I2709" s="2">
        <v>0.67601851851851846</v>
      </c>
      <c r="J2709">
        <v>16</v>
      </c>
      <c r="R2709" t="s">
        <v>30</v>
      </c>
      <c r="W2709">
        <v>1</v>
      </c>
      <c r="X2709" t="s">
        <v>30</v>
      </c>
      <c r="AC2709" t="s">
        <v>6039</v>
      </c>
      <c r="AE2709" s="135"/>
    </row>
    <row r="2710" spans="1:31" ht="12.5" customHeight="1" x14ac:dyDescent="0.35">
      <c r="A2710" t="s">
        <v>396</v>
      </c>
      <c r="C2710" t="s">
        <v>6040</v>
      </c>
      <c r="D2710" t="s">
        <v>385</v>
      </c>
      <c r="E2710" s="133">
        <v>45841</v>
      </c>
      <c r="F2710" s="2">
        <v>0.17611111111111111</v>
      </c>
      <c r="G2710">
        <v>4</v>
      </c>
      <c r="H2710" s="133">
        <v>45840</v>
      </c>
      <c r="I2710" s="2">
        <v>0.67611111111111111</v>
      </c>
      <c r="J2710">
        <v>16</v>
      </c>
      <c r="R2710" t="s">
        <v>30</v>
      </c>
      <c r="W2710">
        <v>1</v>
      </c>
      <c r="X2710" t="s">
        <v>30</v>
      </c>
      <c r="AC2710" t="s">
        <v>6041</v>
      </c>
      <c r="AE2710" s="135"/>
    </row>
    <row r="2711" spans="1:31" ht="12.5" customHeight="1" x14ac:dyDescent="0.35">
      <c r="A2711" t="s">
        <v>396</v>
      </c>
      <c r="C2711" t="s">
        <v>6042</v>
      </c>
      <c r="D2711" t="s">
        <v>385</v>
      </c>
      <c r="E2711" s="133">
        <v>45841</v>
      </c>
      <c r="F2711" s="2">
        <v>0.17620370370370372</v>
      </c>
      <c r="G2711">
        <v>4</v>
      </c>
      <c r="H2711" s="133">
        <v>45840</v>
      </c>
      <c r="I2711" s="2">
        <v>0.67620370370370375</v>
      </c>
      <c r="J2711">
        <v>16</v>
      </c>
      <c r="R2711" t="s">
        <v>30</v>
      </c>
      <c r="W2711">
        <v>1</v>
      </c>
      <c r="X2711" t="s">
        <v>30</v>
      </c>
      <c r="AC2711" t="s">
        <v>6043</v>
      </c>
      <c r="AE2711" s="135"/>
    </row>
    <row r="2712" spans="1:31" ht="12.5" customHeight="1" x14ac:dyDescent="0.35">
      <c r="A2712" t="s">
        <v>396</v>
      </c>
      <c r="C2712" t="s">
        <v>6044</v>
      </c>
      <c r="D2712" t="s">
        <v>385</v>
      </c>
      <c r="E2712" s="133">
        <v>45841</v>
      </c>
      <c r="F2712" s="2">
        <v>0.17631944444444445</v>
      </c>
      <c r="G2712">
        <v>4</v>
      </c>
      <c r="H2712" s="133">
        <v>45840</v>
      </c>
      <c r="I2712" s="2">
        <v>0.67631944444444436</v>
      </c>
      <c r="J2712">
        <v>16</v>
      </c>
      <c r="R2712" t="s">
        <v>30</v>
      </c>
      <c r="W2712">
        <v>1</v>
      </c>
      <c r="X2712" t="s">
        <v>30</v>
      </c>
      <c r="AC2712" t="s">
        <v>6045</v>
      </c>
      <c r="AE2712" s="135"/>
    </row>
    <row r="2713" spans="1:31" ht="12.5" customHeight="1" x14ac:dyDescent="0.35">
      <c r="A2713" t="s">
        <v>396</v>
      </c>
      <c r="C2713" t="s">
        <v>6046</v>
      </c>
      <c r="D2713" t="s">
        <v>385</v>
      </c>
      <c r="E2713" s="133">
        <v>45841</v>
      </c>
      <c r="F2713" s="2">
        <v>0.17641203703703703</v>
      </c>
      <c r="G2713">
        <v>4</v>
      </c>
      <c r="H2713" s="133">
        <v>45840</v>
      </c>
      <c r="I2713" s="2">
        <v>0.67641203703703701</v>
      </c>
      <c r="J2713">
        <v>16</v>
      </c>
      <c r="R2713" t="s">
        <v>30</v>
      </c>
      <c r="W2713">
        <v>1</v>
      </c>
      <c r="X2713" t="s">
        <v>30</v>
      </c>
      <c r="AC2713" t="s">
        <v>6047</v>
      </c>
      <c r="AE2713" s="135"/>
    </row>
    <row r="2714" spans="1:31" ht="12.5" customHeight="1" x14ac:dyDescent="0.35">
      <c r="A2714" t="s">
        <v>396</v>
      </c>
      <c r="C2714" t="s">
        <v>6048</v>
      </c>
      <c r="D2714" t="s">
        <v>385</v>
      </c>
      <c r="E2714" s="133">
        <v>45841</v>
      </c>
      <c r="F2714" s="2">
        <v>0.17650462962962962</v>
      </c>
      <c r="G2714">
        <v>4</v>
      </c>
      <c r="H2714" s="133">
        <v>45840</v>
      </c>
      <c r="I2714" s="2">
        <v>0.67650462962962965</v>
      </c>
      <c r="J2714">
        <v>16</v>
      </c>
      <c r="R2714" t="s">
        <v>30</v>
      </c>
      <c r="W2714">
        <v>1</v>
      </c>
      <c r="X2714" t="s">
        <v>30</v>
      </c>
      <c r="AC2714" t="s">
        <v>6049</v>
      </c>
      <c r="AE2714" s="135"/>
    </row>
    <row r="2715" spans="1:31" ht="12.5" customHeight="1" x14ac:dyDescent="0.35">
      <c r="A2715" t="s">
        <v>396</v>
      </c>
      <c r="C2715" t="s">
        <v>6050</v>
      </c>
      <c r="D2715" t="s">
        <v>385</v>
      </c>
      <c r="E2715" s="133">
        <v>45841</v>
      </c>
      <c r="F2715" s="2">
        <v>0.17657407407407408</v>
      </c>
      <c r="G2715">
        <v>4</v>
      </c>
      <c r="H2715" s="133">
        <v>45840</v>
      </c>
      <c r="I2715" s="2">
        <v>0.67657407407407411</v>
      </c>
      <c r="J2715">
        <v>16</v>
      </c>
      <c r="R2715" t="s">
        <v>30</v>
      </c>
      <c r="W2715">
        <v>1</v>
      </c>
      <c r="X2715" t="s">
        <v>30</v>
      </c>
      <c r="AC2715" t="s">
        <v>6051</v>
      </c>
      <c r="AE2715" s="135"/>
    </row>
    <row r="2716" spans="1:31" ht="12.5" customHeight="1" x14ac:dyDescent="0.35">
      <c r="A2716" t="s">
        <v>396</v>
      </c>
      <c r="C2716" t="s">
        <v>6052</v>
      </c>
      <c r="D2716" t="s">
        <v>385</v>
      </c>
      <c r="E2716" s="133">
        <v>45841</v>
      </c>
      <c r="F2716" s="2">
        <v>0.17673611111111109</v>
      </c>
      <c r="G2716">
        <v>4</v>
      </c>
      <c r="H2716" s="133">
        <v>45840</v>
      </c>
      <c r="I2716" s="2">
        <v>0.67673611111111109</v>
      </c>
      <c r="J2716">
        <v>16</v>
      </c>
      <c r="R2716" t="s">
        <v>30</v>
      </c>
      <c r="W2716">
        <v>1</v>
      </c>
      <c r="X2716" t="s">
        <v>30</v>
      </c>
      <c r="AC2716" t="s">
        <v>6053</v>
      </c>
      <c r="AE2716" s="135"/>
    </row>
    <row r="2717" spans="1:31" ht="12.5" customHeight="1" x14ac:dyDescent="0.35">
      <c r="A2717" t="s">
        <v>396</v>
      </c>
      <c r="C2717" t="s">
        <v>6054</v>
      </c>
      <c r="D2717" t="s">
        <v>385</v>
      </c>
      <c r="E2717" s="133">
        <v>45841</v>
      </c>
      <c r="F2717" s="2">
        <v>0.17685185185185184</v>
      </c>
      <c r="G2717">
        <v>4</v>
      </c>
      <c r="H2717" s="133">
        <v>45840</v>
      </c>
      <c r="I2717" s="2">
        <v>0.67685185185185182</v>
      </c>
      <c r="J2717">
        <v>16</v>
      </c>
      <c r="R2717" t="s">
        <v>30</v>
      </c>
      <c r="W2717">
        <v>1</v>
      </c>
      <c r="X2717" t="s">
        <v>30</v>
      </c>
      <c r="AC2717" t="s">
        <v>6055</v>
      </c>
      <c r="AE2717" s="135"/>
    </row>
    <row r="2718" spans="1:31" ht="12.5" customHeight="1" x14ac:dyDescent="0.35">
      <c r="A2718" t="s">
        <v>396</v>
      </c>
      <c r="C2718" t="s">
        <v>6056</v>
      </c>
      <c r="D2718" t="s">
        <v>385</v>
      </c>
      <c r="E2718" s="133">
        <v>45841</v>
      </c>
      <c r="F2718" s="2">
        <v>0.17703703703703702</v>
      </c>
      <c r="G2718">
        <v>4</v>
      </c>
      <c r="H2718" s="133">
        <v>45840</v>
      </c>
      <c r="I2718" s="2">
        <v>0.67703703703703699</v>
      </c>
      <c r="J2718">
        <v>16</v>
      </c>
      <c r="R2718" t="s">
        <v>30</v>
      </c>
      <c r="W2718">
        <v>1</v>
      </c>
      <c r="X2718" t="s">
        <v>30</v>
      </c>
      <c r="AC2718" t="s">
        <v>6057</v>
      </c>
      <c r="AE2718" s="135"/>
    </row>
    <row r="2719" spans="1:31" ht="12.5" customHeight="1" x14ac:dyDescent="0.35">
      <c r="A2719" t="s">
        <v>396</v>
      </c>
      <c r="C2719" t="s">
        <v>6058</v>
      </c>
      <c r="D2719" t="s">
        <v>385</v>
      </c>
      <c r="E2719" s="133">
        <v>45841</v>
      </c>
      <c r="F2719" s="2">
        <v>0.17712962962962964</v>
      </c>
      <c r="G2719">
        <v>4</v>
      </c>
      <c r="H2719" s="133">
        <v>45840</v>
      </c>
      <c r="I2719" s="2">
        <v>0.67712962962962964</v>
      </c>
      <c r="J2719">
        <v>16</v>
      </c>
      <c r="R2719" t="s">
        <v>30</v>
      </c>
      <c r="W2719">
        <v>1</v>
      </c>
      <c r="X2719" t="s">
        <v>30</v>
      </c>
      <c r="AC2719" t="s">
        <v>6059</v>
      </c>
      <c r="AE2719" s="135"/>
    </row>
    <row r="2720" spans="1:31" ht="12.5" customHeight="1" x14ac:dyDescent="0.35">
      <c r="A2720" t="s">
        <v>396</v>
      </c>
      <c r="C2720" t="s">
        <v>6060</v>
      </c>
      <c r="D2720" t="s">
        <v>385</v>
      </c>
      <c r="E2720" s="133">
        <v>45841</v>
      </c>
      <c r="F2720" s="2">
        <v>0.1772222222222222</v>
      </c>
      <c r="G2720">
        <v>4</v>
      </c>
      <c r="H2720" s="133">
        <v>45840</v>
      </c>
      <c r="I2720" s="2">
        <v>0.67722222222222228</v>
      </c>
      <c r="J2720">
        <v>16</v>
      </c>
      <c r="R2720" t="s">
        <v>30</v>
      </c>
      <c r="W2720">
        <v>1</v>
      </c>
      <c r="X2720" t="s">
        <v>30</v>
      </c>
      <c r="AC2720" t="s">
        <v>6061</v>
      </c>
      <c r="AE2720" s="135"/>
    </row>
    <row r="2721" spans="1:31" ht="12.5" customHeight="1" x14ac:dyDescent="0.35">
      <c r="A2721" t="s">
        <v>396</v>
      </c>
      <c r="C2721" t="s">
        <v>6062</v>
      </c>
      <c r="D2721" t="s">
        <v>385</v>
      </c>
      <c r="E2721" s="133">
        <v>45841</v>
      </c>
      <c r="F2721" s="2">
        <v>0.17733796296296298</v>
      </c>
      <c r="G2721">
        <v>4</v>
      </c>
      <c r="H2721" s="133">
        <v>45840</v>
      </c>
      <c r="I2721" s="2">
        <v>0.67733796296296289</v>
      </c>
      <c r="J2721">
        <v>16</v>
      </c>
      <c r="R2721" t="s">
        <v>30</v>
      </c>
      <c r="W2721">
        <v>1</v>
      </c>
      <c r="X2721" t="s">
        <v>30</v>
      </c>
      <c r="AC2721" t="s">
        <v>6063</v>
      </c>
      <c r="AE2721" s="135"/>
    </row>
    <row r="2722" spans="1:31" ht="12.5" customHeight="1" x14ac:dyDescent="0.35">
      <c r="A2722" t="s">
        <v>396</v>
      </c>
      <c r="C2722" t="s">
        <v>6064</v>
      </c>
      <c r="D2722" t="s">
        <v>385</v>
      </c>
      <c r="E2722" s="133">
        <v>45841</v>
      </c>
      <c r="F2722" s="2">
        <v>0.17743055555555556</v>
      </c>
      <c r="G2722">
        <v>4</v>
      </c>
      <c r="H2722" s="133">
        <v>45840</v>
      </c>
      <c r="I2722" s="2">
        <v>0.67743055555555554</v>
      </c>
      <c r="J2722">
        <v>16</v>
      </c>
      <c r="R2722" t="s">
        <v>30</v>
      </c>
      <c r="W2722">
        <v>1</v>
      </c>
      <c r="X2722" t="s">
        <v>30</v>
      </c>
      <c r="AC2722" t="s">
        <v>6065</v>
      </c>
      <c r="AE2722" s="135"/>
    </row>
    <row r="2723" spans="1:31" ht="12.5" customHeight="1" x14ac:dyDescent="0.35">
      <c r="A2723" t="s">
        <v>396</v>
      </c>
      <c r="C2723" t="s">
        <v>6066</v>
      </c>
      <c r="D2723" t="s">
        <v>385</v>
      </c>
      <c r="E2723" s="133">
        <v>45841</v>
      </c>
      <c r="F2723" s="2">
        <v>0.17754629629629629</v>
      </c>
      <c r="G2723">
        <v>4</v>
      </c>
      <c r="H2723" s="133">
        <v>45840</v>
      </c>
      <c r="I2723" s="2">
        <v>0.67754629629629637</v>
      </c>
      <c r="J2723">
        <v>16</v>
      </c>
      <c r="R2723" t="s">
        <v>30</v>
      </c>
      <c r="W2723">
        <v>1</v>
      </c>
      <c r="X2723" t="s">
        <v>30</v>
      </c>
      <c r="AC2723" t="s">
        <v>6067</v>
      </c>
      <c r="AE2723" s="135"/>
    </row>
    <row r="2724" spans="1:31" ht="12.5" customHeight="1" x14ac:dyDescent="0.35">
      <c r="A2724" t="s">
        <v>396</v>
      </c>
      <c r="C2724" t="s">
        <v>6068</v>
      </c>
      <c r="D2724" t="s">
        <v>385</v>
      </c>
      <c r="E2724" s="133">
        <v>45841</v>
      </c>
      <c r="F2724" s="2">
        <v>0.17768518518518517</v>
      </c>
      <c r="G2724">
        <v>4</v>
      </c>
      <c r="H2724" s="133">
        <v>45840</v>
      </c>
      <c r="I2724" s="2">
        <v>0.67768518518518517</v>
      </c>
      <c r="J2724">
        <v>16</v>
      </c>
      <c r="R2724" t="s">
        <v>30</v>
      </c>
      <c r="W2724">
        <v>1</v>
      </c>
      <c r="X2724" t="s">
        <v>30</v>
      </c>
      <c r="AC2724" t="s">
        <v>6069</v>
      </c>
      <c r="AE2724" s="135"/>
    </row>
    <row r="2725" spans="1:31" ht="12.5" customHeight="1" x14ac:dyDescent="0.35">
      <c r="A2725" t="s">
        <v>396</v>
      </c>
      <c r="C2725" t="s">
        <v>6070</v>
      </c>
      <c r="D2725" t="s">
        <v>385</v>
      </c>
      <c r="E2725" s="133">
        <v>45841</v>
      </c>
      <c r="F2725" s="2">
        <v>0.17775462962962962</v>
      </c>
      <c r="G2725">
        <v>4</v>
      </c>
      <c r="H2725" s="133">
        <v>45840</v>
      </c>
      <c r="I2725" s="2">
        <v>0.67775462962962962</v>
      </c>
      <c r="J2725">
        <v>16</v>
      </c>
      <c r="R2725" t="s">
        <v>30</v>
      </c>
      <c r="W2725">
        <v>1</v>
      </c>
      <c r="X2725" t="s">
        <v>30</v>
      </c>
      <c r="AC2725" t="s">
        <v>6071</v>
      </c>
      <c r="AE2725" s="135"/>
    </row>
    <row r="2726" spans="1:31" ht="12.5" customHeight="1" x14ac:dyDescent="0.35">
      <c r="A2726" t="s">
        <v>396</v>
      </c>
      <c r="C2726" t="s">
        <v>6072</v>
      </c>
      <c r="D2726" t="s">
        <v>385</v>
      </c>
      <c r="E2726" s="133">
        <v>45841</v>
      </c>
      <c r="F2726" s="2">
        <v>0.17784722222222224</v>
      </c>
      <c r="G2726">
        <v>4</v>
      </c>
      <c r="H2726" s="133">
        <v>45840</v>
      </c>
      <c r="I2726" s="2">
        <v>0.67784722222222227</v>
      </c>
      <c r="J2726">
        <v>16</v>
      </c>
      <c r="R2726" t="s">
        <v>30</v>
      </c>
      <c r="W2726">
        <v>1</v>
      </c>
      <c r="X2726" t="s">
        <v>30</v>
      </c>
      <c r="AC2726" t="s">
        <v>6073</v>
      </c>
      <c r="AE2726" s="135"/>
    </row>
    <row r="2727" spans="1:31" ht="12.5" customHeight="1" x14ac:dyDescent="0.35">
      <c r="A2727" t="s">
        <v>396</v>
      </c>
      <c r="C2727" t="s">
        <v>6074</v>
      </c>
      <c r="D2727" t="s">
        <v>385</v>
      </c>
      <c r="E2727" s="133">
        <v>45841</v>
      </c>
      <c r="F2727" s="2">
        <v>0.17791666666666664</v>
      </c>
      <c r="G2727">
        <v>4</v>
      </c>
      <c r="H2727" s="133">
        <v>45840</v>
      </c>
      <c r="I2727" s="2">
        <v>0.67791666666666661</v>
      </c>
      <c r="J2727">
        <v>16</v>
      </c>
      <c r="R2727" t="s">
        <v>30</v>
      </c>
      <c r="W2727">
        <v>1</v>
      </c>
      <c r="X2727" t="s">
        <v>30</v>
      </c>
      <c r="AC2727" t="s">
        <v>6075</v>
      </c>
      <c r="AE2727" s="135"/>
    </row>
    <row r="2728" spans="1:31" ht="12.5" customHeight="1" x14ac:dyDescent="0.35">
      <c r="A2728" t="s">
        <v>396</v>
      </c>
      <c r="C2728" t="s">
        <v>6076</v>
      </c>
      <c r="D2728" t="s">
        <v>385</v>
      </c>
      <c r="E2728" s="133">
        <v>45841</v>
      </c>
      <c r="F2728" s="2">
        <v>0.17800925925925926</v>
      </c>
      <c r="G2728">
        <v>4</v>
      </c>
      <c r="H2728" s="133">
        <v>45840</v>
      </c>
      <c r="I2728" s="2">
        <v>0.67800925925925926</v>
      </c>
      <c r="J2728">
        <v>16</v>
      </c>
      <c r="R2728" t="s">
        <v>30</v>
      </c>
      <c r="W2728">
        <v>1</v>
      </c>
      <c r="X2728" t="s">
        <v>30</v>
      </c>
      <c r="AC2728" t="s">
        <v>6077</v>
      </c>
      <c r="AE2728" s="135"/>
    </row>
    <row r="2729" spans="1:31" ht="12.5" customHeight="1" x14ac:dyDescent="0.35">
      <c r="A2729" t="s">
        <v>396</v>
      </c>
      <c r="C2729" t="s">
        <v>6078</v>
      </c>
      <c r="D2729" t="s">
        <v>385</v>
      </c>
      <c r="E2729" s="133">
        <v>45841</v>
      </c>
      <c r="F2729" s="2">
        <v>0.17810185185185187</v>
      </c>
      <c r="G2729">
        <v>4</v>
      </c>
      <c r="H2729" s="133">
        <v>45840</v>
      </c>
      <c r="I2729" s="2">
        <v>0.6781018518518519</v>
      </c>
      <c r="J2729">
        <v>16</v>
      </c>
      <c r="R2729" t="s">
        <v>30</v>
      </c>
      <c r="W2729">
        <v>1</v>
      </c>
      <c r="X2729" t="s">
        <v>30</v>
      </c>
      <c r="AC2729" t="s">
        <v>6079</v>
      </c>
      <c r="AE2729" s="135"/>
    </row>
    <row r="2730" spans="1:31" ht="12.5" customHeight="1" x14ac:dyDescent="0.35">
      <c r="A2730" t="s">
        <v>396</v>
      </c>
      <c r="C2730" t="s">
        <v>6080</v>
      </c>
      <c r="D2730" t="s">
        <v>385</v>
      </c>
      <c r="E2730" s="133">
        <v>45841</v>
      </c>
      <c r="F2730" s="2">
        <v>0.17819444444444443</v>
      </c>
      <c r="G2730">
        <v>4</v>
      </c>
      <c r="H2730" s="133">
        <v>45840</v>
      </c>
      <c r="I2730" s="2">
        <v>0.67819444444444443</v>
      </c>
      <c r="J2730">
        <v>16</v>
      </c>
      <c r="R2730" t="s">
        <v>30</v>
      </c>
      <c r="W2730">
        <v>1</v>
      </c>
      <c r="X2730" t="s">
        <v>30</v>
      </c>
      <c r="AC2730" t="s">
        <v>6081</v>
      </c>
      <c r="AE2730" s="135"/>
    </row>
    <row r="2731" spans="1:31" ht="12.5" customHeight="1" x14ac:dyDescent="0.35">
      <c r="A2731" t="s">
        <v>396</v>
      </c>
      <c r="C2731" t="s">
        <v>6082</v>
      </c>
      <c r="D2731" t="s">
        <v>385</v>
      </c>
      <c r="E2731" s="133">
        <v>45841</v>
      </c>
      <c r="F2731" s="2">
        <v>0.17828703703703705</v>
      </c>
      <c r="G2731">
        <v>4</v>
      </c>
      <c r="H2731" s="133">
        <v>45840</v>
      </c>
      <c r="I2731" s="2">
        <v>0.67828703703703708</v>
      </c>
      <c r="J2731">
        <v>16</v>
      </c>
      <c r="R2731" t="s">
        <v>30</v>
      </c>
      <c r="W2731">
        <v>1</v>
      </c>
      <c r="X2731" t="s">
        <v>30</v>
      </c>
      <c r="AC2731" t="s">
        <v>6083</v>
      </c>
      <c r="AE2731" s="135"/>
    </row>
    <row r="2732" spans="1:31" ht="12.5" customHeight="1" x14ac:dyDescent="0.35">
      <c r="A2732" t="s">
        <v>396</v>
      </c>
      <c r="C2732" t="s">
        <v>6084</v>
      </c>
      <c r="D2732" t="s">
        <v>385</v>
      </c>
      <c r="E2732" s="133">
        <v>45841</v>
      </c>
      <c r="F2732" s="2">
        <v>0.17837962962962964</v>
      </c>
      <c r="G2732">
        <v>4</v>
      </c>
      <c r="H2732" s="133">
        <v>45840</v>
      </c>
      <c r="I2732" s="2">
        <v>0.67837962962962972</v>
      </c>
      <c r="J2732">
        <v>16</v>
      </c>
      <c r="R2732" t="s">
        <v>30</v>
      </c>
      <c r="W2732">
        <v>1</v>
      </c>
      <c r="X2732" t="s">
        <v>30</v>
      </c>
      <c r="AC2732" t="s">
        <v>6085</v>
      </c>
      <c r="AE2732" s="135"/>
    </row>
    <row r="2733" spans="1:31" ht="12.5" customHeight="1" x14ac:dyDescent="0.35">
      <c r="A2733" t="s">
        <v>396</v>
      </c>
      <c r="C2733" t="s">
        <v>6086</v>
      </c>
      <c r="D2733" t="s">
        <v>385</v>
      </c>
      <c r="E2733" s="133">
        <v>45841</v>
      </c>
      <c r="F2733" s="2">
        <v>0.17844907407407407</v>
      </c>
      <c r="G2733">
        <v>4</v>
      </c>
      <c r="H2733" s="133">
        <v>45840</v>
      </c>
      <c r="I2733" s="2">
        <v>0.67844907407407407</v>
      </c>
      <c r="J2733">
        <v>16</v>
      </c>
      <c r="R2733" t="s">
        <v>30</v>
      </c>
      <c r="W2733">
        <v>1</v>
      </c>
      <c r="X2733" t="s">
        <v>30</v>
      </c>
      <c r="AC2733" t="s">
        <v>6087</v>
      </c>
      <c r="AE2733" s="135"/>
    </row>
    <row r="2734" spans="1:31" ht="12.5" customHeight="1" x14ac:dyDescent="0.35">
      <c r="A2734" t="s">
        <v>396</v>
      </c>
      <c r="C2734" t="s">
        <v>6088</v>
      </c>
      <c r="D2734" t="s">
        <v>385</v>
      </c>
      <c r="E2734" s="133">
        <v>45841</v>
      </c>
      <c r="F2734" s="2">
        <v>0.17854166666666668</v>
      </c>
      <c r="G2734">
        <v>4</v>
      </c>
      <c r="H2734" s="133">
        <v>45840</v>
      </c>
      <c r="I2734" s="2">
        <v>0.67854166666666671</v>
      </c>
      <c r="J2734">
        <v>16</v>
      </c>
      <c r="R2734" t="s">
        <v>30</v>
      </c>
      <c r="W2734">
        <v>1</v>
      </c>
      <c r="X2734" t="s">
        <v>30</v>
      </c>
      <c r="AC2734" t="s">
        <v>6089</v>
      </c>
      <c r="AE2734" s="135"/>
    </row>
    <row r="2735" spans="1:31" ht="12.5" customHeight="1" x14ac:dyDescent="0.35">
      <c r="A2735" t="s">
        <v>396</v>
      </c>
      <c r="C2735" t="s">
        <v>6090</v>
      </c>
      <c r="D2735" t="s">
        <v>385</v>
      </c>
      <c r="E2735" s="133">
        <v>45841</v>
      </c>
      <c r="F2735" s="2">
        <v>0.17863425925925924</v>
      </c>
      <c r="G2735">
        <v>4</v>
      </c>
      <c r="H2735" s="133">
        <v>45840</v>
      </c>
      <c r="I2735" s="2">
        <v>0.67863425925925924</v>
      </c>
      <c r="J2735">
        <v>16</v>
      </c>
      <c r="R2735" t="s">
        <v>30</v>
      </c>
      <c r="W2735">
        <v>1</v>
      </c>
      <c r="X2735" t="s">
        <v>30</v>
      </c>
      <c r="AC2735" t="s">
        <v>6091</v>
      </c>
      <c r="AE2735" s="135"/>
    </row>
    <row r="2736" spans="1:31" ht="12.5" customHeight="1" x14ac:dyDescent="0.35">
      <c r="A2736" t="s">
        <v>396</v>
      </c>
      <c r="C2736" t="s">
        <v>6092</v>
      </c>
      <c r="D2736" t="s">
        <v>385</v>
      </c>
      <c r="E2736" s="133">
        <v>45841</v>
      </c>
      <c r="F2736" s="2">
        <v>0.1787037037037037</v>
      </c>
      <c r="G2736">
        <v>4</v>
      </c>
      <c r="H2736" s="133">
        <v>45840</v>
      </c>
      <c r="I2736" s="2">
        <v>0.6787037037037037</v>
      </c>
      <c r="J2736">
        <v>16</v>
      </c>
      <c r="R2736" t="s">
        <v>30</v>
      </c>
      <c r="W2736">
        <v>1</v>
      </c>
      <c r="X2736" t="s">
        <v>30</v>
      </c>
      <c r="AC2736" t="s">
        <v>6093</v>
      </c>
      <c r="AE2736" s="135"/>
    </row>
    <row r="2737" spans="1:31" ht="12.5" customHeight="1" x14ac:dyDescent="0.35">
      <c r="A2737" t="s">
        <v>396</v>
      </c>
      <c r="C2737" t="s">
        <v>6094</v>
      </c>
      <c r="D2737" t="s">
        <v>385</v>
      </c>
      <c r="E2737" s="133">
        <v>45841</v>
      </c>
      <c r="F2737" s="2">
        <v>0.17877314814814815</v>
      </c>
      <c r="G2737">
        <v>4</v>
      </c>
      <c r="H2737" s="133">
        <v>45840</v>
      </c>
      <c r="I2737" s="2">
        <v>0.67877314814814815</v>
      </c>
      <c r="J2737">
        <v>16</v>
      </c>
      <c r="R2737" t="s">
        <v>30</v>
      </c>
      <c r="W2737">
        <v>1</v>
      </c>
      <c r="X2737" t="s">
        <v>30</v>
      </c>
      <c r="AC2737" t="s">
        <v>6095</v>
      </c>
      <c r="AE2737" s="135"/>
    </row>
    <row r="2738" spans="1:31" ht="12.5" customHeight="1" x14ac:dyDescent="0.35">
      <c r="A2738" t="s">
        <v>396</v>
      </c>
      <c r="C2738" t="s">
        <v>6096</v>
      </c>
      <c r="D2738" t="s">
        <v>385</v>
      </c>
      <c r="E2738" s="133">
        <v>45841</v>
      </c>
      <c r="F2738" s="2">
        <v>0.17886574074074071</v>
      </c>
      <c r="G2738">
        <v>4</v>
      </c>
      <c r="H2738" s="133">
        <v>45840</v>
      </c>
      <c r="I2738" s="2">
        <v>0.6788657407407408</v>
      </c>
      <c r="J2738">
        <v>16</v>
      </c>
      <c r="R2738" t="s">
        <v>30</v>
      </c>
      <c r="W2738">
        <v>1</v>
      </c>
      <c r="X2738" t="s">
        <v>30</v>
      </c>
      <c r="AC2738" t="s">
        <v>6097</v>
      </c>
      <c r="AE2738" s="135"/>
    </row>
    <row r="2739" spans="1:31" ht="12.5" customHeight="1" x14ac:dyDescent="0.35">
      <c r="A2739" t="s">
        <v>396</v>
      </c>
      <c r="C2739" t="s">
        <v>6098</v>
      </c>
      <c r="D2739" t="s">
        <v>385</v>
      </c>
      <c r="E2739" s="133">
        <v>45841</v>
      </c>
      <c r="F2739" s="2">
        <v>0.17895833333333333</v>
      </c>
      <c r="G2739">
        <v>4</v>
      </c>
      <c r="H2739" s="133">
        <v>45840</v>
      </c>
      <c r="I2739" s="2">
        <v>0.67895833333333344</v>
      </c>
      <c r="J2739">
        <v>16</v>
      </c>
      <c r="R2739" t="s">
        <v>30</v>
      </c>
      <c r="W2739">
        <v>1</v>
      </c>
      <c r="X2739" t="s">
        <v>30</v>
      </c>
      <c r="AC2739" t="s">
        <v>6099</v>
      </c>
      <c r="AE2739" s="135"/>
    </row>
    <row r="2740" spans="1:31" ht="12.5" customHeight="1" x14ac:dyDescent="0.35">
      <c r="A2740" t="s">
        <v>396</v>
      </c>
      <c r="C2740" t="s">
        <v>6100</v>
      </c>
      <c r="D2740" t="s">
        <v>385</v>
      </c>
      <c r="E2740" s="133">
        <v>45841</v>
      </c>
      <c r="F2740" s="2">
        <v>0.17902777777777779</v>
      </c>
      <c r="G2740">
        <v>4</v>
      </c>
      <c r="H2740" s="133">
        <v>45840</v>
      </c>
      <c r="I2740" s="2">
        <v>0.67902777777777779</v>
      </c>
      <c r="J2740">
        <v>16</v>
      </c>
      <c r="R2740" t="s">
        <v>30</v>
      </c>
      <c r="W2740">
        <v>1</v>
      </c>
      <c r="X2740" t="s">
        <v>30</v>
      </c>
      <c r="AC2740" t="s">
        <v>6101</v>
      </c>
      <c r="AE2740" s="135"/>
    </row>
    <row r="2741" spans="1:31" ht="12.5" customHeight="1" x14ac:dyDescent="0.35">
      <c r="A2741" t="s">
        <v>396</v>
      </c>
      <c r="C2741" t="s">
        <v>6102</v>
      </c>
      <c r="D2741" t="s">
        <v>385</v>
      </c>
      <c r="E2741" s="133">
        <v>45841</v>
      </c>
      <c r="F2741" s="2">
        <v>0.17909722222222221</v>
      </c>
      <c r="G2741">
        <v>4</v>
      </c>
      <c r="H2741" s="133">
        <v>45840</v>
      </c>
      <c r="I2741" s="2">
        <v>0.67909722222222213</v>
      </c>
      <c r="J2741">
        <v>16</v>
      </c>
      <c r="R2741" t="s">
        <v>30</v>
      </c>
      <c r="W2741">
        <v>1</v>
      </c>
      <c r="X2741" t="s">
        <v>30</v>
      </c>
      <c r="AC2741" t="s">
        <v>6103</v>
      </c>
      <c r="AE2741" s="135"/>
    </row>
    <row r="2742" spans="1:31" ht="12.5" customHeight="1" x14ac:dyDescent="0.35">
      <c r="A2742" t="s">
        <v>396</v>
      </c>
      <c r="C2742" t="s">
        <v>6104</v>
      </c>
      <c r="D2742" t="s">
        <v>385</v>
      </c>
      <c r="E2742" s="133">
        <v>45841</v>
      </c>
      <c r="F2742" s="2">
        <v>0.1791898148148148</v>
      </c>
      <c r="G2742">
        <v>4</v>
      </c>
      <c r="H2742" s="133">
        <v>45840</v>
      </c>
      <c r="I2742" s="2">
        <v>0.67918981481481477</v>
      </c>
      <c r="J2742">
        <v>16</v>
      </c>
      <c r="R2742" t="s">
        <v>30</v>
      </c>
      <c r="W2742">
        <v>1</v>
      </c>
      <c r="X2742" t="s">
        <v>30</v>
      </c>
      <c r="AC2742" t="s">
        <v>6105</v>
      </c>
      <c r="AE2742" s="135"/>
    </row>
    <row r="2743" spans="1:31" ht="12.5" customHeight="1" x14ac:dyDescent="0.35">
      <c r="A2743" t="s">
        <v>396</v>
      </c>
      <c r="C2743" t="s">
        <v>6106</v>
      </c>
      <c r="D2743" t="s">
        <v>385</v>
      </c>
      <c r="E2743" s="133">
        <v>45841</v>
      </c>
      <c r="F2743" s="2">
        <v>0.17925925925925926</v>
      </c>
      <c r="G2743">
        <v>4</v>
      </c>
      <c r="H2743" s="133">
        <v>45840</v>
      </c>
      <c r="I2743" s="2">
        <v>0.67925925925925934</v>
      </c>
      <c r="J2743">
        <v>16</v>
      </c>
      <c r="R2743" t="s">
        <v>30</v>
      </c>
      <c r="W2743">
        <v>1</v>
      </c>
      <c r="X2743" t="s">
        <v>30</v>
      </c>
      <c r="AC2743" t="s">
        <v>6107</v>
      </c>
      <c r="AE2743" s="135"/>
    </row>
    <row r="2744" spans="1:31" ht="12.5" customHeight="1" x14ac:dyDescent="0.35">
      <c r="A2744" t="s">
        <v>396</v>
      </c>
      <c r="C2744" t="s">
        <v>6108</v>
      </c>
      <c r="D2744" t="s">
        <v>385</v>
      </c>
      <c r="E2744" s="133">
        <v>45841</v>
      </c>
      <c r="F2744" s="2">
        <v>0.17935185185185185</v>
      </c>
      <c r="G2744">
        <v>4</v>
      </c>
      <c r="H2744" s="133">
        <v>45840</v>
      </c>
      <c r="I2744" s="2">
        <v>0.67935185185185187</v>
      </c>
      <c r="J2744">
        <v>16</v>
      </c>
      <c r="R2744" t="s">
        <v>30</v>
      </c>
      <c r="W2744">
        <v>1</v>
      </c>
      <c r="X2744" t="s">
        <v>30</v>
      </c>
      <c r="AC2744" t="s">
        <v>6109</v>
      </c>
      <c r="AE2744" s="135"/>
    </row>
    <row r="2745" spans="1:31" ht="12.5" customHeight="1" x14ac:dyDescent="0.35">
      <c r="A2745" t="s">
        <v>396</v>
      </c>
      <c r="C2745" t="s">
        <v>6110</v>
      </c>
      <c r="D2745" t="s">
        <v>385</v>
      </c>
      <c r="E2745" s="133">
        <v>45841</v>
      </c>
      <c r="F2745" s="2">
        <v>0.1794212962962963</v>
      </c>
      <c r="G2745">
        <v>4</v>
      </c>
      <c r="H2745" s="133">
        <v>45840</v>
      </c>
      <c r="I2745" s="2">
        <v>0.67942129629629633</v>
      </c>
      <c r="J2745">
        <v>16</v>
      </c>
      <c r="R2745" t="s">
        <v>30</v>
      </c>
      <c r="W2745">
        <v>1</v>
      </c>
      <c r="X2745" t="s">
        <v>30</v>
      </c>
      <c r="AC2745" t="s">
        <v>6111</v>
      </c>
      <c r="AE2745" s="135"/>
    </row>
    <row r="2746" spans="1:31" ht="12.5" customHeight="1" x14ac:dyDescent="0.35">
      <c r="A2746" t="s">
        <v>396</v>
      </c>
      <c r="C2746" t="s">
        <v>6112</v>
      </c>
      <c r="D2746" t="s">
        <v>385</v>
      </c>
      <c r="E2746" s="133">
        <v>45841</v>
      </c>
      <c r="F2746" s="2">
        <v>0.17951388888888889</v>
      </c>
      <c r="G2746">
        <v>4</v>
      </c>
      <c r="H2746" s="133">
        <v>45840</v>
      </c>
      <c r="I2746" s="2">
        <v>0.67951388888888886</v>
      </c>
      <c r="J2746">
        <v>16</v>
      </c>
      <c r="R2746" t="s">
        <v>30</v>
      </c>
      <c r="W2746">
        <v>1</v>
      </c>
      <c r="X2746" t="s">
        <v>30</v>
      </c>
      <c r="AC2746" t="s">
        <v>6113</v>
      </c>
      <c r="AE2746" s="135"/>
    </row>
    <row r="2747" spans="1:31" ht="12.5" customHeight="1" x14ac:dyDescent="0.35">
      <c r="A2747" t="s">
        <v>396</v>
      </c>
      <c r="C2747" t="s">
        <v>6114</v>
      </c>
      <c r="D2747" t="s">
        <v>385</v>
      </c>
      <c r="E2747" s="133">
        <v>45841</v>
      </c>
      <c r="F2747" s="2">
        <v>0.17958333333333332</v>
      </c>
      <c r="G2747">
        <v>4</v>
      </c>
      <c r="H2747" s="133">
        <v>45840</v>
      </c>
      <c r="I2747" s="2">
        <v>0.67958333333333332</v>
      </c>
      <c r="J2747">
        <v>16</v>
      </c>
      <c r="R2747" t="s">
        <v>30</v>
      </c>
      <c r="W2747">
        <v>1</v>
      </c>
      <c r="X2747" t="s">
        <v>30</v>
      </c>
      <c r="AC2747" t="s">
        <v>6115</v>
      </c>
      <c r="AE2747" s="135"/>
    </row>
    <row r="2748" spans="1:31" ht="12.5" customHeight="1" x14ac:dyDescent="0.35">
      <c r="A2748" t="s">
        <v>396</v>
      </c>
      <c r="C2748" t="s">
        <v>6116</v>
      </c>
      <c r="D2748" t="s">
        <v>385</v>
      </c>
      <c r="E2748" s="133">
        <v>45841</v>
      </c>
      <c r="F2748" s="2">
        <v>0.17969907407407407</v>
      </c>
      <c r="G2748">
        <v>4</v>
      </c>
      <c r="H2748" s="133">
        <v>45840</v>
      </c>
      <c r="I2748" s="2">
        <v>0.67969907407407415</v>
      </c>
      <c r="J2748">
        <v>16</v>
      </c>
      <c r="R2748" t="s">
        <v>30</v>
      </c>
      <c r="W2748">
        <v>1</v>
      </c>
      <c r="X2748" t="s">
        <v>30</v>
      </c>
      <c r="AC2748" t="s">
        <v>6117</v>
      </c>
      <c r="AE2748" s="135"/>
    </row>
    <row r="2749" spans="1:31" ht="12.5" customHeight="1" x14ac:dyDescent="0.35">
      <c r="A2749" t="s">
        <v>396</v>
      </c>
      <c r="C2749" t="s">
        <v>6118</v>
      </c>
      <c r="D2749" t="s">
        <v>385</v>
      </c>
      <c r="E2749" s="133">
        <v>45841</v>
      </c>
      <c r="F2749" s="2">
        <v>0.17976851851851852</v>
      </c>
      <c r="G2749">
        <v>4</v>
      </c>
      <c r="H2749" s="133">
        <v>45840</v>
      </c>
      <c r="I2749" s="2">
        <v>0.67976851851851849</v>
      </c>
      <c r="J2749">
        <v>16</v>
      </c>
      <c r="R2749" t="s">
        <v>30</v>
      </c>
      <c r="W2749">
        <v>1</v>
      </c>
      <c r="X2749" t="s">
        <v>30</v>
      </c>
      <c r="AC2749" t="s">
        <v>6119</v>
      </c>
      <c r="AE2749" s="135"/>
    </row>
    <row r="2750" spans="1:31" ht="12.5" customHeight="1" x14ac:dyDescent="0.35">
      <c r="A2750" t="s">
        <v>396</v>
      </c>
      <c r="C2750" t="s">
        <v>6120</v>
      </c>
      <c r="D2750" t="s">
        <v>385</v>
      </c>
      <c r="E2750" s="133">
        <v>45841</v>
      </c>
      <c r="F2750" s="2">
        <v>0.17986111111111111</v>
      </c>
      <c r="G2750">
        <v>4</v>
      </c>
      <c r="H2750" s="133">
        <v>45840</v>
      </c>
      <c r="I2750" s="2">
        <v>0.67986111111111114</v>
      </c>
      <c r="J2750">
        <v>16</v>
      </c>
      <c r="R2750" t="s">
        <v>30</v>
      </c>
      <c r="W2750">
        <v>1</v>
      </c>
      <c r="X2750" t="s">
        <v>30</v>
      </c>
      <c r="AC2750" t="s">
        <v>6121</v>
      </c>
      <c r="AE2750" s="135"/>
    </row>
    <row r="2751" spans="1:31" ht="12.5" customHeight="1" x14ac:dyDescent="0.35">
      <c r="A2751" t="s">
        <v>396</v>
      </c>
      <c r="C2751" t="s">
        <v>6122</v>
      </c>
      <c r="D2751" t="s">
        <v>385</v>
      </c>
      <c r="E2751" s="133">
        <v>45841</v>
      </c>
      <c r="F2751" s="2">
        <v>0.1799537037037037</v>
      </c>
      <c r="G2751">
        <v>4</v>
      </c>
      <c r="H2751" s="133">
        <v>45840</v>
      </c>
      <c r="I2751" s="2">
        <v>0.67995370370370367</v>
      </c>
      <c r="J2751">
        <v>16</v>
      </c>
      <c r="R2751" t="s">
        <v>30</v>
      </c>
      <c r="W2751">
        <v>1</v>
      </c>
      <c r="X2751" t="s">
        <v>30</v>
      </c>
      <c r="AC2751" t="s">
        <v>6123</v>
      </c>
      <c r="AE2751" s="135"/>
    </row>
    <row r="2752" spans="1:31" ht="12.5" customHeight="1" x14ac:dyDescent="0.35">
      <c r="A2752" t="s">
        <v>396</v>
      </c>
      <c r="C2752" t="s">
        <v>6124</v>
      </c>
      <c r="D2752" t="s">
        <v>385</v>
      </c>
      <c r="E2752" s="133">
        <v>45841</v>
      </c>
      <c r="F2752" s="2">
        <v>0.18006944444444442</v>
      </c>
      <c r="G2752">
        <v>4</v>
      </c>
      <c r="H2752" s="133">
        <v>45840</v>
      </c>
      <c r="I2752" s="2">
        <v>0.68006944444444439</v>
      </c>
      <c r="J2752">
        <v>16</v>
      </c>
      <c r="R2752" t="s">
        <v>30</v>
      </c>
      <c r="W2752">
        <v>1</v>
      </c>
      <c r="X2752" t="s">
        <v>30</v>
      </c>
      <c r="AC2752" t="s">
        <v>6125</v>
      </c>
      <c r="AE2752" s="135"/>
    </row>
    <row r="2753" spans="1:31" ht="12.5" customHeight="1" x14ac:dyDescent="0.35">
      <c r="A2753" t="s">
        <v>396</v>
      </c>
      <c r="C2753" t="s">
        <v>6126</v>
      </c>
      <c r="D2753" t="s">
        <v>385</v>
      </c>
      <c r="E2753" s="133">
        <v>45841</v>
      </c>
      <c r="F2753" s="2">
        <v>0.18013888888888888</v>
      </c>
      <c r="G2753">
        <v>4</v>
      </c>
      <c r="H2753" s="133">
        <v>45840</v>
      </c>
      <c r="I2753" s="2">
        <v>0.68013888888888896</v>
      </c>
      <c r="J2753">
        <v>16</v>
      </c>
      <c r="R2753" t="s">
        <v>30</v>
      </c>
      <c r="W2753">
        <v>1</v>
      </c>
      <c r="X2753" t="s">
        <v>30</v>
      </c>
      <c r="AC2753" t="s">
        <v>6127</v>
      </c>
      <c r="AE2753" s="135"/>
    </row>
    <row r="2754" spans="1:31" ht="12.5" customHeight="1" x14ac:dyDescent="0.35">
      <c r="A2754" t="s">
        <v>396</v>
      </c>
      <c r="C2754" t="s">
        <v>6128</v>
      </c>
      <c r="D2754" t="s">
        <v>385</v>
      </c>
      <c r="E2754" s="133">
        <v>45841</v>
      </c>
      <c r="F2754" s="2">
        <v>0.18023148148148149</v>
      </c>
      <c r="G2754">
        <v>4</v>
      </c>
      <c r="H2754" s="133">
        <v>45840</v>
      </c>
      <c r="I2754" s="2">
        <v>0.68023148148148149</v>
      </c>
      <c r="J2754">
        <v>16</v>
      </c>
      <c r="R2754" t="s">
        <v>30</v>
      </c>
      <c r="W2754">
        <v>1</v>
      </c>
      <c r="X2754" t="s">
        <v>30</v>
      </c>
      <c r="AC2754" t="s">
        <v>6129</v>
      </c>
      <c r="AE2754" s="135"/>
    </row>
    <row r="2755" spans="1:31" ht="12.5" customHeight="1" x14ac:dyDescent="0.35">
      <c r="A2755" t="s">
        <v>396</v>
      </c>
      <c r="C2755" t="s">
        <v>6130</v>
      </c>
      <c r="D2755" t="s">
        <v>385</v>
      </c>
      <c r="E2755" s="133">
        <v>45841</v>
      </c>
      <c r="F2755" s="2">
        <v>0.18030092592592592</v>
      </c>
      <c r="G2755">
        <v>4</v>
      </c>
      <c r="H2755" s="133">
        <v>45840</v>
      </c>
      <c r="I2755" s="2">
        <v>0.68030092592592595</v>
      </c>
      <c r="J2755">
        <v>16</v>
      </c>
      <c r="R2755" t="s">
        <v>30</v>
      </c>
      <c r="W2755">
        <v>1</v>
      </c>
      <c r="X2755" t="s">
        <v>30</v>
      </c>
      <c r="AC2755" t="s">
        <v>6131</v>
      </c>
      <c r="AE2755" s="135"/>
    </row>
    <row r="2756" spans="1:31" ht="12.5" customHeight="1" x14ac:dyDescent="0.35">
      <c r="A2756" t="s">
        <v>396</v>
      </c>
      <c r="C2756" t="s">
        <v>6132</v>
      </c>
      <c r="D2756" t="s">
        <v>385</v>
      </c>
      <c r="E2756" s="133">
        <v>45841</v>
      </c>
      <c r="F2756" s="2">
        <v>0.18039351851851851</v>
      </c>
      <c r="G2756">
        <v>4</v>
      </c>
      <c r="H2756" s="133">
        <v>45840</v>
      </c>
      <c r="I2756" s="2">
        <v>0.68039351851851848</v>
      </c>
      <c r="J2756">
        <v>16</v>
      </c>
      <c r="R2756" t="s">
        <v>30</v>
      </c>
      <c r="W2756">
        <v>1</v>
      </c>
      <c r="X2756" t="s">
        <v>30</v>
      </c>
      <c r="AC2756" t="s">
        <v>6133</v>
      </c>
      <c r="AE2756" s="135"/>
    </row>
    <row r="2757" spans="1:31" ht="12.5" customHeight="1" x14ac:dyDescent="0.35">
      <c r="A2757" t="s">
        <v>396</v>
      </c>
      <c r="C2757" t="s">
        <v>6134</v>
      </c>
      <c r="D2757" t="s">
        <v>385</v>
      </c>
      <c r="E2757" s="133">
        <v>45841</v>
      </c>
      <c r="F2757" s="2">
        <v>0.18046296296296296</v>
      </c>
      <c r="G2757">
        <v>4</v>
      </c>
      <c r="H2757" s="133">
        <v>45840</v>
      </c>
      <c r="I2757" s="2">
        <v>0.68046296296296294</v>
      </c>
      <c r="J2757">
        <v>16</v>
      </c>
      <c r="R2757" t="s">
        <v>30</v>
      </c>
      <c r="W2757">
        <v>1</v>
      </c>
      <c r="X2757" t="s">
        <v>30</v>
      </c>
      <c r="AC2757" t="s">
        <v>6135</v>
      </c>
      <c r="AE2757" s="135"/>
    </row>
    <row r="2758" spans="1:31" ht="12.5" customHeight="1" x14ac:dyDescent="0.35">
      <c r="A2758" t="s">
        <v>396</v>
      </c>
      <c r="C2758" t="s">
        <v>6136</v>
      </c>
      <c r="D2758" t="s">
        <v>385</v>
      </c>
      <c r="E2758" s="133">
        <v>45841</v>
      </c>
      <c r="F2758" s="2">
        <v>0.18055555555555555</v>
      </c>
      <c r="G2758">
        <v>4</v>
      </c>
      <c r="H2758" s="133">
        <v>45840</v>
      </c>
      <c r="I2758" s="2">
        <v>0.68055555555555547</v>
      </c>
      <c r="J2758">
        <v>16</v>
      </c>
      <c r="R2758" t="s">
        <v>30</v>
      </c>
      <c r="W2758">
        <v>1</v>
      </c>
      <c r="X2758" t="s">
        <v>30</v>
      </c>
      <c r="AC2758" t="s">
        <v>6137</v>
      </c>
      <c r="AE2758" s="135"/>
    </row>
    <row r="2759" spans="1:31" ht="12.5" customHeight="1" x14ac:dyDescent="0.35">
      <c r="A2759" t="s">
        <v>396</v>
      </c>
      <c r="C2759" t="s">
        <v>6138</v>
      </c>
      <c r="D2759" t="s">
        <v>385</v>
      </c>
      <c r="E2759" s="133">
        <v>45841</v>
      </c>
      <c r="F2759" s="2">
        <v>0.18064814814814814</v>
      </c>
      <c r="G2759">
        <v>4</v>
      </c>
      <c r="H2759" s="133">
        <v>45840</v>
      </c>
      <c r="I2759" s="2">
        <v>0.68064814814814811</v>
      </c>
      <c r="J2759">
        <v>16</v>
      </c>
      <c r="R2759" t="s">
        <v>30</v>
      </c>
      <c r="W2759">
        <v>1</v>
      </c>
      <c r="X2759" t="s">
        <v>30</v>
      </c>
      <c r="AC2759" t="s">
        <v>6139</v>
      </c>
      <c r="AE2759" s="135"/>
    </row>
    <row r="2760" spans="1:31" ht="12.5" customHeight="1" x14ac:dyDescent="0.35">
      <c r="A2760" t="s">
        <v>396</v>
      </c>
      <c r="C2760" t="s">
        <v>6140</v>
      </c>
      <c r="D2760" t="s">
        <v>385</v>
      </c>
      <c r="E2760" s="133">
        <v>45841</v>
      </c>
      <c r="F2760" s="2">
        <v>0.18074074074074076</v>
      </c>
      <c r="G2760">
        <v>4</v>
      </c>
      <c r="H2760" s="133">
        <v>45840</v>
      </c>
      <c r="I2760" s="2">
        <v>0.68074074074074076</v>
      </c>
      <c r="J2760">
        <v>16</v>
      </c>
      <c r="R2760" t="s">
        <v>30</v>
      </c>
      <c r="W2760">
        <v>1</v>
      </c>
      <c r="X2760" t="s">
        <v>30</v>
      </c>
      <c r="AC2760" t="s">
        <v>6141</v>
      </c>
      <c r="AE2760" s="135"/>
    </row>
    <row r="2761" spans="1:31" ht="12.5" customHeight="1" x14ac:dyDescent="0.35">
      <c r="A2761" t="s">
        <v>396</v>
      </c>
      <c r="C2761" t="s">
        <v>6142</v>
      </c>
      <c r="D2761" t="s">
        <v>385</v>
      </c>
      <c r="E2761" s="133">
        <v>45841</v>
      </c>
      <c r="F2761" s="2">
        <v>0.18085648148148148</v>
      </c>
      <c r="G2761">
        <v>4</v>
      </c>
      <c r="H2761" s="133">
        <v>45840</v>
      </c>
      <c r="I2761" s="2">
        <v>0.68085648148148159</v>
      </c>
      <c r="J2761">
        <v>16</v>
      </c>
      <c r="R2761" t="s">
        <v>30</v>
      </c>
      <c r="W2761">
        <v>1</v>
      </c>
      <c r="X2761" t="s">
        <v>30</v>
      </c>
      <c r="AC2761" t="s">
        <v>6143</v>
      </c>
      <c r="AE2761" s="135"/>
    </row>
    <row r="2762" spans="1:31" ht="12.5" customHeight="1" x14ac:dyDescent="0.35">
      <c r="A2762" t="s">
        <v>396</v>
      </c>
      <c r="C2762" t="s">
        <v>6144</v>
      </c>
      <c r="D2762" t="s">
        <v>385</v>
      </c>
      <c r="E2762" s="133">
        <v>45841</v>
      </c>
      <c r="F2762" s="2">
        <v>0.18092592592592593</v>
      </c>
      <c r="G2762">
        <v>4</v>
      </c>
      <c r="H2762" s="133">
        <v>45840</v>
      </c>
      <c r="I2762" s="2">
        <v>0.68092592592592593</v>
      </c>
      <c r="J2762">
        <v>16</v>
      </c>
      <c r="R2762" t="s">
        <v>30</v>
      </c>
      <c r="W2762">
        <v>1</v>
      </c>
      <c r="X2762" t="s">
        <v>30</v>
      </c>
      <c r="AC2762" t="s">
        <v>6145</v>
      </c>
      <c r="AE2762" s="135"/>
    </row>
    <row r="2763" spans="1:31" ht="12.5" customHeight="1" x14ac:dyDescent="0.35">
      <c r="A2763" t="s">
        <v>396</v>
      </c>
      <c r="C2763" t="s">
        <v>6146</v>
      </c>
      <c r="D2763" t="s">
        <v>385</v>
      </c>
      <c r="E2763" s="133">
        <v>45841</v>
      </c>
      <c r="F2763" s="2">
        <v>0.1810185185185185</v>
      </c>
      <c r="G2763">
        <v>4</v>
      </c>
      <c r="H2763" s="133">
        <v>45840</v>
      </c>
      <c r="I2763" s="2">
        <v>0.68101851851851858</v>
      </c>
      <c r="J2763">
        <v>16</v>
      </c>
      <c r="R2763" t="s">
        <v>30</v>
      </c>
      <c r="W2763">
        <v>1</v>
      </c>
      <c r="X2763" t="s">
        <v>30</v>
      </c>
      <c r="AC2763" t="s">
        <v>6147</v>
      </c>
      <c r="AE2763" s="135"/>
    </row>
    <row r="2764" spans="1:31" ht="12.5" customHeight="1" x14ac:dyDescent="0.35">
      <c r="A2764" t="s">
        <v>396</v>
      </c>
      <c r="C2764" t="s">
        <v>6148</v>
      </c>
      <c r="D2764" t="s">
        <v>385</v>
      </c>
      <c r="E2764" s="133">
        <v>45841</v>
      </c>
      <c r="F2764" s="2">
        <v>0.18113425925925927</v>
      </c>
      <c r="G2764">
        <v>4</v>
      </c>
      <c r="H2764" s="133">
        <v>45840</v>
      </c>
      <c r="I2764" s="2">
        <v>0.68113425925925919</v>
      </c>
      <c r="J2764">
        <v>16</v>
      </c>
      <c r="R2764" t="s">
        <v>30</v>
      </c>
      <c r="W2764">
        <v>1</v>
      </c>
      <c r="X2764" t="s">
        <v>30</v>
      </c>
      <c r="AC2764" t="s">
        <v>6149</v>
      </c>
      <c r="AE2764" s="135"/>
    </row>
    <row r="2765" spans="1:31" ht="12.5" customHeight="1" x14ac:dyDescent="0.35">
      <c r="A2765" t="s">
        <v>396</v>
      </c>
      <c r="C2765" t="s">
        <v>6150</v>
      </c>
      <c r="D2765" t="s">
        <v>385</v>
      </c>
      <c r="E2765" s="133">
        <v>45841</v>
      </c>
      <c r="F2765" s="2">
        <v>0.18120370370370373</v>
      </c>
      <c r="G2765">
        <v>4</v>
      </c>
      <c r="H2765" s="133">
        <v>45840</v>
      </c>
      <c r="I2765" s="2">
        <v>0.68120370370370376</v>
      </c>
      <c r="J2765">
        <v>16</v>
      </c>
      <c r="R2765" t="s">
        <v>30</v>
      </c>
      <c r="W2765">
        <v>1</v>
      </c>
      <c r="X2765" t="s">
        <v>30</v>
      </c>
      <c r="AC2765" t="s">
        <v>6151</v>
      </c>
      <c r="AE2765" s="135"/>
    </row>
    <row r="2766" spans="1:31" ht="12.5" customHeight="1" x14ac:dyDescent="0.35">
      <c r="A2766" t="s">
        <v>396</v>
      </c>
      <c r="C2766" t="s">
        <v>6152</v>
      </c>
      <c r="D2766" t="s">
        <v>385</v>
      </c>
      <c r="E2766" s="133">
        <v>45841</v>
      </c>
      <c r="F2766" s="2">
        <v>0.18129629629629629</v>
      </c>
      <c r="G2766">
        <v>4</v>
      </c>
      <c r="H2766" s="133">
        <v>45840</v>
      </c>
      <c r="I2766" s="2">
        <v>0.6812962962962964</v>
      </c>
      <c r="J2766">
        <v>16</v>
      </c>
      <c r="R2766" t="s">
        <v>30</v>
      </c>
      <c r="W2766">
        <v>1</v>
      </c>
      <c r="X2766" t="s">
        <v>30</v>
      </c>
      <c r="AC2766" t="s">
        <v>6153</v>
      </c>
      <c r="AE2766" s="135"/>
    </row>
    <row r="2767" spans="1:31" ht="12.5" customHeight="1" x14ac:dyDescent="0.35">
      <c r="A2767" t="s">
        <v>396</v>
      </c>
      <c r="C2767" t="s">
        <v>6154</v>
      </c>
      <c r="D2767" t="s">
        <v>385</v>
      </c>
      <c r="E2767" s="133">
        <v>45841</v>
      </c>
      <c r="F2767" s="2">
        <v>0.18138888888888891</v>
      </c>
      <c r="G2767">
        <v>4</v>
      </c>
      <c r="H2767" s="133">
        <v>45840</v>
      </c>
      <c r="I2767" s="2">
        <v>0.68138888888888882</v>
      </c>
      <c r="J2767">
        <v>16</v>
      </c>
      <c r="R2767" t="s">
        <v>30</v>
      </c>
      <c r="W2767">
        <v>1</v>
      </c>
      <c r="X2767" t="s">
        <v>30</v>
      </c>
      <c r="AC2767" t="s">
        <v>6155</v>
      </c>
      <c r="AE2767" s="135"/>
    </row>
    <row r="2768" spans="1:31" ht="12.5" customHeight="1" x14ac:dyDescent="0.35">
      <c r="A2768" t="s">
        <v>396</v>
      </c>
      <c r="C2768" t="s">
        <v>6156</v>
      </c>
      <c r="D2768" t="s">
        <v>385</v>
      </c>
      <c r="E2768" s="133">
        <v>45841</v>
      </c>
      <c r="F2768" s="2">
        <v>0.18148148148148147</v>
      </c>
      <c r="G2768">
        <v>4</v>
      </c>
      <c r="H2768" s="133">
        <v>45840</v>
      </c>
      <c r="I2768" s="2">
        <v>0.68148148148148147</v>
      </c>
      <c r="J2768">
        <v>16</v>
      </c>
      <c r="R2768" t="s">
        <v>30</v>
      </c>
      <c r="W2768">
        <v>1</v>
      </c>
      <c r="X2768" t="s">
        <v>30</v>
      </c>
      <c r="AC2768" t="s">
        <v>6157</v>
      </c>
      <c r="AE2768" s="135"/>
    </row>
    <row r="2769" spans="1:31" ht="12.5" customHeight="1" x14ac:dyDescent="0.35">
      <c r="A2769" t="s">
        <v>396</v>
      </c>
      <c r="C2769" t="s">
        <v>6158</v>
      </c>
      <c r="D2769" t="s">
        <v>385</v>
      </c>
      <c r="E2769" s="133">
        <v>45841</v>
      </c>
      <c r="F2769" s="2">
        <v>0.18157407407407408</v>
      </c>
      <c r="G2769">
        <v>4</v>
      </c>
      <c r="H2769" s="133">
        <v>45840</v>
      </c>
      <c r="I2769" s="2">
        <v>0.681574074074074</v>
      </c>
      <c r="J2769">
        <v>16</v>
      </c>
      <c r="R2769" t="s">
        <v>30</v>
      </c>
      <c r="W2769">
        <v>1</v>
      </c>
      <c r="X2769" t="s">
        <v>30</v>
      </c>
      <c r="AC2769" t="s">
        <v>6159</v>
      </c>
      <c r="AE2769" s="135"/>
    </row>
    <row r="2770" spans="1:31" ht="12.5" customHeight="1" x14ac:dyDescent="0.35">
      <c r="A2770" t="s">
        <v>396</v>
      </c>
      <c r="C2770" t="s">
        <v>6160</v>
      </c>
      <c r="D2770" t="s">
        <v>385</v>
      </c>
      <c r="E2770" s="133">
        <v>45841</v>
      </c>
      <c r="F2770" s="2">
        <v>0.18164351851851854</v>
      </c>
      <c r="G2770">
        <v>4</v>
      </c>
      <c r="H2770" s="133">
        <v>45840</v>
      </c>
      <c r="I2770" s="2">
        <v>0.68164351851851857</v>
      </c>
      <c r="J2770">
        <v>16</v>
      </c>
      <c r="R2770" t="s">
        <v>30</v>
      </c>
      <c r="W2770">
        <v>1</v>
      </c>
      <c r="X2770" t="s">
        <v>30</v>
      </c>
      <c r="AC2770" t="s">
        <v>6161</v>
      </c>
      <c r="AE2770" s="135"/>
    </row>
    <row r="2771" spans="1:31" ht="12.5" customHeight="1" x14ac:dyDescent="0.35">
      <c r="A2771" t="s">
        <v>396</v>
      </c>
      <c r="C2771" t="s">
        <v>6162</v>
      </c>
      <c r="D2771" t="s">
        <v>385</v>
      </c>
      <c r="E2771" s="133">
        <v>45841</v>
      </c>
      <c r="F2771" s="2">
        <v>0.1817361111111111</v>
      </c>
      <c r="G2771">
        <v>4</v>
      </c>
      <c r="H2771" s="133">
        <v>45840</v>
      </c>
      <c r="I2771" s="2">
        <v>0.68173611111111121</v>
      </c>
      <c r="J2771">
        <v>16</v>
      </c>
      <c r="R2771" t="s">
        <v>30</v>
      </c>
      <c r="W2771">
        <v>1</v>
      </c>
      <c r="X2771" t="s">
        <v>30</v>
      </c>
      <c r="AC2771" t="s">
        <v>6163</v>
      </c>
      <c r="AE2771" s="135"/>
    </row>
    <row r="2772" spans="1:31" ht="12.5" customHeight="1" x14ac:dyDescent="0.35">
      <c r="A2772" t="s">
        <v>396</v>
      </c>
      <c r="C2772" t="s">
        <v>6164</v>
      </c>
      <c r="D2772" t="s">
        <v>385</v>
      </c>
      <c r="E2772" s="133">
        <v>45841</v>
      </c>
      <c r="F2772" s="2">
        <v>0.18182870370370371</v>
      </c>
      <c r="G2772">
        <v>4</v>
      </c>
      <c r="H2772" s="133">
        <v>45840</v>
      </c>
      <c r="I2772" s="2">
        <v>0.68182870370370363</v>
      </c>
      <c r="J2772">
        <v>16</v>
      </c>
      <c r="R2772" t="s">
        <v>30</v>
      </c>
      <c r="W2772">
        <v>1</v>
      </c>
      <c r="X2772" t="s">
        <v>30</v>
      </c>
      <c r="AC2772" t="s">
        <v>6165</v>
      </c>
      <c r="AE2772" s="135"/>
    </row>
    <row r="2773" spans="1:31" ht="12.5" customHeight="1" x14ac:dyDescent="0.35">
      <c r="A2773" t="s">
        <v>396</v>
      </c>
      <c r="C2773" t="s">
        <v>6166</v>
      </c>
      <c r="D2773" t="s">
        <v>385</v>
      </c>
      <c r="E2773" s="133">
        <v>45841</v>
      </c>
      <c r="F2773" s="2">
        <v>0.18189814814814817</v>
      </c>
      <c r="G2773">
        <v>4</v>
      </c>
      <c r="H2773" s="133">
        <v>45840</v>
      </c>
      <c r="I2773" s="2">
        <v>0.6818981481481482</v>
      </c>
      <c r="J2773">
        <v>16</v>
      </c>
      <c r="R2773" t="s">
        <v>30</v>
      </c>
      <c r="W2773">
        <v>1</v>
      </c>
      <c r="X2773" t="s">
        <v>30</v>
      </c>
      <c r="AC2773" t="s">
        <v>6167</v>
      </c>
      <c r="AE2773" s="135"/>
    </row>
    <row r="2774" spans="1:31" ht="12.5" customHeight="1" x14ac:dyDescent="0.35">
      <c r="A2774" t="s">
        <v>396</v>
      </c>
      <c r="C2774" t="s">
        <v>6168</v>
      </c>
      <c r="D2774" t="s">
        <v>385</v>
      </c>
      <c r="E2774" s="133">
        <v>45841</v>
      </c>
      <c r="F2774" s="2">
        <v>0.18201388888888889</v>
      </c>
      <c r="G2774">
        <v>4</v>
      </c>
      <c r="H2774" s="133">
        <v>45840</v>
      </c>
      <c r="I2774" s="2">
        <v>0.68201388888888881</v>
      </c>
      <c r="J2774">
        <v>16</v>
      </c>
      <c r="R2774" t="s">
        <v>30</v>
      </c>
      <c r="W2774">
        <v>1</v>
      </c>
      <c r="X2774" t="s">
        <v>30</v>
      </c>
      <c r="AC2774" t="s">
        <v>6169</v>
      </c>
      <c r="AE2774" s="135"/>
    </row>
    <row r="2775" spans="1:31" ht="12.5" customHeight="1" x14ac:dyDescent="0.35">
      <c r="A2775" t="s">
        <v>396</v>
      </c>
      <c r="C2775" t="s">
        <v>6170</v>
      </c>
      <c r="D2775" t="s">
        <v>385</v>
      </c>
      <c r="E2775" s="133">
        <v>45841</v>
      </c>
      <c r="F2775" s="2">
        <v>0.18208333333333335</v>
      </c>
      <c r="G2775">
        <v>4</v>
      </c>
      <c r="H2775" s="133">
        <v>45840</v>
      </c>
      <c r="I2775" s="2">
        <v>0.68208333333333337</v>
      </c>
      <c r="J2775">
        <v>16</v>
      </c>
      <c r="R2775" t="s">
        <v>30</v>
      </c>
      <c r="W2775">
        <v>1</v>
      </c>
      <c r="X2775" t="s">
        <v>30</v>
      </c>
      <c r="AC2775" t="s">
        <v>6171</v>
      </c>
      <c r="AE2775" s="135"/>
    </row>
    <row r="2776" spans="1:31" ht="12.5" customHeight="1" x14ac:dyDescent="0.35">
      <c r="A2776" t="s">
        <v>396</v>
      </c>
      <c r="C2776" t="s">
        <v>6172</v>
      </c>
      <c r="D2776" t="s">
        <v>385</v>
      </c>
      <c r="E2776" s="133">
        <v>45841</v>
      </c>
      <c r="F2776" s="2">
        <v>0.18219907407407407</v>
      </c>
      <c r="G2776">
        <v>4</v>
      </c>
      <c r="H2776" s="133">
        <v>45840</v>
      </c>
      <c r="I2776" s="2">
        <v>0.6821990740740741</v>
      </c>
      <c r="J2776">
        <v>16</v>
      </c>
      <c r="R2776" t="s">
        <v>30</v>
      </c>
      <c r="W2776">
        <v>1</v>
      </c>
      <c r="X2776" t="s">
        <v>30</v>
      </c>
      <c r="AC2776" t="s">
        <v>6173</v>
      </c>
      <c r="AE2776" s="135"/>
    </row>
    <row r="2777" spans="1:31" ht="12.5" customHeight="1" x14ac:dyDescent="0.35">
      <c r="A2777" t="s">
        <v>396</v>
      </c>
      <c r="C2777" t="s">
        <v>6174</v>
      </c>
      <c r="D2777" t="s">
        <v>385</v>
      </c>
      <c r="E2777" s="133">
        <v>45841</v>
      </c>
      <c r="F2777" s="2">
        <v>0.18229166666666666</v>
      </c>
      <c r="G2777">
        <v>4</v>
      </c>
      <c r="H2777" s="133">
        <v>45840</v>
      </c>
      <c r="I2777" s="2">
        <v>0.68229166666666663</v>
      </c>
      <c r="J2777">
        <v>16</v>
      </c>
      <c r="R2777" t="s">
        <v>30</v>
      </c>
      <c r="W2777">
        <v>1</v>
      </c>
      <c r="X2777" t="s">
        <v>30</v>
      </c>
      <c r="AC2777" t="s">
        <v>6175</v>
      </c>
      <c r="AE2777" s="135"/>
    </row>
    <row r="2778" spans="1:31" ht="12.5" customHeight="1" x14ac:dyDescent="0.35">
      <c r="A2778" t="s">
        <v>396</v>
      </c>
      <c r="C2778" t="s">
        <v>6176</v>
      </c>
      <c r="D2778" t="s">
        <v>385</v>
      </c>
      <c r="E2778" s="133">
        <v>45841</v>
      </c>
      <c r="F2778" s="2">
        <v>0.18238425925925927</v>
      </c>
      <c r="G2778">
        <v>4</v>
      </c>
      <c r="H2778" s="133">
        <v>45840</v>
      </c>
      <c r="I2778" s="2">
        <v>0.68238425925925927</v>
      </c>
      <c r="J2778">
        <v>16</v>
      </c>
      <c r="R2778" t="s">
        <v>30</v>
      </c>
      <c r="W2778">
        <v>1</v>
      </c>
      <c r="X2778" t="s">
        <v>30</v>
      </c>
      <c r="AC2778" t="s">
        <v>6177</v>
      </c>
      <c r="AE2778" s="135"/>
    </row>
    <row r="2779" spans="1:31" ht="12.5" customHeight="1" x14ac:dyDescent="0.35">
      <c r="A2779" t="s">
        <v>396</v>
      </c>
      <c r="C2779" t="s">
        <v>6178</v>
      </c>
      <c r="D2779" t="s">
        <v>385</v>
      </c>
      <c r="E2779" s="133">
        <v>45841</v>
      </c>
      <c r="F2779" s="2">
        <v>0.1824537037037037</v>
      </c>
      <c r="G2779">
        <v>4</v>
      </c>
      <c r="H2779" s="133">
        <v>45840</v>
      </c>
      <c r="I2779" s="2">
        <v>0.68245370370370362</v>
      </c>
      <c r="J2779">
        <v>16</v>
      </c>
      <c r="R2779" t="s">
        <v>30</v>
      </c>
      <c r="W2779">
        <v>1</v>
      </c>
      <c r="X2779" t="s">
        <v>30</v>
      </c>
      <c r="AC2779" t="s">
        <v>6179</v>
      </c>
      <c r="AE2779" s="135"/>
    </row>
    <row r="2780" spans="1:31" ht="12.5" customHeight="1" x14ac:dyDescent="0.35">
      <c r="A2780" t="s">
        <v>396</v>
      </c>
      <c r="C2780" t="s">
        <v>6180</v>
      </c>
      <c r="D2780" t="s">
        <v>385</v>
      </c>
      <c r="E2780" s="133">
        <v>45841</v>
      </c>
      <c r="F2780" s="2">
        <v>0.18256944444444445</v>
      </c>
      <c r="G2780">
        <v>4</v>
      </c>
      <c r="H2780" s="133">
        <v>45840</v>
      </c>
      <c r="I2780" s="2">
        <v>0.68256944444444445</v>
      </c>
      <c r="J2780">
        <v>16</v>
      </c>
      <c r="R2780" t="s">
        <v>30</v>
      </c>
      <c r="W2780">
        <v>1</v>
      </c>
      <c r="X2780" t="s">
        <v>30</v>
      </c>
      <c r="AC2780" t="s">
        <v>6181</v>
      </c>
      <c r="AE2780" s="135"/>
    </row>
    <row r="2781" spans="1:31" ht="12.5" customHeight="1" x14ac:dyDescent="0.35">
      <c r="A2781" t="s">
        <v>396</v>
      </c>
      <c r="C2781" t="s">
        <v>6182</v>
      </c>
      <c r="D2781" t="s">
        <v>385</v>
      </c>
      <c r="E2781" s="133">
        <v>45841</v>
      </c>
      <c r="F2781" s="2">
        <v>0.18263888888888891</v>
      </c>
      <c r="G2781">
        <v>4</v>
      </c>
      <c r="H2781" s="133">
        <v>45840</v>
      </c>
      <c r="I2781" s="2">
        <v>0.68263888888888891</v>
      </c>
      <c r="J2781">
        <v>16</v>
      </c>
      <c r="R2781" t="s">
        <v>30</v>
      </c>
      <c r="W2781">
        <v>1</v>
      </c>
      <c r="X2781" t="s">
        <v>30</v>
      </c>
      <c r="AC2781" t="s">
        <v>6183</v>
      </c>
      <c r="AE2781" s="135"/>
    </row>
    <row r="2782" spans="1:31" ht="12.5" customHeight="1" x14ac:dyDescent="0.35">
      <c r="A2782" t="s">
        <v>396</v>
      </c>
      <c r="C2782" t="s">
        <v>6184</v>
      </c>
      <c r="D2782" t="s">
        <v>385</v>
      </c>
      <c r="E2782" s="133">
        <v>45841</v>
      </c>
      <c r="F2782" s="2">
        <v>0.18273148148148147</v>
      </c>
      <c r="G2782">
        <v>4</v>
      </c>
      <c r="H2782" s="133">
        <v>45840</v>
      </c>
      <c r="I2782" s="2">
        <v>0.68273148148148144</v>
      </c>
      <c r="J2782">
        <v>16</v>
      </c>
      <c r="R2782" t="s">
        <v>30</v>
      </c>
      <c r="W2782">
        <v>1</v>
      </c>
      <c r="X2782" t="s">
        <v>30</v>
      </c>
      <c r="AC2782" t="s">
        <v>6185</v>
      </c>
      <c r="AE2782" s="135"/>
    </row>
    <row r="2783" spans="1:31" ht="12.5" customHeight="1" x14ac:dyDescent="0.35">
      <c r="A2783" t="s">
        <v>396</v>
      </c>
      <c r="C2783" t="s">
        <v>6186</v>
      </c>
      <c r="D2783" t="s">
        <v>385</v>
      </c>
      <c r="E2783" s="133">
        <v>45841</v>
      </c>
      <c r="F2783" s="2">
        <v>0.18284722222222224</v>
      </c>
      <c r="G2783">
        <v>4</v>
      </c>
      <c r="H2783" s="133">
        <v>45840</v>
      </c>
      <c r="I2783" s="2">
        <v>0.68284722222222216</v>
      </c>
      <c r="J2783">
        <v>16</v>
      </c>
      <c r="R2783" t="s">
        <v>30</v>
      </c>
      <c r="W2783">
        <v>1</v>
      </c>
      <c r="X2783" t="s">
        <v>30</v>
      </c>
      <c r="AC2783" t="s">
        <v>6187</v>
      </c>
      <c r="AE2783" s="135"/>
    </row>
    <row r="2784" spans="1:31" ht="12.5" customHeight="1" x14ac:dyDescent="0.35">
      <c r="A2784" t="s">
        <v>396</v>
      </c>
      <c r="C2784" t="s">
        <v>6188</v>
      </c>
      <c r="D2784" t="s">
        <v>385</v>
      </c>
      <c r="E2784" s="133">
        <v>45841</v>
      </c>
      <c r="F2784" s="2">
        <v>0.18291666666666664</v>
      </c>
      <c r="G2784">
        <v>4</v>
      </c>
      <c r="H2784" s="133">
        <v>45840</v>
      </c>
      <c r="I2784" s="2">
        <v>0.68291666666666673</v>
      </c>
      <c r="J2784">
        <v>16</v>
      </c>
      <c r="R2784" t="s">
        <v>30</v>
      </c>
      <c r="W2784">
        <v>1</v>
      </c>
      <c r="X2784" t="s">
        <v>30</v>
      </c>
      <c r="AC2784" t="s">
        <v>6189</v>
      </c>
      <c r="AE2784" s="135"/>
    </row>
    <row r="2785" spans="1:31" ht="12.5" customHeight="1" x14ac:dyDescent="0.35">
      <c r="A2785" t="s">
        <v>396</v>
      </c>
      <c r="C2785" t="s">
        <v>6190</v>
      </c>
      <c r="D2785" t="s">
        <v>385</v>
      </c>
      <c r="E2785" s="133">
        <v>45841</v>
      </c>
      <c r="F2785" s="2">
        <v>0.18300925925925926</v>
      </c>
      <c r="G2785">
        <v>4</v>
      </c>
      <c r="H2785" s="133">
        <v>45840</v>
      </c>
      <c r="I2785" s="2">
        <v>0.68300925925925926</v>
      </c>
      <c r="J2785">
        <v>16</v>
      </c>
      <c r="R2785" t="s">
        <v>432</v>
      </c>
      <c r="S2785">
        <v>2</v>
      </c>
      <c r="T2785">
        <v>0</v>
      </c>
      <c r="U2785">
        <v>0</v>
      </c>
      <c r="V2785">
        <v>0</v>
      </c>
      <c r="W2785">
        <v>1</v>
      </c>
      <c r="X2785" t="s">
        <v>30</v>
      </c>
      <c r="AC2785" t="s">
        <v>6191</v>
      </c>
      <c r="AE2785" s="135"/>
    </row>
    <row r="2786" spans="1:31" ht="12.5" customHeight="1" x14ac:dyDescent="0.35">
      <c r="A2786" t="s">
        <v>396</v>
      </c>
      <c r="C2786" t="s">
        <v>6192</v>
      </c>
      <c r="D2786" t="s">
        <v>385</v>
      </c>
      <c r="E2786" s="133">
        <v>45841</v>
      </c>
      <c r="F2786" s="2">
        <v>0.18310185185185188</v>
      </c>
      <c r="G2786">
        <v>4</v>
      </c>
      <c r="H2786" s="133">
        <v>45840</v>
      </c>
      <c r="I2786" s="2">
        <v>0.6831018518518519</v>
      </c>
      <c r="J2786">
        <v>16</v>
      </c>
      <c r="R2786" t="s">
        <v>30</v>
      </c>
      <c r="W2786">
        <v>1</v>
      </c>
      <c r="X2786" t="s">
        <v>30</v>
      </c>
      <c r="AC2786" t="s">
        <v>6193</v>
      </c>
      <c r="AE2786" s="135"/>
    </row>
    <row r="2787" spans="1:31" ht="12.5" customHeight="1" x14ac:dyDescent="0.35">
      <c r="A2787" t="s">
        <v>396</v>
      </c>
      <c r="C2787" t="s">
        <v>6194</v>
      </c>
      <c r="D2787" t="s">
        <v>385</v>
      </c>
      <c r="E2787" s="133">
        <v>45841</v>
      </c>
      <c r="F2787" s="2">
        <v>0.1832175925925926</v>
      </c>
      <c r="G2787">
        <v>4</v>
      </c>
      <c r="H2787" s="133">
        <v>45840</v>
      </c>
      <c r="I2787" s="2">
        <v>0.68321759259259263</v>
      </c>
      <c r="J2787">
        <v>16</v>
      </c>
      <c r="R2787" t="s">
        <v>30</v>
      </c>
      <c r="W2787">
        <v>1</v>
      </c>
      <c r="X2787" t="s">
        <v>30</v>
      </c>
      <c r="AC2787" t="s">
        <v>6195</v>
      </c>
      <c r="AE2787" s="135"/>
    </row>
    <row r="2788" spans="1:31" ht="12.5" customHeight="1" x14ac:dyDescent="0.35">
      <c r="A2788" t="s">
        <v>396</v>
      </c>
      <c r="C2788" t="s">
        <v>6196</v>
      </c>
      <c r="D2788" t="s">
        <v>385</v>
      </c>
      <c r="E2788" s="133">
        <v>45841</v>
      </c>
      <c r="F2788" s="2">
        <v>0.18333333333333335</v>
      </c>
      <c r="G2788">
        <v>4</v>
      </c>
      <c r="H2788" s="133">
        <v>45840</v>
      </c>
      <c r="I2788" s="2">
        <v>0.68333333333333324</v>
      </c>
      <c r="J2788">
        <v>16</v>
      </c>
      <c r="R2788" t="s">
        <v>30</v>
      </c>
      <c r="W2788">
        <v>1</v>
      </c>
      <c r="X2788" t="s">
        <v>30</v>
      </c>
      <c r="AC2788" t="s">
        <v>6197</v>
      </c>
      <c r="AE2788" s="135"/>
    </row>
    <row r="2789" spans="1:31" ht="12.5" customHeight="1" x14ac:dyDescent="0.35">
      <c r="A2789" t="s">
        <v>396</v>
      </c>
      <c r="C2789" t="s">
        <v>6198</v>
      </c>
      <c r="D2789" t="s">
        <v>385</v>
      </c>
      <c r="E2789" s="133">
        <v>45841</v>
      </c>
      <c r="F2789" s="2">
        <v>0.18344907407407407</v>
      </c>
      <c r="G2789">
        <v>4</v>
      </c>
      <c r="H2789" s="133">
        <v>45840</v>
      </c>
      <c r="I2789" s="2">
        <v>0.68344907407407407</v>
      </c>
      <c r="J2789">
        <v>16</v>
      </c>
      <c r="R2789" t="s">
        <v>30</v>
      </c>
      <c r="W2789">
        <v>1</v>
      </c>
      <c r="X2789" t="s">
        <v>30</v>
      </c>
      <c r="AC2789" t="s">
        <v>6199</v>
      </c>
      <c r="AE2789" s="135"/>
    </row>
    <row r="2790" spans="1:31" ht="12.5" customHeight="1" x14ac:dyDescent="0.35">
      <c r="A2790" t="s">
        <v>396</v>
      </c>
      <c r="C2790" t="s">
        <v>6200</v>
      </c>
      <c r="D2790" t="s">
        <v>385</v>
      </c>
      <c r="E2790" s="133">
        <v>45841</v>
      </c>
      <c r="F2790" s="2">
        <v>0.18356481481481482</v>
      </c>
      <c r="G2790">
        <v>4</v>
      </c>
      <c r="H2790" s="133">
        <v>45840</v>
      </c>
      <c r="I2790" s="2">
        <v>0.68356481481481479</v>
      </c>
      <c r="J2790">
        <v>16</v>
      </c>
      <c r="R2790" t="s">
        <v>30</v>
      </c>
      <c r="W2790">
        <v>1</v>
      </c>
      <c r="X2790" t="s">
        <v>30</v>
      </c>
      <c r="AC2790" t="s">
        <v>6201</v>
      </c>
      <c r="AE2790" s="135"/>
    </row>
    <row r="2791" spans="1:31" ht="12.5" customHeight="1" x14ac:dyDescent="0.35">
      <c r="A2791" t="s">
        <v>396</v>
      </c>
      <c r="C2791" t="s">
        <v>6202</v>
      </c>
      <c r="D2791" t="s">
        <v>385</v>
      </c>
      <c r="E2791" s="133">
        <v>45841</v>
      </c>
      <c r="F2791" s="2">
        <v>0.18365740740740741</v>
      </c>
      <c r="G2791">
        <v>4</v>
      </c>
      <c r="H2791" s="133">
        <v>45840</v>
      </c>
      <c r="I2791" s="2">
        <v>0.68365740740740744</v>
      </c>
      <c r="J2791">
        <v>16</v>
      </c>
      <c r="R2791" t="s">
        <v>30</v>
      </c>
      <c r="W2791">
        <v>1</v>
      </c>
      <c r="X2791" t="s">
        <v>30</v>
      </c>
      <c r="AC2791" t="s">
        <v>6203</v>
      </c>
      <c r="AE2791" s="135"/>
    </row>
    <row r="2792" spans="1:31" ht="12.5" customHeight="1" x14ac:dyDescent="0.35">
      <c r="A2792" t="s">
        <v>396</v>
      </c>
      <c r="C2792" t="s">
        <v>6204</v>
      </c>
      <c r="D2792" t="s">
        <v>385</v>
      </c>
      <c r="E2792" s="133">
        <v>45841</v>
      </c>
      <c r="F2792" s="2">
        <v>0.18377314814814816</v>
      </c>
      <c r="G2792">
        <v>4</v>
      </c>
      <c r="H2792" s="133">
        <v>45840</v>
      </c>
      <c r="I2792" s="2">
        <v>0.68377314814814805</v>
      </c>
      <c r="J2792">
        <v>16</v>
      </c>
      <c r="R2792" t="s">
        <v>30</v>
      </c>
      <c r="W2792">
        <v>1</v>
      </c>
      <c r="X2792" t="s">
        <v>30</v>
      </c>
      <c r="AC2792" t="s">
        <v>6205</v>
      </c>
      <c r="AE2792" s="135"/>
    </row>
    <row r="2793" spans="1:31" ht="12.5" customHeight="1" x14ac:dyDescent="0.35">
      <c r="A2793" t="s">
        <v>396</v>
      </c>
      <c r="C2793" t="s">
        <v>6206</v>
      </c>
      <c r="D2793" t="s">
        <v>385</v>
      </c>
      <c r="E2793" s="133">
        <v>45841</v>
      </c>
      <c r="F2793" s="2">
        <v>0.18386574074074072</v>
      </c>
      <c r="G2793">
        <v>4</v>
      </c>
      <c r="H2793" s="133">
        <v>45840</v>
      </c>
      <c r="I2793" s="2">
        <v>0.68386574074074069</v>
      </c>
      <c r="J2793">
        <v>16</v>
      </c>
      <c r="R2793" t="s">
        <v>30</v>
      </c>
      <c r="W2793">
        <v>1</v>
      </c>
      <c r="X2793" t="s">
        <v>30</v>
      </c>
      <c r="AC2793" t="s">
        <v>6207</v>
      </c>
      <c r="AE2793" s="135"/>
    </row>
    <row r="2794" spans="1:31" ht="12.5" customHeight="1" x14ac:dyDescent="0.35">
      <c r="A2794" t="s">
        <v>396</v>
      </c>
      <c r="C2794" t="s">
        <v>6208</v>
      </c>
      <c r="D2794" t="s">
        <v>385</v>
      </c>
      <c r="E2794" s="133">
        <v>45841</v>
      </c>
      <c r="F2794" s="2">
        <v>0.18395833333333333</v>
      </c>
      <c r="G2794">
        <v>4</v>
      </c>
      <c r="H2794" s="133">
        <v>45840</v>
      </c>
      <c r="I2794" s="2">
        <v>0.68395833333333333</v>
      </c>
      <c r="J2794">
        <v>16</v>
      </c>
      <c r="R2794" t="s">
        <v>30</v>
      </c>
      <c r="W2794">
        <v>1</v>
      </c>
      <c r="X2794" t="s">
        <v>30</v>
      </c>
      <c r="AC2794" t="s">
        <v>6209</v>
      </c>
      <c r="AE2794" s="135"/>
    </row>
    <row r="2795" spans="1:31" ht="12.5" customHeight="1" x14ac:dyDescent="0.35">
      <c r="A2795" t="s">
        <v>396</v>
      </c>
      <c r="C2795" t="s">
        <v>6210</v>
      </c>
      <c r="D2795" t="s">
        <v>385</v>
      </c>
      <c r="E2795" s="133">
        <v>45841</v>
      </c>
      <c r="F2795" s="2">
        <v>0.18407407407407406</v>
      </c>
      <c r="G2795">
        <v>4</v>
      </c>
      <c r="H2795" s="133">
        <v>45840</v>
      </c>
      <c r="I2795" s="2">
        <v>0.68407407407407417</v>
      </c>
      <c r="J2795">
        <v>16</v>
      </c>
      <c r="R2795" t="s">
        <v>30</v>
      </c>
      <c r="W2795">
        <v>1</v>
      </c>
      <c r="X2795" t="s">
        <v>30</v>
      </c>
      <c r="AC2795" t="s">
        <v>6211</v>
      </c>
      <c r="AE2795" s="135"/>
    </row>
    <row r="2796" spans="1:31" ht="12.5" customHeight="1" x14ac:dyDescent="0.35">
      <c r="A2796" t="s">
        <v>396</v>
      </c>
      <c r="C2796" t="s">
        <v>6212</v>
      </c>
      <c r="D2796" t="s">
        <v>385</v>
      </c>
      <c r="E2796" s="133">
        <v>45841</v>
      </c>
      <c r="F2796" s="2">
        <v>0.18421296296296297</v>
      </c>
      <c r="G2796">
        <v>4</v>
      </c>
      <c r="H2796" s="133">
        <v>45840</v>
      </c>
      <c r="I2796" s="2">
        <v>0.68421296296296286</v>
      </c>
      <c r="J2796">
        <v>16</v>
      </c>
      <c r="R2796" t="s">
        <v>30</v>
      </c>
      <c r="W2796">
        <v>1</v>
      </c>
      <c r="X2796" t="s">
        <v>30</v>
      </c>
      <c r="AC2796" t="s">
        <v>6213</v>
      </c>
      <c r="AE2796" s="135"/>
    </row>
    <row r="2797" spans="1:31" ht="12.5" customHeight="1" x14ac:dyDescent="0.35">
      <c r="A2797" t="s">
        <v>396</v>
      </c>
      <c r="C2797" t="s">
        <v>6214</v>
      </c>
      <c r="D2797" t="s">
        <v>385</v>
      </c>
      <c r="E2797" s="133">
        <v>45841</v>
      </c>
      <c r="F2797" s="2">
        <v>0.18428240740740742</v>
      </c>
      <c r="G2797">
        <v>4</v>
      </c>
      <c r="H2797" s="133">
        <v>45840</v>
      </c>
      <c r="I2797" s="2">
        <v>0.68428240740740742</v>
      </c>
      <c r="J2797">
        <v>16</v>
      </c>
      <c r="R2797" t="s">
        <v>30</v>
      </c>
      <c r="W2797">
        <v>1</v>
      </c>
      <c r="X2797" t="s">
        <v>30</v>
      </c>
      <c r="AC2797" t="s">
        <v>6215</v>
      </c>
      <c r="AE2797" s="135"/>
    </row>
    <row r="2798" spans="1:31" ht="12.5" customHeight="1" x14ac:dyDescent="0.35">
      <c r="A2798" t="s">
        <v>396</v>
      </c>
      <c r="C2798" t="s">
        <v>6216</v>
      </c>
      <c r="D2798" t="s">
        <v>385</v>
      </c>
      <c r="E2798" s="133">
        <v>45841</v>
      </c>
      <c r="F2798" s="2">
        <v>0.18439814814814814</v>
      </c>
      <c r="G2798">
        <v>4</v>
      </c>
      <c r="H2798" s="133">
        <v>45840</v>
      </c>
      <c r="I2798" s="2">
        <v>0.68439814814814814</v>
      </c>
      <c r="J2798">
        <v>16</v>
      </c>
      <c r="R2798" t="s">
        <v>30</v>
      </c>
      <c r="W2798">
        <v>1</v>
      </c>
      <c r="X2798" t="s">
        <v>30</v>
      </c>
      <c r="AC2798" t="s">
        <v>6217</v>
      </c>
      <c r="AE2798" s="135"/>
    </row>
    <row r="2799" spans="1:31" ht="12.5" customHeight="1" x14ac:dyDescent="0.35">
      <c r="A2799" t="s">
        <v>396</v>
      </c>
      <c r="C2799" t="s">
        <v>6218</v>
      </c>
      <c r="D2799" t="s">
        <v>385</v>
      </c>
      <c r="E2799" s="133">
        <v>45841</v>
      </c>
      <c r="F2799" s="2">
        <v>0.18449074074074076</v>
      </c>
      <c r="G2799">
        <v>4</v>
      </c>
      <c r="H2799" s="133">
        <v>45840</v>
      </c>
      <c r="I2799" s="2">
        <v>0.68449074074074068</v>
      </c>
      <c r="J2799">
        <v>16</v>
      </c>
      <c r="R2799" t="s">
        <v>30</v>
      </c>
      <c r="W2799">
        <v>1</v>
      </c>
      <c r="X2799" t="s">
        <v>30</v>
      </c>
      <c r="AC2799" t="s">
        <v>6219</v>
      </c>
      <c r="AE2799" s="135"/>
    </row>
    <row r="2800" spans="1:31" ht="12.5" customHeight="1" x14ac:dyDescent="0.35">
      <c r="A2800" t="s">
        <v>396</v>
      </c>
      <c r="C2800" t="s">
        <v>6220</v>
      </c>
      <c r="D2800" t="s">
        <v>385</v>
      </c>
      <c r="E2800" s="133">
        <v>45841</v>
      </c>
      <c r="F2800" s="2">
        <v>0.18458333333333332</v>
      </c>
      <c r="G2800">
        <v>4</v>
      </c>
      <c r="H2800" s="133">
        <v>45840</v>
      </c>
      <c r="I2800" s="2">
        <v>0.68458333333333332</v>
      </c>
      <c r="J2800">
        <v>16</v>
      </c>
      <c r="R2800" t="s">
        <v>30</v>
      </c>
      <c r="W2800">
        <v>1</v>
      </c>
      <c r="X2800" t="s">
        <v>30</v>
      </c>
      <c r="AC2800" t="s">
        <v>6221</v>
      </c>
      <c r="AE2800" s="135"/>
    </row>
    <row r="2801" spans="1:31" ht="12.5" customHeight="1" x14ac:dyDescent="0.35">
      <c r="A2801" t="s">
        <v>396</v>
      </c>
      <c r="C2801" t="s">
        <v>6222</v>
      </c>
      <c r="D2801" t="s">
        <v>385</v>
      </c>
      <c r="E2801" s="133">
        <v>45841</v>
      </c>
      <c r="F2801" s="2">
        <v>0.18467592592592594</v>
      </c>
      <c r="G2801">
        <v>4</v>
      </c>
      <c r="H2801" s="133">
        <v>45840</v>
      </c>
      <c r="I2801" s="2">
        <v>0.68467592592592597</v>
      </c>
      <c r="J2801">
        <v>16</v>
      </c>
      <c r="R2801" t="s">
        <v>30</v>
      </c>
      <c r="W2801">
        <v>1</v>
      </c>
      <c r="X2801" t="s">
        <v>30</v>
      </c>
      <c r="AC2801" t="s">
        <v>6223</v>
      </c>
      <c r="AE2801" s="135"/>
    </row>
    <row r="2802" spans="1:31" ht="12.5" customHeight="1" x14ac:dyDescent="0.35">
      <c r="A2802" t="s">
        <v>396</v>
      </c>
      <c r="C2802" t="s">
        <v>6224</v>
      </c>
      <c r="D2802" t="s">
        <v>385</v>
      </c>
      <c r="E2802" s="133">
        <v>45841</v>
      </c>
      <c r="F2802" s="2">
        <v>0.18476851851851853</v>
      </c>
      <c r="G2802">
        <v>4</v>
      </c>
      <c r="H2802" s="133">
        <v>45840</v>
      </c>
      <c r="I2802" s="2">
        <v>0.6847685185185185</v>
      </c>
      <c r="J2802">
        <v>16</v>
      </c>
      <c r="R2802" t="s">
        <v>30</v>
      </c>
      <c r="W2802">
        <v>1</v>
      </c>
      <c r="X2802" t="s">
        <v>30</v>
      </c>
      <c r="AC2802" t="s">
        <v>6225</v>
      </c>
      <c r="AE2802" s="135"/>
    </row>
    <row r="2803" spans="1:31" ht="12.5" customHeight="1" x14ac:dyDescent="0.35">
      <c r="A2803" t="s">
        <v>396</v>
      </c>
      <c r="C2803" t="s">
        <v>6226</v>
      </c>
      <c r="D2803" t="s">
        <v>385</v>
      </c>
      <c r="E2803" s="133">
        <v>45841</v>
      </c>
      <c r="F2803" s="2">
        <v>0.18486111111111111</v>
      </c>
      <c r="G2803">
        <v>4</v>
      </c>
      <c r="H2803" s="133">
        <v>45840</v>
      </c>
      <c r="I2803" s="2">
        <v>0.68486111111111114</v>
      </c>
      <c r="J2803">
        <v>16</v>
      </c>
      <c r="R2803" t="s">
        <v>30</v>
      </c>
      <c r="W2803">
        <v>1</v>
      </c>
      <c r="X2803" t="s">
        <v>30</v>
      </c>
      <c r="AC2803" t="s">
        <v>6227</v>
      </c>
      <c r="AE2803" s="135"/>
    </row>
    <row r="2804" spans="1:31" ht="12.5" customHeight="1" x14ac:dyDescent="0.35">
      <c r="A2804" t="s">
        <v>396</v>
      </c>
      <c r="C2804" t="s">
        <v>6228</v>
      </c>
      <c r="D2804" t="s">
        <v>385</v>
      </c>
      <c r="E2804" s="133">
        <v>45841</v>
      </c>
      <c r="F2804" s="2">
        <v>0.1849537037037037</v>
      </c>
      <c r="G2804">
        <v>4</v>
      </c>
      <c r="H2804" s="133">
        <v>45840</v>
      </c>
      <c r="I2804" s="2">
        <v>0.68495370370370379</v>
      </c>
      <c r="J2804">
        <v>16</v>
      </c>
      <c r="R2804" t="s">
        <v>432</v>
      </c>
      <c r="S2804">
        <v>2</v>
      </c>
      <c r="T2804">
        <v>0</v>
      </c>
      <c r="U2804">
        <v>0</v>
      </c>
      <c r="V2804">
        <v>0</v>
      </c>
      <c r="W2804">
        <v>1</v>
      </c>
      <c r="X2804" t="s">
        <v>30</v>
      </c>
      <c r="AC2804" t="s">
        <v>6229</v>
      </c>
      <c r="AE2804" s="135"/>
    </row>
    <row r="2805" spans="1:31" ht="12.5" customHeight="1" x14ac:dyDescent="0.35">
      <c r="A2805" t="s">
        <v>396</v>
      </c>
      <c r="C2805" t="s">
        <v>6230</v>
      </c>
      <c r="D2805" t="s">
        <v>385</v>
      </c>
      <c r="E2805" s="133">
        <v>45841</v>
      </c>
      <c r="F2805" s="2">
        <v>0.18511574074074075</v>
      </c>
      <c r="G2805">
        <v>4</v>
      </c>
      <c r="H2805" s="133">
        <v>45840</v>
      </c>
      <c r="I2805" s="2">
        <v>0.68511574074074078</v>
      </c>
      <c r="J2805">
        <v>16</v>
      </c>
      <c r="R2805" t="s">
        <v>30</v>
      </c>
      <c r="W2805">
        <v>1</v>
      </c>
      <c r="X2805" t="s">
        <v>30</v>
      </c>
      <c r="AC2805" t="s">
        <v>6231</v>
      </c>
      <c r="AE2805" s="135"/>
    </row>
    <row r="2806" spans="1:31" ht="12.5" customHeight="1" x14ac:dyDescent="0.35">
      <c r="A2806" t="s">
        <v>396</v>
      </c>
      <c r="C2806" t="s">
        <v>6232</v>
      </c>
      <c r="D2806" t="s">
        <v>385</v>
      </c>
      <c r="E2806" s="133">
        <v>45841</v>
      </c>
      <c r="F2806" s="2">
        <v>0.1852546296296296</v>
      </c>
      <c r="G2806">
        <v>4</v>
      </c>
      <c r="H2806" s="133">
        <v>45840</v>
      </c>
      <c r="I2806" s="2">
        <v>0.68525462962962969</v>
      </c>
      <c r="J2806">
        <v>16</v>
      </c>
      <c r="R2806" t="s">
        <v>30</v>
      </c>
      <c r="W2806">
        <v>1</v>
      </c>
      <c r="X2806" t="s">
        <v>30</v>
      </c>
      <c r="AC2806" t="s">
        <v>6233</v>
      </c>
      <c r="AE2806" s="135"/>
    </row>
    <row r="2807" spans="1:31" ht="12.5" customHeight="1" x14ac:dyDescent="0.35">
      <c r="A2807" t="s">
        <v>396</v>
      </c>
      <c r="C2807" t="s">
        <v>6234</v>
      </c>
      <c r="D2807" t="s">
        <v>385</v>
      </c>
      <c r="E2807" s="133">
        <v>45841</v>
      </c>
      <c r="F2807" s="2">
        <v>0.18543981481481484</v>
      </c>
      <c r="G2807">
        <v>4</v>
      </c>
      <c r="H2807" s="133">
        <v>45840</v>
      </c>
      <c r="I2807" s="2">
        <v>0.68543981481481486</v>
      </c>
      <c r="J2807">
        <v>16</v>
      </c>
      <c r="R2807" t="s">
        <v>30</v>
      </c>
      <c r="W2807">
        <v>1</v>
      </c>
      <c r="X2807" t="s">
        <v>30</v>
      </c>
      <c r="AC2807" t="s">
        <v>6235</v>
      </c>
      <c r="AE2807" s="135"/>
    </row>
    <row r="2808" spans="1:31" ht="12.5" customHeight="1" x14ac:dyDescent="0.35">
      <c r="A2808" t="s">
        <v>396</v>
      </c>
      <c r="C2808" t="s">
        <v>6236</v>
      </c>
      <c r="D2808" t="s">
        <v>385</v>
      </c>
      <c r="E2808" s="133">
        <v>45841</v>
      </c>
      <c r="F2808" s="2">
        <v>0.1855324074074074</v>
      </c>
      <c r="G2808">
        <v>4</v>
      </c>
      <c r="H2808" s="133">
        <v>45840</v>
      </c>
      <c r="I2808" s="2">
        <v>0.68553240740740751</v>
      </c>
      <c r="J2808">
        <v>16</v>
      </c>
      <c r="R2808" t="s">
        <v>30</v>
      </c>
      <c r="W2808">
        <v>1</v>
      </c>
      <c r="X2808" t="s">
        <v>30</v>
      </c>
      <c r="AC2808" t="s">
        <v>6237</v>
      </c>
      <c r="AE2808" s="135"/>
    </row>
    <row r="2809" spans="1:31" ht="12.5" customHeight="1" x14ac:dyDescent="0.35">
      <c r="A2809" t="s">
        <v>396</v>
      </c>
      <c r="C2809" t="s">
        <v>6238</v>
      </c>
      <c r="D2809" t="s">
        <v>385</v>
      </c>
      <c r="E2809" s="133">
        <v>45841</v>
      </c>
      <c r="F2809" s="2">
        <v>0.18564814814814815</v>
      </c>
      <c r="G2809">
        <v>4</v>
      </c>
      <c r="H2809" s="133">
        <v>45840</v>
      </c>
      <c r="I2809" s="2">
        <v>0.68564814814814812</v>
      </c>
      <c r="J2809">
        <v>16</v>
      </c>
      <c r="R2809" t="s">
        <v>30</v>
      </c>
      <c r="W2809">
        <v>1</v>
      </c>
      <c r="X2809" t="s">
        <v>30</v>
      </c>
      <c r="AC2809" t="s">
        <v>6239</v>
      </c>
      <c r="AE2809" s="135"/>
    </row>
    <row r="2810" spans="1:31" ht="12.5" customHeight="1" x14ac:dyDescent="0.35">
      <c r="A2810" t="s">
        <v>396</v>
      </c>
      <c r="C2810" t="s">
        <v>6240</v>
      </c>
      <c r="D2810" t="s">
        <v>385</v>
      </c>
      <c r="E2810" s="133">
        <v>45841</v>
      </c>
      <c r="F2810" s="2">
        <v>0.1857175925925926</v>
      </c>
      <c r="G2810">
        <v>4</v>
      </c>
      <c r="H2810" s="133">
        <v>45840</v>
      </c>
      <c r="I2810" s="2">
        <v>0.68571759259259257</v>
      </c>
      <c r="J2810">
        <v>16</v>
      </c>
      <c r="R2810" t="s">
        <v>30</v>
      </c>
      <c r="W2810">
        <v>1</v>
      </c>
      <c r="X2810" t="s">
        <v>30</v>
      </c>
      <c r="AC2810" t="s">
        <v>6241</v>
      </c>
      <c r="AE2810" s="135"/>
    </row>
    <row r="2811" spans="1:31" ht="12.5" customHeight="1" x14ac:dyDescent="0.35">
      <c r="A2811" t="s">
        <v>396</v>
      </c>
      <c r="C2811" t="s">
        <v>6242</v>
      </c>
      <c r="D2811" t="s">
        <v>385</v>
      </c>
      <c r="E2811" s="133">
        <v>45841</v>
      </c>
      <c r="F2811" s="2">
        <v>0.18583333333333332</v>
      </c>
      <c r="G2811">
        <v>4</v>
      </c>
      <c r="H2811" s="133">
        <v>45840</v>
      </c>
      <c r="I2811" s="2">
        <v>0.68583333333333341</v>
      </c>
      <c r="J2811">
        <v>16</v>
      </c>
      <c r="R2811" t="s">
        <v>30</v>
      </c>
      <c r="W2811">
        <v>1</v>
      </c>
      <c r="X2811" t="s">
        <v>30</v>
      </c>
      <c r="AC2811" t="s">
        <v>6243</v>
      </c>
      <c r="AE2811" s="135"/>
    </row>
    <row r="2812" spans="1:31" ht="12.5" customHeight="1" x14ac:dyDescent="0.35">
      <c r="A2812" t="s">
        <v>396</v>
      </c>
      <c r="C2812" t="s">
        <v>6244</v>
      </c>
      <c r="D2812" t="s">
        <v>385</v>
      </c>
      <c r="E2812" s="133">
        <v>45841</v>
      </c>
      <c r="F2812" s="2">
        <v>0.18590277777777778</v>
      </c>
      <c r="G2812">
        <v>4</v>
      </c>
      <c r="H2812" s="133">
        <v>45840</v>
      </c>
      <c r="I2812" s="2">
        <v>0.68590277777777775</v>
      </c>
      <c r="J2812">
        <v>16</v>
      </c>
      <c r="R2812" t="s">
        <v>30</v>
      </c>
      <c r="W2812">
        <v>1</v>
      </c>
      <c r="X2812" t="s">
        <v>30</v>
      </c>
      <c r="AC2812" t="s">
        <v>6245</v>
      </c>
      <c r="AE2812" s="135"/>
    </row>
    <row r="2813" spans="1:31" ht="12.5" customHeight="1" x14ac:dyDescent="0.35">
      <c r="A2813" t="s">
        <v>396</v>
      </c>
      <c r="C2813" t="s">
        <v>6246</v>
      </c>
      <c r="D2813" t="s">
        <v>385</v>
      </c>
      <c r="E2813" s="133">
        <v>45841</v>
      </c>
      <c r="F2813" s="2">
        <v>0.18604166666666666</v>
      </c>
      <c r="G2813">
        <v>4</v>
      </c>
      <c r="H2813" s="133">
        <v>45840</v>
      </c>
      <c r="I2813" s="2">
        <v>0.68604166666666666</v>
      </c>
      <c r="J2813">
        <v>16</v>
      </c>
      <c r="R2813" t="s">
        <v>30</v>
      </c>
      <c r="W2813">
        <v>1</v>
      </c>
      <c r="X2813" t="s">
        <v>30</v>
      </c>
      <c r="AC2813" t="s">
        <v>6247</v>
      </c>
      <c r="AE2813" s="135"/>
    </row>
    <row r="2814" spans="1:31" ht="12.5" customHeight="1" x14ac:dyDescent="0.35">
      <c r="A2814" t="s">
        <v>396</v>
      </c>
      <c r="C2814" t="s">
        <v>6248</v>
      </c>
      <c r="D2814" t="s">
        <v>385</v>
      </c>
      <c r="E2814" s="133">
        <v>45841</v>
      </c>
      <c r="F2814" s="2">
        <v>0.18613425925925928</v>
      </c>
      <c r="G2814">
        <v>4</v>
      </c>
      <c r="H2814" s="133">
        <v>45840</v>
      </c>
      <c r="I2814" s="2">
        <v>0.6861342592592593</v>
      </c>
      <c r="J2814">
        <v>16</v>
      </c>
      <c r="R2814" t="s">
        <v>30</v>
      </c>
      <c r="W2814">
        <v>1</v>
      </c>
      <c r="X2814" t="s">
        <v>30</v>
      </c>
      <c r="AC2814" t="s">
        <v>6249</v>
      </c>
      <c r="AE2814" s="135"/>
    </row>
    <row r="2815" spans="1:31" ht="12.5" customHeight="1" x14ac:dyDescent="0.35">
      <c r="A2815" t="s">
        <v>396</v>
      </c>
      <c r="C2815" t="s">
        <v>6250</v>
      </c>
      <c r="D2815" t="s">
        <v>385</v>
      </c>
      <c r="E2815" s="133">
        <v>45841</v>
      </c>
      <c r="F2815" s="2">
        <v>0.18622685185185184</v>
      </c>
      <c r="G2815">
        <v>4</v>
      </c>
      <c r="H2815" s="133">
        <v>45840</v>
      </c>
      <c r="I2815" s="2">
        <v>0.68622685185185184</v>
      </c>
      <c r="J2815">
        <v>16</v>
      </c>
      <c r="R2815" t="s">
        <v>30</v>
      </c>
      <c r="W2815">
        <v>1</v>
      </c>
      <c r="X2815" t="s">
        <v>30</v>
      </c>
      <c r="AC2815" t="s">
        <v>6251</v>
      </c>
      <c r="AE2815" s="135"/>
    </row>
    <row r="2816" spans="1:31" ht="12.5" customHeight="1" x14ac:dyDescent="0.35">
      <c r="A2816" t="s">
        <v>396</v>
      </c>
      <c r="C2816" t="s">
        <v>6252</v>
      </c>
      <c r="D2816" t="s">
        <v>385</v>
      </c>
      <c r="E2816" s="133">
        <v>45841</v>
      </c>
      <c r="F2816" s="2">
        <v>0.18629629629629629</v>
      </c>
      <c r="G2816">
        <v>4</v>
      </c>
      <c r="H2816" s="133">
        <v>45840</v>
      </c>
      <c r="I2816" s="2">
        <v>0.68629629629629629</v>
      </c>
      <c r="J2816">
        <v>16</v>
      </c>
      <c r="R2816" t="s">
        <v>30</v>
      </c>
      <c r="W2816">
        <v>1</v>
      </c>
      <c r="X2816" t="s">
        <v>30</v>
      </c>
      <c r="AC2816" t="s">
        <v>6253</v>
      </c>
      <c r="AE2816" s="135"/>
    </row>
    <row r="2817" spans="1:31" ht="12.5" customHeight="1" x14ac:dyDescent="0.35">
      <c r="A2817" t="s">
        <v>396</v>
      </c>
      <c r="C2817" t="s">
        <v>6254</v>
      </c>
      <c r="D2817" t="s">
        <v>385</v>
      </c>
      <c r="E2817" s="133">
        <v>45841</v>
      </c>
      <c r="F2817" s="2">
        <v>0.18641203703703704</v>
      </c>
      <c r="G2817">
        <v>4</v>
      </c>
      <c r="H2817" s="133">
        <v>45840</v>
      </c>
      <c r="I2817" s="2">
        <v>0.68641203703703713</v>
      </c>
      <c r="J2817">
        <v>16</v>
      </c>
      <c r="R2817" t="s">
        <v>30</v>
      </c>
      <c r="W2817">
        <v>1</v>
      </c>
      <c r="X2817" t="s">
        <v>30</v>
      </c>
      <c r="AC2817" t="s">
        <v>6255</v>
      </c>
      <c r="AE2817" s="135"/>
    </row>
    <row r="2818" spans="1:31" ht="12.5" customHeight="1" x14ac:dyDescent="0.35">
      <c r="A2818" t="s">
        <v>396</v>
      </c>
      <c r="C2818" t="s">
        <v>6256</v>
      </c>
      <c r="D2818" t="s">
        <v>385</v>
      </c>
      <c r="E2818" s="133">
        <v>45841</v>
      </c>
      <c r="F2818" s="2">
        <v>0.18650462962962963</v>
      </c>
      <c r="G2818">
        <v>4</v>
      </c>
      <c r="H2818" s="133">
        <v>45840</v>
      </c>
      <c r="I2818" s="2">
        <v>0.68650462962962966</v>
      </c>
      <c r="J2818">
        <v>16</v>
      </c>
      <c r="R2818" t="s">
        <v>30</v>
      </c>
      <c r="W2818">
        <v>1</v>
      </c>
      <c r="X2818" t="s">
        <v>30</v>
      </c>
      <c r="AC2818" t="s">
        <v>6257</v>
      </c>
      <c r="AE2818" s="135"/>
    </row>
    <row r="2819" spans="1:31" ht="12.5" customHeight="1" x14ac:dyDescent="0.35">
      <c r="A2819" t="s">
        <v>396</v>
      </c>
      <c r="C2819" t="s">
        <v>6258</v>
      </c>
      <c r="D2819" t="s">
        <v>385</v>
      </c>
      <c r="E2819" s="133">
        <v>45841</v>
      </c>
      <c r="F2819" s="2">
        <v>0.18659722222222222</v>
      </c>
      <c r="G2819">
        <v>4</v>
      </c>
      <c r="H2819" s="133">
        <v>45840</v>
      </c>
      <c r="I2819" s="2">
        <v>0.68659722222222219</v>
      </c>
      <c r="J2819">
        <v>16</v>
      </c>
      <c r="R2819" t="s">
        <v>30</v>
      </c>
      <c r="W2819">
        <v>1</v>
      </c>
      <c r="X2819" t="s">
        <v>30</v>
      </c>
      <c r="AC2819" t="s">
        <v>6259</v>
      </c>
      <c r="AE2819" s="135"/>
    </row>
    <row r="2820" spans="1:31" ht="12.5" customHeight="1" x14ac:dyDescent="0.35">
      <c r="A2820" t="s">
        <v>396</v>
      </c>
      <c r="C2820" t="s">
        <v>6260</v>
      </c>
      <c r="D2820" t="s">
        <v>385</v>
      </c>
      <c r="E2820" s="133">
        <v>45841</v>
      </c>
      <c r="F2820" s="2">
        <v>0.18668981481481481</v>
      </c>
      <c r="G2820">
        <v>4</v>
      </c>
      <c r="H2820" s="133">
        <v>45840</v>
      </c>
      <c r="I2820" s="2">
        <v>0.68668981481481473</v>
      </c>
      <c r="J2820">
        <v>16</v>
      </c>
      <c r="R2820" t="s">
        <v>30</v>
      </c>
      <c r="W2820">
        <v>1</v>
      </c>
      <c r="X2820" t="s">
        <v>30</v>
      </c>
      <c r="AC2820" t="s">
        <v>6261</v>
      </c>
      <c r="AE2820" s="135"/>
    </row>
    <row r="2821" spans="1:31" ht="12.5" customHeight="1" x14ac:dyDescent="0.35">
      <c r="A2821" t="s">
        <v>396</v>
      </c>
      <c r="C2821" t="s">
        <v>6262</v>
      </c>
      <c r="D2821" t="s">
        <v>385</v>
      </c>
      <c r="E2821" s="133">
        <v>45841</v>
      </c>
      <c r="F2821" s="2">
        <v>0.1867824074074074</v>
      </c>
      <c r="G2821">
        <v>4</v>
      </c>
      <c r="H2821" s="133">
        <v>45840</v>
      </c>
      <c r="I2821" s="2">
        <v>0.68678240740740737</v>
      </c>
      <c r="J2821">
        <v>16</v>
      </c>
      <c r="R2821" t="s">
        <v>30</v>
      </c>
      <c r="W2821">
        <v>1</v>
      </c>
      <c r="X2821" t="s">
        <v>30</v>
      </c>
      <c r="AC2821" t="s">
        <v>6263</v>
      </c>
      <c r="AE2821" s="135"/>
    </row>
    <row r="2822" spans="1:31" ht="12.5" customHeight="1" x14ac:dyDescent="0.35">
      <c r="A2822" t="s">
        <v>396</v>
      </c>
      <c r="C2822" t="s">
        <v>6264</v>
      </c>
      <c r="D2822" t="s">
        <v>385</v>
      </c>
      <c r="E2822" s="133">
        <v>45841</v>
      </c>
      <c r="F2822" s="2">
        <v>0.18687500000000001</v>
      </c>
      <c r="G2822">
        <v>4</v>
      </c>
      <c r="H2822" s="133">
        <v>45840</v>
      </c>
      <c r="I2822" s="2">
        <v>0.68687500000000001</v>
      </c>
      <c r="J2822">
        <v>16</v>
      </c>
      <c r="R2822" t="s">
        <v>30</v>
      </c>
      <c r="W2822">
        <v>1</v>
      </c>
      <c r="X2822" t="s">
        <v>30</v>
      </c>
      <c r="AC2822" t="s">
        <v>6265</v>
      </c>
      <c r="AE2822" s="135"/>
    </row>
    <row r="2823" spans="1:31" ht="12.5" customHeight="1" x14ac:dyDescent="0.35">
      <c r="A2823" t="s">
        <v>396</v>
      </c>
      <c r="C2823" t="s">
        <v>6266</v>
      </c>
      <c r="D2823" t="s">
        <v>385</v>
      </c>
      <c r="E2823" s="133">
        <v>45841</v>
      </c>
      <c r="F2823" s="2">
        <v>0.18694444444444444</v>
      </c>
      <c r="G2823">
        <v>4</v>
      </c>
      <c r="H2823" s="133">
        <v>45840</v>
      </c>
      <c r="I2823" s="2">
        <v>0.68694444444444447</v>
      </c>
      <c r="J2823">
        <v>16</v>
      </c>
      <c r="R2823" t="s">
        <v>30</v>
      </c>
      <c r="W2823">
        <v>1</v>
      </c>
      <c r="X2823" t="s">
        <v>30</v>
      </c>
      <c r="AC2823" t="s">
        <v>6267</v>
      </c>
      <c r="AE2823" s="135"/>
    </row>
    <row r="2824" spans="1:31" ht="12.5" customHeight="1" x14ac:dyDescent="0.35">
      <c r="A2824" t="s">
        <v>396</v>
      </c>
      <c r="C2824" t="s">
        <v>6268</v>
      </c>
      <c r="D2824" t="s">
        <v>385</v>
      </c>
      <c r="E2824" s="133">
        <v>45841</v>
      </c>
      <c r="F2824" s="2">
        <v>0.18706018518518519</v>
      </c>
      <c r="G2824">
        <v>4</v>
      </c>
      <c r="H2824" s="133">
        <v>45840</v>
      </c>
      <c r="I2824" s="2">
        <v>0.68706018518518519</v>
      </c>
      <c r="J2824">
        <v>16</v>
      </c>
      <c r="R2824" t="s">
        <v>30</v>
      </c>
      <c r="W2824">
        <v>1</v>
      </c>
      <c r="X2824" t="s">
        <v>30</v>
      </c>
      <c r="AC2824" t="s">
        <v>6269</v>
      </c>
      <c r="AE2824" s="135"/>
    </row>
    <row r="2825" spans="1:31" ht="12.5" customHeight="1" x14ac:dyDescent="0.35">
      <c r="A2825" t="s">
        <v>396</v>
      </c>
      <c r="C2825" t="s">
        <v>6270</v>
      </c>
      <c r="D2825" t="s">
        <v>385</v>
      </c>
      <c r="E2825" s="133">
        <v>45841</v>
      </c>
      <c r="F2825" s="2">
        <v>0.18715277777777775</v>
      </c>
      <c r="G2825">
        <v>4</v>
      </c>
      <c r="H2825" s="133">
        <v>45840</v>
      </c>
      <c r="I2825" s="2">
        <v>0.68715277777777783</v>
      </c>
      <c r="J2825">
        <v>16</v>
      </c>
      <c r="R2825" t="s">
        <v>432</v>
      </c>
      <c r="S2825">
        <v>3</v>
      </c>
      <c r="T2825">
        <v>0</v>
      </c>
      <c r="U2825">
        <v>0</v>
      </c>
      <c r="V2825">
        <v>0</v>
      </c>
      <c r="W2825">
        <v>1</v>
      </c>
      <c r="X2825" t="s">
        <v>30</v>
      </c>
      <c r="AC2825" t="s">
        <v>6271</v>
      </c>
      <c r="AE2825" s="135"/>
    </row>
    <row r="2826" spans="1:31" ht="12.5" customHeight="1" x14ac:dyDescent="0.35">
      <c r="A2826" t="s">
        <v>396</v>
      </c>
      <c r="C2826" t="s">
        <v>6272</v>
      </c>
      <c r="D2826" t="s">
        <v>385</v>
      </c>
      <c r="E2826" s="133">
        <v>45841</v>
      </c>
      <c r="F2826" s="2">
        <v>0.18729166666666666</v>
      </c>
      <c r="G2826">
        <v>4</v>
      </c>
      <c r="H2826" s="133">
        <v>45840</v>
      </c>
      <c r="I2826" s="2">
        <v>0.68729166666666675</v>
      </c>
      <c r="J2826">
        <v>16</v>
      </c>
      <c r="R2826" t="s">
        <v>30</v>
      </c>
      <c r="W2826">
        <v>1</v>
      </c>
      <c r="X2826" t="s">
        <v>30</v>
      </c>
      <c r="AC2826" t="s">
        <v>6273</v>
      </c>
      <c r="AE2826" s="135"/>
    </row>
    <row r="2827" spans="1:31" ht="12.5" customHeight="1" x14ac:dyDescent="0.35">
      <c r="A2827" t="s">
        <v>396</v>
      </c>
      <c r="C2827" t="s">
        <v>6274</v>
      </c>
      <c r="D2827" t="s">
        <v>385</v>
      </c>
      <c r="E2827" s="133">
        <v>45841</v>
      </c>
      <c r="F2827" s="2">
        <v>0.18738425925925925</v>
      </c>
      <c r="G2827">
        <v>4</v>
      </c>
      <c r="H2827" s="133">
        <v>45840</v>
      </c>
      <c r="I2827" s="2">
        <v>0.68738425925925928</v>
      </c>
      <c r="J2827">
        <v>16</v>
      </c>
      <c r="R2827" t="s">
        <v>30</v>
      </c>
      <c r="W2827">
        <v>1</v>
      </c>
      <c r="X2827" t="s">
        <v>30</v>
      </c>
      <c r="AC2827" t="s">
        <v>6275</v>
      </c>
      <c r="AE2827" s="135"/>
    </row>
    <row r="2828" spans="1:31" ht="12.5" customHeight="1" x14ac:dyDescent="0.35">
      <c r="A2828" t="s">
        <v>396</v>
      </c>
      <c r="C2828" t="s">
        <v>6276</v>
      </c>
      <c r="D2828" t="s">
        <v>385</v>
      </c>
      <c r="E2828" s="133">
        <v>45841</v>
      </c>
      <c r="F2828" s="2">
        <v>0.18752314814814816</v>
      </c>
      <c r="G2828">
        <v>4</v>
      </c>
      <c r="H2828" s="133">
        <v>45840</v>
      </c>
      <c r="I2828" s="2">
        <v>0.68752314814814808</v>
      </c>
      <c r="J2828">
        <v>16</v>
      </c>
      <c r="R2828" t="s">
        <v>30</v>
      </c>
      <c r="W2828">
        <v>1</v>
      </c>
      <c r="X2828" t="s">
        <v>30</v>
      </c>
      <c r="AC2828" t="s">
        <v>6277</v>
      </c>
      <c r="AE2828" s="135"/>
    </row>
    <row r="2829" spans="1:31" ht="12.5" customHeight="1" x14ac:dyDescent="0.35">
      <c r="A2829" t="s">
        <v>396</v>
      </c>
      <c r="C2829" t="s">
        <v>6278</v>
      </c>
      <c r="D2829" t="s">
        <v>385</v>
      </c>
      <c r="E2829" s="133">
        <v>45841</v>
      </c>
      <c r="F2829" s="2">
        <v>0.18759259259259262</v>
      </c>
      <c r="G2829">
        <v>4</v>
      </c>
      <c r="H2829" s="133">
        <v>45840</v>
      </c>
      <c r="I2829" s="2">
        <v>0.68759259259259264</v>
      </c>
      <c r="J2829">
        <v>16</v>
      </c>
      <c r="R2829" t="s">
        <v>30</v>
      </c>
      <c r="W2829">
        <v>1</v>
      </c>
      <c r="X2829" t="s">
        <v>30</v>
      </c>
      <c r="AC2829" t="s">
        <v>6279</v>
      </c>
      <c r="AE2829" s="135"/>
    </row>
    <row r="2830" spans="1:31" ht="12.5" customHeight="1" x14ac:dyDescent="0.35">
      <c r="A2830" t="s">
        <v>396</v>
      </c>
      <c r="C2830" t="s">
        <v>6280</v>
      </c>
      <c r="D2830" t="s">
        <v>385</v>
      </c>
      <c r="E2830" s="133">
        <v>45841</v>
      </c>
      <c r="F2830" s="2">
        <v>0.18766203703703702</v>
      </c>
      <c r="G2830">
        <v>4</v>
      </c>
      <c r="H2830" s="133">
        <v>45840</v>
      </c>
      <c r="I2830" s="2">
        <v>0.68766203703703699</v>
      </c>
      <c r="J2830">
        <v>16</v>
      </c>
      <c r="R2830" t="s">
        <v>30</v>
      </c>
      <c r="W2830">
        <v>1</v>
      </c>
      <c r="X2830" t="s">
        <v>30</v>
      </c>
      <c r="AC2830" t="s">
        <v>6281</v>
      </c>
      <c r="AE2830" s="135"/>
    </row>
    <row r="2831" spans="1:31" ht="12.5" customHeight="1" x14ac:dyDescent="0.35">
      <c r="A2831" t="s">
        <v>396</v>
      </c>
      <c r="C2831" t="s">
        <v>6282</v>
      </c>
      <c r="D2831" t="s">
        <v>385</v>
      </c>
      <c r="E2831" s="133">
        <v>45841</v>
      </c>
      <c r="F2831" s="2">
        <v>0.18780092592592593</v>
      </c>
      <c r="G2831">
        <v>4</v>
      </c>
      <c r="H2831" s="133">
        <v>45840</v>
      </c>
      <c r="I2831" s="2">
        <v>0.6878009259259259</v>
      </c>
      <c r="J2831">
        <v>16</v>
      </c>
      <c r="R2831" t="s">
        <v>30</v>
      </c>
      <c r="W2831">
        <v>1</v>
      </c>
      <c r="X2831" t="s">
        <v>30</v>
      </c>
      <c r="AC2831" t="s">
        <v>6283</v>
      </c>
      <c r="AE2831" s="135"/>
    </row>
    <row r="2832" spans="1:31" ht="12.5" customHeight="1" x14ac:dyDescent="0.35">
      <c r="A2832" t="s">
        <v>396</v>
      </c>
      <c r="C2832" t="s">
        <v>6284</v>
      </c>
      <c r="D2832" t="s">
        <v>385</v>
      </c>
      <c r="E2832" s="133">
        <v>45841</v>
      </c>
      <c r="F2832" s="2">
        <v>0.18789351851851852</v>
      </c>
      <c r="G2832">
        <v>4</v>
      </c>
      <c r="H2832" s="133">
        <v>45840</v>
      </c>
      <c r="I2832" s="2">
        <v>0.68789351851851854</v>
      </c>
      <c r="J2832">
        <v>16</v>
      </c>
      <c r="R2832" t="s">
        <v>30</v>
      </c>
      <c r="W2832">
        <v>1</v>
      </c>
      <c r="X2832" t="s">
        <v>30</v>
      </c>
      <c r="AC2832" t="s">
        <v>6285</v>
      </c>
      <c r="AE2832" s="135"/>
    </row>
    <row r="2833" spans="1:31" ht="12.5" customHeight="1" x14ac:dyDescent="0.35">
      <c r="A2833" t="s">
        <v>396</v>
      </c>
      <c r="C2833" t="s">
        <v>6286</v>
      </c>
      <c r="D2833" t="s">
        <v>385</v>
      </c>
      <c r="E2833" s="133">
        <v>45841</v>
      </c>
      <c r="F2833" s="2">
        <v>0.18796296296296297</v>
      </c>
      <c r="G2833">
        <v>4</v>
      </c>
      <c r="H2833" s="133">
        <v>45840</v>
      </c>
      <c r="I2833" s="2">
        <v>0.687962962962963</v>
      </c>
      <c r="J2833">
        <v>16</v>
      </c>
      <c r="R2833" t="s">
        <v>30</v>
      </c>
      <c r="W2833">
        <v>1</v>
      </c>
      <c r="X2833" t="s">
        <v>30</v>
      </c>
      <c r="AC2833" t="s">
        <v>6287</v>
      </c>
      <c r="AE2833" s="135"/>
    </row>
    <row r="2834" spans="1:31" ht="12.5" customHeight="1" x14ac:dyDescent="0.35">
      <c r="A2834" t="s">
        <v>396</v>
      </c>
      <c r="C2834" t="s">
        <v>6288</v>
      </c>
      <c r="D2834" t="s">
        <v>385</v>
      </c>
      <c r="E2834" s="133">
        <v>45841</v>
      </c>
      <c r="F2834" s="2">
        <v>0.18807870370370372</v>
      </c>
      <c r="G2834">
        <v>4</v>
      </c>
      <c r="H2834" s="133">
        <v>45840</v>
      </c>
      <c r="I2834" s="2">
        <v>0.68807870370370372</v>
      </c>
      <c r="J2834">
        <v>16</v>
      </c>
      <c r="R2834" t="s">
        <v>30</v>
      </c>
      <c r="W2834">
        <v>1</v>
      </c>
      <c r="X2834" t="s">
        <v>30</v>
      </c>
      <c r="AC2834" t="s">
        <v>6289</v>
      </c>
      <c r="AE2834" s="135"/>
    </row>
    <row r="2835" spans="1:31" ht="12.5" customHeight="1" x14ac:dyDescent="0.35">
      <c r="A2835" t="s">
        <v>396</v>
      </c>
      <c r="C2835" t="s">
        <v>6290</v>
      </c>
      <c r="D2835" t="s">
        <v>385</v>
      </c>
      <c r="E2835" s="133">
        <v>45841</v>
      </c>
      <c r="F2835" s="2">
        <v>0.18817129629629628</v>
      </c>
      <c r="G2835">
        <v>4</v>
      </c>
      <c r="H2835" s="133">
        <v>45840</v>
      </c>
      <c r="I2835" s="2">
        <v>0.68817129629629636</v>
      </c>
      <c r="J2835">
        <v>16</v>
      </c>
      <c r="R2835" t="s">
        <v>30</v>
      </c>
      <c r="W2835">
        <v>1</v>
      </c>
      <c r="X2835" t="s">
        <v>30</v>
      </c>
      <c r="AC2835" t="s">
        <v>6291</v>
      </c>
      <c r="AE2835" s="135"/>
    </row>
    <row r="2836" spans="1:31" ht="12.5" customHeight="1" x14ac:dyDescent="0.35">
      <c r="A2836" t="s">
        <v>396</v>
      </c>
      <c r="C2836" t="s">
        <v>6292</v>
      </c>
      <c r="D2836" t="s">
        <v>385</v>
      </c>
      <c r="E2836" s="133">
        <v>45841</v>
      </c>
      <c r="F2836" s="2">
        <v>0.1882638888888889</v>
      </c>
      <c r="G2836">
        <v>4</v>
      </c>
      <c r="H2836" s="133">
        <v>45840</v>
      </c>
      <c r="I2836" s="2">
        <v>0.6882638888888889</v>
      </c>
      <c r="J2836">
        <v>16</v>
      </c>
      <c r="R2836" t="s">
        <v>30</v>
      </c>
      <c r="W2836">
        <v>1</v>
      </c>
      <c r="X2836" t="s">
        <v>30</v>
      </c>
      <c r="AC2836" t="s">
        <v>6293</v>
      </c>
      <c r="AE2836" s="135"/>
    </row>
    <row r="2837" spans="1:31" ht="12.5" customHeight="1" x14ac:dyDescent="0.35">
      <c r="A2837" t="s">
        <v>396</v>
      </c>
      <c r="C2837" t="s">
        <v>6294</v>
      </c>
      <c r="D2837" t="s">
        <v>385</v>
      </c>
      <c r="E2837" s="133">
        <v>45841</v>
      </c>
      <c r="F2837" s="2">
        <v>0.18835648148148146</v>
      </c>
      <c r="G2837">
        <v>4</v>
      </c>
      <c r="H2837" s="133">
        <v>45840</v>
      </c>
      <c r="I2837" s="2">
        <v>0.68835648148148154</v>
      </c>
      <c r="J2837">
        <v>16</v>
      </c>
      <c r="R2837" t="s">
        <v>30</v>
      </c>
      <c r="W2837">
        <v>1</v>
      </c>
      <c r="X2837" t="s">
        <v>30</v>
      </c>
      <c r="AC2837" t="s">
        <v>6295</v>
      </c>
      <c r="AE2837" s="135"/>
    </row>
    <row r="2838" spans="1:31" ht="12.5" customHeight="1" x14ac:dyDescent="0.35">
      <c r="A2838" t="s">
        <v>396</v>
      </c>
      <c r="C2838" t="s">
        <v>6296</v>
      </c>
      <c r="D2838" t="s">
        <v>385</v>
      </c>
      <c r="E2838" s="133">
        <v>45841</v>
      </c>
      <c r="F2838" s="2">
        <v>0.18847222222222224</v>
      </c>
      <c r="G2838">
        <v>4</v>
      </c>
      <c r="H2838" s="133">
        <v>45840</v>
      </c>
      <c r="I2838" s="2">
        <v>0.68847222222222226</v>
      </c>
      <c r="J2838">
        <v>16</v>
      </c>
      <c r="R2838" t="s">
        <v>30</v>
      </c>
      <c r="W2838">
        <v>1</v>
      </c>
      <c r="X2838" t="s">
        <v>30</v>
      </c>
      <c r="AC2838" t="s">
        <v>6297</v>
      </c>
      <c r="AE2838" s="135"/>
    </row>
    <row r="2839" spans="1:31" ht="12.5" customHeight="1" x14ac:dyDescent="0.35">
      <c r="A2839" t="s">
        <v>396</v>
      </c>
      <c r="C2839" t="s">
        <v>6298</v>
      </c>
      <c r="D2839" t="s">
        <v>385</v>
      </c>
      <c r="E2839" s="133">
        <v>45841</v>
      </c>
      <c r="F2839" s="2">
        <v>0.18856481481481482</v>
      </c>
      <c r="G2839">
        <v>4</v>
      </c>
      <c r="H2839" s="133">
        <v>45840</v>
      </c>
      <c r="I2839" s="2">
        <v>0.6885648148148148</v>
      </c>
      <c r="J2839">
        <v>16</v>
      </c>
      <c r="R2839" t="s">
        <v>30</v>
      </c>
      <c r="W2839">
        <v>1</v>
      </c>
      <c r="X2839" t="s">
        <v>30</v>
      </c>
      <c r="AC2839" t="s">
        <v>6299</v>
      </c>
      <c r="AE2839" s="135"/>
    </row>
    <row r="2840" spans="1:31" ht="12.5" customHeight="1" x14ac:dyDescent="0.35">
      <c r="A2840" t="s">
        <v>396</v>
      </c>
      <c r="C2840" t="s">
        <v>6300</v>
      </c>
      <c r="D2840" t="s">
        <v>385</v>
      </c>
      <c r="E2840" s="133">
        <v>45841</v>
      </c>
      <c r="F2840" s="2">
        <v>0.18865740740740741</v>
      </c>
      <c r="G2840">
        <v>4</v>
      </c>
      <c r="H2840" s="133">
        <v>45840</v>
      </c>
      <c r="I2840" s="2">
        <v>0.68865740740740744</v>
      </c>
      <c r="J2840">
        <v>16</v>
      </c>
      <c r="R2840" t="s">
        <v>30</v>
      </c>
      <c r="W2840">
        <v>1</v>
      </c>
      <c r="X2840" t="s">
        <v>30</v>
      </c>
      <c r="AC2840" t="s">
        <v>6301</v>
      </c>
      <c r="AE2840" s="135"/>
    </row>
    <row r="2841" spans="1:31" ht="14.5" x14ac:dyDescent="0.35">
      <c r="A2841" t="s">
        <v>396</v>
      </c>
      <c r="C2841" t="s">
        <v>6302</v>
      </c>
      <c r="D2841" t="s">
        <v>385</v>
      </c>
      <c r="E2841" s="133">
        <v>45841</v>
      </c>
      <c r="F2841" s="2">
        <v>0.18872685185185187</v>
      </c>
      <c r="G2841">
        <v>4</v>
      </c>
      <c r="H2841" s="133">
        <v>45840</v>
      </c>
      <c r="I2841" s="2">
        <v>0.68872685185185178</v>
      </c>
      <c r="J2841">
        <v>16</v>
      </c>
      <c r="R2841" t="s">
        <v>30</v>
      </c>
      <c r="W2841">
        <v>1</v>
      </c>
      <c r="X2841" t="s">
        <v>30</v>
      </c>
      <c r="AC2841" t="s">
        <v>6303</v>
      </c>
      <c r="AE2841" s="135"/>
    </row>
    <row r="2842" spans="1:31" ht="14.5" x14ac:dyDescent="0.35">
      <c r="A2842" t="s">
        <v>396</v>
      </c>
      <c r="C2842" t="s">
        <v>6304</v>
      </c>
      <c r="D2842" t="s">
        <v>385</v>
      </c>
      <c r="E2842" s="133">
        <v>45841</v>
      </c>
      <c r="F2842" s="2">
        <v>0.18879629629629627</v>
      </c>
      <c r="G2842">
        <v>4</v>
      </c>
      <c r="H2842" s="133">
        <v>45840</v>
      </c>
      <c r="I2842" s="2">
        <v>0.68879629629629635</v>
      </c>
      <c r="J2842">
        <v>16</v>
      </c>
      <c r="R2842" t="s">
        <v>30</v>
      </c>
      <c r="W2842">
        <v>1</v>
      </c>
      <c r="X2842" t="s">
        <v>30</v>
      </c>
      <c r="AC2842" t="s">
        <v>6305</v>
      </c>
      <c r="AE2842" s="135"/>
    </row>
    <row r="2843" spans="1:31" ht="14.5" x14ac:dyDescent="0.35">
      <c r="A2843" t="s">
        <v>396</v>
      </c>
      <c r="C2843" t="s">
        <v>6306</v>
      </c>
      <c r="D2843" t="s">
        <v>385</v>
      </c>
      <c r="E2843" s="133">
        <v>45841</v>
      </c>
      <c r="F2843" s="2">
        <v>0.18891203703703704</v>
      </c>
      <c r="G2843">
        <v>4</v>
      </c>
      <c r="H2843" s="133">
        <v>45840</v>
      </c>
      <c r="I2843" s="2">
        <v>0.68891203703703707</v>
      </c>
      <c r="J2843">
        <v>16</v>
      </c>
      <c r="R2843" t="s">
        <v>30</v>
      </c>
      <c r="W2843">
        <v>1</v>
      </c>
      <c r="X2843" t="s">
        <v>30</v>
      </c>
      <c r="AC2843" t="s">
        <v>6307</v>
      </c>
      <c r="AE2843" s="135"/>
    </row>
    <row r="2844" spans="1:31" ht="14.5" x14ac:dyDescent="0.35">
      <c r="A2844" t="s">
        <v>396</v>
      </c>
      <c r="C2844" t="s">
        <v>6308</v>
      </c>
      <c r="D2844" t="s">
        <v>385</v>
      </c>
      <c r="E2844" s="133">
        <v>45841</v>
      </c>
      <c r="F2844" s="2">
        <v>0.18905092592592596</v>
      </c>
      <c r="G2844">
        <v>4</v>
      </c>
      <c r="H2844" s="133">
        <v>45840</v>
      </c>
      <c r="I2844" s="2">
        <v>0.68905092592592598</v>
      </c>
      <c r="J2844">
        <v>16</v>
      </c>
      <c r="R2844" t="s">
        <v>30</v>
      </c>
      <c r="W2844">
        <v>1</v>
      </c>
      <c r="X2844" t="s">
        <v>30</v>
      </c>
      <c r="AC2844" t="s">
        <v>6309</v>
      </c>
      <c r="AE2844" s="135"/>
    </row>
    <row r="2845" spans="1:31" ht="14.5" x14ac:dyDescent="0.35">
      <c r="A2845" t="s">
        <v>396</v>
      </c>
      <c r="C2845" t="s">
        <v>6310</v>
      </c>
      <c r="D2845" t="s">
        <v>385</v>
      </c>
      <c r="E2845" s="133">
        <v>45841</v>
      </c>
      <c r="F2845" s="2">
        <v>0.18914351851851852</v>
      </c>
      <c r="G2845">
        <v>4</v>
      </c>
      <c r="H2845" s="133">
        <v>45840</v>
      </c>
      <c r="I2845" s="2">
        <v>0.68914351851851852</v>
      </c>
      <c r="J2845">
        <v>16</v>
      </c>
      <c r="R2845" t="s">
        <v>30</v>
      </c>
      <c r="W2845">
        <v>1</v>
      </c>
      <c r="X2845" t="s">
        <v>30</v>
      </c>
      <c r="AC2845" t="s">
        <v>6311</v>
      </c>
      <c r="AE2845" s="135"/>
    </row>
    <row r="2846" spans="1:31" ht="14.5" x14ac:dyDescent="0.35">
      <c r="A2846" t="s">
        <v>396</v>
      </c>
      <c r="C2846" t="s">
        <v>6312</v>
      </c>
      <c r="D2846" t="s">
        <v>385</v>
      </c>
      <c r="E2846" s="133">
        <v>45841</v>
      </c>
      <c r="F2846" s="2">
        <v>0.18921296296296297</v>
      </c>
      <c r="G2846">
        <v>4</v>
      </c>
      <c r="H2846" s="133">
        <v>45840</v>
      </c>
      <c r="I2846" s="2">
        <v>0.68921296296296297</v>
      </c>
      <c r="J2846">
        <v>16</v>
      </c>
      <c r="R2846" t="s">
        <v>30</v>
      </c>
      <c r="W2846">
        <v>1</v>
      </c>
      <c r="X2846" t="s">
        <v>30</v>
      </c>
      <c r="AC2846" t="s">
        <v>6313</v>
      </c>
      <c r="AE2846" s="135"/>
    </row>
    <row r="2847" spans="1:31" ht="14.5" x14ac:dyDescent="0.35">
      <c r="A2847" t="s">
        <v>396</v>
      </c>
      <c r="C2847" t="s">
        <v>6314</v>
      </c>
      <c r="D2847" t="s">
        <v>385</v>
      </c>
      <c r="E2847" s="133">
        <v>45841</v>
      </c>
      <c r="F2847" s="2">
        <v>0.18930555555555553</v>
      </c>
      <c r="G2847">
        <v>4</v>
      </c>
      <c r="H2847" s="133">
        <v>45840</v>
      </c>
      <c r="I2847" s="2">
        <v>0.6893055555555555</v>
      </c>
      <c r="J2847">
        <v>16</v>
      </c>
      <c r="R2847" t="s">
        <v>30</v>
      </c>
      <c r="W2847">
        <v>1</v>
      </c>
      <c r="X2847" t="s">
        <v>30</v>
      </c>
      <c r="AC2847" t="s">
        <v>6315</v>
      </c>
      <c r="AE2847" s="135"/>
    </row>
    <row r="2848" spans="1:31" ht="14.5" x14ac:dyDescent="0.35">
      <c r="A2848" t="s">
        <v>396</v>
      </c>
      <c r="C2848" t="s">
        <v>6316</v>
      </c>
      <c r="D2848" t="s">
        <v>385</v>
      </c>
      <c r="E2848" s="133">
        <v>45841</v>
      </c>
      <c r="F2848" s="2">
        <v>0.18937499999999999</v>
      </c>
      <c r="G2848">
        <v>4</v>
      </c>
      <c r="H2848" s="133">
        <v>45840</v>
      </c>
      <c r="I2848" s="2">
        <v>0.68937500000000007</v>
      </c>
      <c r="J2848">
        <v>16</v>
      </c>
      <c r="R2848" t="s">
        <v>30</v>
      </c>
      <c r="W2848">
        <v>1</v>
      </c>
      <c r="X2848" t="s">
        <v>30</v>
      </c>
      <c r="AC2848" t="s">
        <v>6317</v>
      </c>
      <c r="AE2848" s="135"/>
    </row>
    <row r="2849" spans="1:31" ht="14.5" x14ac:dyDescent="0.35">
      <c r="A2849" t="s">
        <v>396</v>
      </c>
      <c r="C2849" t="s">
        <v>6318</v>
      </c>
      <c r="D2849" t="s">
        <v>385</v>
      </c>
      <c r="E2849" s="133">
        <v>45841</v>
      </c>
      <c r="F2849" s="2">
        <v>0.18944444444444444</v>
      </c>
      <c r="G2849">
        <v>4</v>
      </c>
      <c r="H2849" s="133">
        <v>45840</v>
      </c>
      <c r="I2849" s="2">
        <v>0.68944444444444442</v>
      </c>
      <c r="J2849">
        <v>16</v>
      </c>
      <c r="R2849" t="s">
        <v>30</v>
      </c>
      <c r="W2849">
        <v>1</v>
      </c>
      <c r="X2849" t="s">
        <v>30</v>
      </c>
      <c r="AC2849" t="s">
        <v>6319</v>
      </c>
      <c r="AE2849" s="135"/>
    </row>
    <row r="2850" spans="1:31" ht="14.5" x14ac:dyDescent="0.35">
      <c r="A2850" t="s">
        <v>396</v>
      </c>
      <c r="C2850" t="s">
        <v>6320</v>
      </c>
      <c r="D2850" t="s">
        <v>385</v>
      </c>
      <c r="E2850" s="133">
        <v>45841</v>
      </c>
      <c r="F2850" s="2">
        <v>0.18953703703703703</v>
      </c>
      <c r="G2850">
        <v>4</v>
      </c>
      <c r="H2850" s="133">
        <v>45840</v>
      </c>
      <c r="I2850" s="2">
        <v>0.68953703703703706</v>
      </c>
      <c r="J2850">
        <v>16</v>
      </c>
      <c r="R2850" t="s">
        <v>30</v>
      </c>
      <c r="W2850">
        <v>1</v>
      </c>
      <c r="X2850" t="s">
        <v>30</v>
      </c>
      <c r="AC2850" t="s">
        <v>6321</v>
      </c>
      <c r="AE2850" s="135"/>
    </row>
    <row r="2851" spans="1:31" ht="14.5" x14ac:dyDescent="0.35">
      <c r="A2851" t="s">
        <v>396</v>
      </c>
      <c r="C2851" t="s">
        <v>6322</v>
      </c>
      <c r="D2851" t="s">
        <v>385</v>
      </c>
      <c r="E2851" s="133">
        <v>45841</v>
      </c>
      <c r="F2851" s="2">
        <v>0.18960648148148149</v>
      </c>
      <c r="G2851">
        <v>4</v>
      </c>
      <c r="H2851" s="133">
        <v>45840</v>
      </c>
      <c r="I2851" s="2">
        <v>0.6896064814814814</v>
      </c>
      <c r="J2851">
        <v>16</v>
      </c>
      <c r="R2851" t="s">
        <v>30</v>
      </c>
      <c r="W2851">
        <v>1</v>
      </c>
      <c r="X2851" t="s">
        <v>30</v>
      </c>
      <c r="AC2851" t="s">
        <v>6323</v>
      </c>
      <c r="AE2851" s="135"/>
    </row>
    <row r="2852" spans="1:31" ht="14.5" x14ac:dyDescent="0.35">
      <c r="A2852" t="s">
        <v>396</v>
      </c>
      <c r="C2852" t="s">
        <v>6324</v>
      </c>
      <c r="D2852" t="s">
        <v>385</v>
      </c>
      <c r="E2852" s="133">
        <v>45841</v>
      </c>
      <c r="F2852" s="2">
        <v>0.18969907407407408</v>
      </c>
      <c r="G2852">
        <v>4</v>
      </c>
      <c r="H2852" s="133">
        <v>45840</v>
      </c>
      <c r="I2852" s="2">
        <v>0.68969907407407405</v>
      </c>
      <c r="J2852">
        <v>16</v>
      </c>
      <c r="R2852" t="s">
        <v>30</v>
      </c>
      <c r="W2852">
        <v>1</v>
      </c>
      <c r="X2852" t="s">
        <v>30</v>
      </c>
      <c r="AC2852" t="s">
        <v>6325</v>
      </c>
      <c r="AE2852" s="135"/>
    </row>
    <row r="2853" spans="1:31" ht="14.5" x14ac:dyDescent="0.35">
      <c r="A2853" t="s">
        <v>396</v>
      </c>
      <c r="C2853" t="s">
        <v>6326</v>
      </c>
      <c r="D2853" t="s">
        <v>385</v>
      </c>
      <c r="E2853" s="133">
        <v>45841</v>
      </c>
      <c r="F2853" s="2">
        <v>0.1897685185185185</v>
      </c>
      <c r="G2853">
        <v>4</v>
      </c>
      <c r="H2853" s="133">
        <v>45840</v>
      </c>
      <c r="I2853" s="2">
        <v>0.68976851851851861</v>
      </c>
      <c r="J2853">
        <v>16</v>
      </c>
      <c r="R2853" t="s">
        <v>30</v>
      </c>
      <c r="W2853">
        <v>1</v>
      </c>
      <c r="X2853" t="s">
        <v>30</v>
      </c>
      <c r="AC2853" t="s">
        <v>6327</v>
      </c>
      <c r="AE2853" s="135"/>
    </row>
    <row r="2854" spans="1:31" ht="14.5" x14ac:dyDescent="0.35">
      <c r="A2854" t="s">
        <v>396</v>
      </c>
      <c r="C2854" t="s">
        <v>6328</v>
      </c>
      <c r="D2854" t="s">
        <v>385</v>
      </c>
      <c r="E2854" s="133">
        <v>45841</v>
      </c>
      <c r="F2854" s="2">
        <v>0.18986111111111112</v>
      </c>
      <c r="G2854">
        <v>4</v>
      </c>
      <c r="H2854" s="133">
        <v>45840</v>
      </c>
      <c r="I2854" s="2">
        <v>0.68986111111111104</v>
      </c>
      <c r="J2854">
        <v>16</v>
      </c>
      <c r="R2854" t="s">
        <v>30</v>
      </c>
      <c r="W2854">
        <v>1</v>
      </c>
      <c r="X2854" t="s">
        <v>30</v>
      </c>
      <c r="AC2854" t="s">
        <v>6329</v>
      </c>
      <c r="AE2854" s="135"/>
    </row>
    <row r="2855" spans="1:31" ht="14.5" x14ac:dyDescent="0.35">
      <c r="A2855" t="s">
        <v>396</v>
      </c>
      <c r="C2855" t="s">
        <v>6330</v>
      </c>
      <c r="D2855" t="s">
        <v>385</v>
      </c>
      <c r="E2855" s="133">
        <v>45841</v>
      </c>
      <c r="F2855" s="2">
        <v>0.18997685185185187</v>
      </c>
      <c r="G2855">
        <v>4</v>
      </c>
      <c r="H2855" s="133">
        <v>45840</v>
      </c>
      <c r="I2855" s="2">
        <v>0.68997685185185187</v>
      </c>
      <c r="J2855">
        <v>16</v>
      </c>
      <c r="R2855" t="s">
        <v>30</v>
      </c>
      <c r="W2855">
        <v>1</v>
      </c>
      <c r="X2855" t="s">
        <v>30</v>
      </c>
      <c r="AC2855" t="s">
        <v>6331</v>
      </c>
      <c r="AE2855" s="135"/>
    </row>
    <row r="2856" spans="1:31" ht="14.5" x14ac:dyDescent="0.35">
      <c r="A2856" t="s">
        <v>396</v>
      </c>
      <c r="C2856" t="s">
        <v>6332</v>
      </c>
      <c r="D2856" t="s">
        <v>385</v>
      </c>
      <c r="E2856" s="133">
        <v>45841</v>
      </c>
      <c r="F2856" s="2">
        <v>0.19006944444444443</v>
      </c>
      <c r="G2856">
        <v>4</v>
      </c>
      <c r="H2856" s="133">
        <v>45840</v>
      </c>
      <c r="I2856" s="2">
        <v>0.69006944444444451</v>
      </c>
      <c r="J2856">
        <v>16</v>
      </c>
      <c r="R2856" t="s">
        <v>30</v>
      </c>
      <c r="W2856">
        <v>1</v>
      </c>
      <c r="X2856" t="s">
        <v>30</v>
      </c>
      <c r="AC2856" t="s">
        <v>6333</v>
      </c>
      <c r="AE2856" s="135"/>
    </row>
    <row r="2857" spans="1:31" ht="14.5" x14ac:dyDescent="0.35">
      <c r="A2857" t="s">
        <v>396</v>
      </c>
      <c r="C2857" t="s">
        <v>6334</v>
      </c>
      <c r="D2857" t="s">
        <v>385</v>
      </c>
      <c r="E2857" s="133">
        <v>45841</v>
      </c>
      <c r="F2857" s="2">
        <v>0.19018518518518521</v>
      </c>
      <c r="G2857">
        <v>4</v>
      </c>
      <c r="H2857" s="133">
        <v>45840</v>
      </c>
      <c r="I2857" s="2">
        <v>0.69018518518518512</v>
      </c>
      <c r="J2857">
        <v>16</v>
      </c>
      <c r="R2857" t="s">
        <v>30</v>
      </c>
      <c r="W2857">
        <v>1</v>
      </c>
      <c r="X2857" t="s">
        <v>30</v>
      </c>
      <c r="AC2857" t="s">
        <v>6335</v>
      </c>
      <c r="AE2857" s="135"/>
    </row>
    <row r="2858" spans="1:31" ht="14.5" x14ac:dyDescent="0.35">
      <c r="A2858" t="s">
        <v>396</v>
      </c>
      <c r="C2858" t="s">
        <v>6336</v>
      </c>
      <c r="D2858" t="s">
        <v>385</v>
      </c>
      <c r="E2858" s="133">
        <v>45841</v>
      </c>
      <c r="F2858" s="2">
        <v>0.19025462962962961</v>
      </c>
      <c r="G2858">
        <v>4</v>
      </c>
      <c r="H2858" s="133">
        <v>45840</v>
      </c>
      <c r="I2858" s="2">
        <v>0.69025462962962969</v>
      </c>
      <c r="J2858">
        <v>16</v>
      </c>
      <c r="R2858" t="s">
        <v>30</v>
      </c>
      <c r="W2858">
        <v>1</v>
      </c>
      <c r="X2858" t="s">
        <v>30</v>
      </c>
      <c r="AC2858" t="s">
        <v>6337</v>
      </c>
      <c r="AE2858" s="135"/>
    </row>
    <row r="2859" spans="1:31" x14ac:dyDescent="0.25">
      <c r="E2859" s="1"/>
      <c r="F2859" s="2"/>
      <c r="H2859" s="1"/>
      <c r="AE2859" s="135"/>
    </row>
    <row r="2860" spans="1:31" x14ac:dyDescent="0.25">
      <c r="E2860" s="1"/>
      <c r="F2860" s="2"/>
      <c r="H2860" s="1"/>
      <c r="AE2860" s="135"/>
    </row>
    <row r="2861" spans="1:31" x14ac:dyDescent="0.25">
      <c r="E2861" s="1"/>
      <c r="F2861" s="2"/>
      <c r="H2861" s="1"/>
      <c r="AE2861" s="135"/>
    </row>
    <row r="2862" spans="1:31" x14ac:dyDescent="0.25">
      <c r="E2862" s="1"/>
      <c r="F2862" s="2"/>
      <c r="H2862" s="1"/>
      <c r="AE2862" s="135"/>
    </row>
    <row r="2863" spans="1:31" x14ac:dyDescent="0.25">
      <c r="E2863" s="1"/>
      <c r="F2863" s="2"/>
      <c r="H2863" s="1"/>
      <c r="AE2863" s="135"/>
    </row>
    <row r="2864" spans="1:31" x14ac:dyDescent="0.25">
      <c r="E2864" s="1"/>
      <c r="F2864" s="2"/>
      <c r="H2864" s="1"/>
      <c r="AE2864" s="135"/>
    </row>
    <row r="2865" spans="5:31" x14ac:dyDescent="0.25">
      <c r="E2865" s="1"/>
      <c r="F2865" s="2"/>
      <c r="H2865" s="1"/>
      <c r="AE2865" s="135"/>
    </row>
    <row r="2866" spans="5:31" x14ac:dyDescent="0.25">
      <c r="E2866" s="1"/>
      <c r="F2866" s="2"/>
      <c r="H2866" s="1"/>
      <c r="AE2866" s="135"/>
    </row>
    <row r="2867" spans="5:31" x14ac:dyDescent="0.25">
      <c r="E2867" s="1"/>
      <c r="F2867" s="2"/>
      <c r="H2867" s="1"/>
      <c r="AE2867" s="135"/>
    </row>
    <row r="2868" spans="5:31" x14ac:dyDescent="0.25">
      <c r="E2868" s="1"/>
      <c r="F2868" s="2"/>
      <c r="H2868" s="1"/>
      <c r="AE2868" s="135"/>
    </row>
    <row r="2869" spans="5:31" x14ac:dyDescent="0.25">
      <c r="E2869" s="1"/>
      <c r="F2869" s="2"/>
      <c r="H2869" s="1"/>
      <c r="AE2869" s="135"/>
    </row>
    <row r="2870" spans="5:31" x14ac:dyDescent="0.25">
      <c r="E2870" s="1"/>
      <c r="F2870" s="2"/>
      <c r="H2870" s="1"/>
      <c r="AE2870" s="135"/>
    </row>
    <row r="2871" spans="5:31" x14ac:dyDescent="0.25">
      <c r="E2871" s="1"/>
      <c r="F2871" s="2"/>
      <c r="H2871" s="1"/>
      <c r="AE2871" s="135"/>
    </row>
    <row r="2872" spans="5:31" x14ac:dyDescent="0.25">
      <c r="E2872" s="1"/>
      <c r="F2872" s="2"/>
      <c r="H2872" s="1"/>
      <c r="AE2872" s="135"/>
    </row>
    <row r="2873" spans="5:31" x14ac:dyDescent="0.25">
      <c r="E2873" s="1"/>
      <c r="F2873" s="2"/>
      <c r="H2873" s="1"/>
      <c r="AE2873" s="135"/>
    </row>
    <row r="2874" spans="5:31" x14ac:dyDescent="0.25">
      <c r="E2874" s="1"/>
      <c r="F2874" s="2"/>
      <c r="H2874" s="1"/>
      <c r="AE2874" s="135"/>
    </row>
    <row r="2875" spans="5:31" x14ac:dyDescent="0.25">
      <c r="E2875" s="1"/>
      <c r="F2875" s="2"/>
      <c r="H2875" s="1"/>
      <c r="AE2875" s="135"/>
    </row>
    <row r="2876" spans="5:31" x14ac:dyDescent="0.25">
      <c r="E2876" s="1"/>
      <c r="F2876" s="2"/>
      <c r="H2876" s="1"/>
      <c r="AE2876" s="135"/>
    </row>
    <row r="2877" spans="5:31" x14ac:dyDescent="0.25">
      <c r="E2877" s="1"/>
      <c r="F2877" s="2"/>
      <c r="H2877" s="1"/>
      <c r="AE2877" s="135"/>
    </row>
    <row r="2878" spans="5:31" x14ac:dyDescent="0.25">
      <c r="E2878" s="1"/>
      <c r="F2878" s="2"/>
      <c r="H2878" s="1"/>
      <c r="AE2878" s="135"/>
    </row>
    <row r="2879" spans="5:31" x14ac:dyDescent="0.25">
      <c r="E2879" s="1"/>
      <c r="F2879" s="2"/>
      <c r="H2879" s="1"/>
      <c r="AE2879" s="135"/>
    </row>
    <row r="2880" spans="5:31" x14ac:dyDescent="0.25">
      <c r="E2880" s="1"/>
      <c r="F2880" s="2"/>
      <c r="H2880" s="1"/>
      <c r="AE2880" s="135"/>
    </row>
    <row r="2881" spans="5:31" x14ac:dyDescent="0.25">
      <c r="E2881" s="1"/>
      <c r="F2881" s="2"/>
      <c r="H2881" s="1"/>
      <c r="AE2881" s="135"/>
    </row>
    <row r="2882" spans="5:31" x14ac:dyDescent="0.25">
      <c r="E2882" s="1"/>
      <c r="F2882" s="2"/>
      <c r="H2882" s="1"/>
      <c r="AE2882" s="135"/>
    </row>
    <row r="2883" spans="5:31" x14ac:dyDescent="0.25">
      <c r="E2883" s="1"/>
      <c r="F2883" s="2"/>
      <c r="H2883" s="1"/>
      <c r="AE2883" s="135"/>
    </row>
    <row r="2884" spans="5:31" x14ac:dyDescent="0.25">
      <c r="E2884" s="1"/>
      <c r="F2884" s="2"/>
      <c r="H2884" s="1"/>
      <c r="AE2884" s="135"/>
    </row>
    <row r="2885" spans="5:31" x14ac:dyDescent="0.25">
      <c r="E2885" s="1"/>
      <c r="F2885" s="2"/>
      <c r="H2885" s="1"/>
      <c r="AE2885" s="135"/>
    </row>
    <row r="2886" spans="5:31" x14ac:dyDescent="0.25">
      <c r="E2886" s="1"/>
      <c r="F2886" s="2"/>
      <c r="H2886" s="1"/>
      <c r="AE2886" s="135"/>
    </row>
    <row r="2887" spans="5:31" x14ac:dyDescent="0.25">
      <c r="E2887" s="1"/>
      <c r="F2887" s="2"/>
      <c r="H2887" s="1"/>
      <c r="AE2887" s="135"/>
    </row>
    <row r="2888" spans="5:31" x14ac:dyDescent="0.25">
      <c r="E2888" s="1"/>
      <c r="F2888" s="2"/>
      <c r="H2888" s="1"/>
      <c r="AE2888" s="135"/>
    </row>
    <row r="2889" spans="5:31" x14ac:dyDescent="0.25">
      <c r="E2889" s="1"/>
      <c r="F2889" s="2"/>
      <c r="H2889" s="1"/>
      <c r="AE2889" s="135"/>
    </row>
    <row r="2890" spans="5:31" x14ac:dyDescent="0.25">
      <c r="E2890" s="1"/>
      <c r="F2890" s="2"/>
      <c r="H2890" s="1"/>
      <c r="AE2890" s="135"/>
    </row>
    <row r="2891" spans="5:31" x14ac:dyDescent="0.25">
      <c r="E2891" s="1"/>
      <c r="F2891" s="2"/>
      <c r="H2891" s="1"/>
      <c r="AE2891" s="135"/>
    </row>
    <row r="2892" spans="5:31" x14ac:dyDescent="0.25">
      <c r="E2892" s="1"/>
      <c r="F2892" s="2"/>
      <c r="H2892" s="1"/>
      <c r="AE2892" s="135"/>
    </row>
    <row r="2893" spans="5:31" x14ac:dyDescent="0.25">
      <c r="E2893" s="1"/>
      <c r="F2893" s="2"/>
      <c r="H2893" s="1"/>
      <c r="AE2893" s="135"/>
    </row>
    <row r="2894" spans="5:31" x14ac:dyDescent="0.25">
      <c r="E2894" s="1"/>
      <c r="F2894" s="2"/>
      <c r="H2894" s="1"/>
      <c r="AE2894" s="135"/>
    </row>
    <row r="2895" spans="5:31" x14ac:dyDescent="0.25">
      <c r="E2895" s="1"/>
      <c r="F2895" s="2"/>
      <c r="H2895" s="1"/>
      <c r="AE2895" s="135"/>
    </row>
    <row r="2896" spans="5:31" x14ac:dyDescent="0.25">
      <c r="E2896" s="1"/>
      <c r="F2896" s="2"/>
      <c r="H2896" s="1"/>
      <c r="AE2896" s="135"/>
    </row>
    <row r="2897" spans="5:31" x14ac:dyDescent="0.25">
      <c r="E2897" s="1"/>
      <c r="F2897" s="2"/>
      <c r="H2897" s="1"/>
      <c r="AE2897" s="135"/>
    </row>
    <row r="2898" spans="5:31" x14ac:dyDescent="0.25">
      <c r="E2898" s="1"/>
      <c r="F2898" s="2"/>
      <c r="H2898" s="1"/>
      <c r="AE2898" s="135"/>
    </row>
    <row r="2899" spans="5:31" x14ac:dyDescent="0.25">
      <c r="E2899" s="1"/>
      <c r="F2899" s="2"/>
      <c r="H2899" s="1"/>
      <c r="AE2899" s="135"/>
    </row>
    <row r="2900" spans="5:31" x14ac:dyDescent="0.25">
      <c r="E2900" s="1"/>
      <c r="F2900" s="2"/>
      <c r="H2900" s="1"/>
      <c r="AE2900" s="135"/>
    </row>
    <row r="2901" spans="5:31" x14ac:dyDescent="0.25">
      <c r="E2901" s="1"/>
      <c r="F2901" s="2"/>
      <c r="H2901" s="1"/>
      <c r="AE2901" s="135"/>
    </row>
    <row r="2902" spans="5:31" x14ac:dyDescent="0.25">
      <c r="E2902" s="1"/>
      <c r="F2902" s="2"/>
      <c r="H2902" s="1"/>
      <c r="AE2902" s="135"/>
    </row>
    <row r="2903" spans="5:31" x14ac:dyDescent="0.25">
      <c r="E2903" s="1"/>
      <c r="F2903" s="2"/>
      <c r="H2903" s="1"/>
      <c r="AE2903" s="135"/>
    </row>
    <row r="2904" spans="5:31" x14ac:dyDescent="0.25">
      <c r="E2904" s="1"/>
      <c r="F2904" s="2"/>
      <c r="H2904" s="1"/>
      <c r="AE2904" s="135"/>
    </row>
    <row r="2905" spans="5:31" x14ac:dyDescent="0.25">
      <c r="E2905" s="1"/>
      <c r="F2905" s="2"/>
      <c r="H2905" s="1"/>
      <c r="AE2905" s="135"/>
    </row>
    <row r="2906" spans="5:31" x14ac:dyDescent="0.25">
      <c r="E2906" s="1"/>
      <c r="F2906" s="2"/>
      <c r="H2906" s="1"/>
      <c r="AE2906" s="135"/>
    </row>
    <row r="2907" spans="5:31" x14ac:dyDescent="0.25">
      <c r="E2907" s="1"/>
      <c r="F2907" s="2"/>
      <c r="H2907" s="1"/>
      <c r="AE2907" s="135"/>
    </row>
    <row r="2908" spans="5:31" x14ac:dyDescent="0.25">
      <c r="E2908" s="1"/>
      <c r="F2908" s="2"/>
      <c r="H2908" s="1"/>
      <c r="AE2908" s="135"/>
    </row>
    <row r="2909" spans="5:31" x14ac:dyDescent="0.25">
      <c r="E2909" s="1"/>
      <c r="F2909" s="2"/>
      <c r="H2909" s="1"/>
      <c r="AE2909" s="135"/>
    </row>
    <row r="2910" spans="5:31" x14ac:dyDescent="0.25">
      <c r="E2910" s="1"/>
      <c r="F2910" s="2"/>
      <c r="H2910" s="1"/>
      <c r="AE2910" s="135"/>
    </row>
    <row r="2911" spans="5:31" x14ac:dyDescent="0.25">
      <c r="E2911" s="1"/>
      <c r="F2911" s="2"/>
      <c r="H2911" s="1"/>
      <c r="AE2911" s="135"/>
    </row>
    <row r="2912" spans="5:31" x14ac:dyDescent="0.25">
      <c r="E2912" s="1"/>
      <c r="F2912" s="2"/>
      <c r="H2912" s="1"/>
      <c r="AE2912" s="135"/>
    </row>
    <row r="2913" spans="5:31" x14ac:dyDescent="0.25">
      <c r="E2913" s="1"/>
      <c r="F2913" s="2"/>
      <c r="H2913" s="1"/>
      <c r="AE2913" s="135"/>
    </row>
    <row r="2914" spans="5:31" x14ac:dyDescent="0.25">
      <c r="E2914" s="1"/>
      <c r="F2914" s="2"/>
      <c r="H2914" s="1"/>
      <c r="AE2914" s="135"/>
    </row>
    <row r="2915" spans="5:31" x14ac:dyDescent="0.25">
      <c r="E2915" s="1"/>
      <c r="F2915" s="2"/>
      <c r="H2915" s="1"/>
      <c r="AE2915" s="135"/>
    </row>
    <row r="2916" spans="5:31" x14ac:dyDescent="0.25">
      <c r="E2916" s="1"/>
      <c r="F2916" s="2"/>
      <c r="H2916" s="1"/>
      <c r="AE2916" s="135"/>
    </row>
    <row r="2917" spans="5:31" x14ac:dyDescent="0.25">
      <c r="E2917" s="1"/>
      <c r="F2917" s="2"/>
      <c r="H2917" s="1"/>
      <c r="AE2917" s="135"/>
    </row>
    <row r="2918" spans="5:31" x14ac:dyDescent="0.25">
      <c r="E2918" s="1"/>
      <c r="F2918" s="2"/>
      <c r="H2918" s="1"/>
      <c r="AE2918" s="135"/>
    </row>
    <row r="2919" spans="5:31" x14ac:dyDescent="0.25">
      <c r="E2919" s="1"/>
      <c r="F2919" s="2"/>
      <c r="H2919" s="1"/>
      <c r="AE2919" s="135"/>
    </row>
    <row r="2920" spans="5:31" x14ac:dyDescent="0.25">
      <c r="E2920" s="1"/>
      <c r="F2920" s="2"/>
      <c r="H2920" s="1"/>
      <c r="AE2920" s="135"/>
    </row>
    <row r="2921" spans="5:31" x14ac:dyDescent="0.25">
      <c r="E2921" s="1"/>
      <c r="F2921" s="2"/>
      <c r="H2921" s="1"/>
      <c r="AE2921" s="135"/>
    </row>
    <row r="2922" spans="5:31" x14ac:dyDescent="0.25">
      <c r="E2922" s="1"/>
      <c r="F2922" s="2"/>
      <c r="H2922" s="1"/>
      <c r="AE2922" s="135"/>
    </row>
    <row r="2923" spans="5:31" x14ac:dyDescent="0.25">
      <c r="E2923" s="1"/>
      <c r="F2923" s="2"/>
      <c r="H2923" s="1"/>
      <c r="AE2923" s="135"/>
    </row>
    <row r="2924" spans="5:31" x14ac:dyDescent="0.25">
      <c r="E2924" s="1"/>
      <c r="F2924" s="2"/>
      <c r="H2924" s="1"/>
      <c r="AE2924" s="135"/>
    </row>
    <row r="2925" spans="5:31" x14ac:dyDescent="0.25">
      <c r="E2925" s="1"/>
      <c r="F2925" s="2"/>
      <c r="H2925" s="1"/>
      <c r="AE2925" s="135"/>
    </row>
    <row r="2926" spans="5:31" x14ac:dyDescent="0.25">
      <c r="E2926" s="1"/>
      <c r="F2926" s="2"/>
      <c r="H2926" s="1"/>
      <c r="AE2926" s="135"/>
    </row>
    <row r="2927" spans="5:31" x14ac:dyDescent="0.25">
      <c r="E2927" s="1"/>
      <c r="F2927" s="2"/>
      <c r="H2927" s="1"/>
      <c r="AE2927" s="135"/>
    </row>
    <row r="2928" spans="5:31" x14ac:dyDescent="0.25">
      <c r="E2928" s="1"/>
      <c r="F2928" s="2"/>
      <c r="H2928" s="1"/>
      <c r="AE2928" s="135"/>
    </row>
    <row r="2929" spans="5:31" x14ac:dyDescent="0.25">
      <c r="E2929" s="1"/>
      <c r="F2929" s="2"/>
      <c r="H2929" s="1"/>
      <c r="AE2929" s="135"/>
    </row>
    <row r="2930" spans="5:31" x14ac:dyDescent="0.25">
      <c r="E2930" s="1"/>
      <c r="F2930" s="2"/>
      <c r="H2930" s="1"/>
      <c r="AE2930" s="135"/>
    </row>
    <row r="2931" spans="5:31" x14ac:dyDescent="0.25">
      <c r="E2931" s="1"/>
      <c r="F2931" s="2"/>
      <c r="H2931" s="1"/>
      <c r="AE2931" s="135"/>
    </row>
    <row r="2932" spans="5:31" x14ac:dyDescent="0.25">
      <c r="E2932" s="1"/>
      <c r="F2932" s="2"/>
      <c r="H2932" s="1"/>
      <c r="AE2932" s="135"/>
    </row>
    <row r="2933" spans="5:31" x14ac:dyDescent="0.25">
      <c r="E2933" s="1"/>
      <c r="F2933" s="2"/>
      <c r="H2933" s="1"/>
      <c r="AE2933" s="135"/>
    </row>
    <row r="2934" spans="5:31" x14ac:dyDescent="0.25">
      <c r="E2934" s="1"/>
      <c r="F2934" s="2"/>
      <c r="H2934" s="1"/>
      <c r="AE2934" s="135"/>
    </row>
    <row r="2935" spans="5:31" x14ac:dyDescent="0.25">
      <c r="E2935" s="1"/>
      <c r="F2935" s="2"/>
      <c r="H2935" s="1"/>
      <c r="AE2935" s="135"/>
    </row>
    <row r="2936" spans="5:31" x14ac:dyDescent="0.25">
      <c r="E2936" s="1"/>
      <c r="F2936" s="2"/>
      <c r="H2936" s="1"/>
      <c r="AE2936" s="135"/>
    </row>
    <row r="2937" spans="5:31" x14ac:dyDescent="0.25">
      <c r="E2937" s="1"/>
      <c r="F2937" s="2"/>
      <c r="H2937" s="1"/>
      <c r="AE2937" s="135"/>
    </row>
    <row r="2938" spans="5:31" x14ac:dyDescent="0.25">
      <c r="E2938" s="1"/>
      <c r="F2938" s="2"/>
      <c r="H2938" s="1"/>
      <c r="AE2938" s="135"/>
    </row>
    <row r="2939" spans="5:31" x14ac:dyDescent="0.25">
      <c r="E2939" s="1"/>
      <c r="F2939" s="2"/>
      <c r="H2939" s="1"/>
      <c r="AE2939" s="135"/>
    </row>
    <row r="2940" spans="5:31" x14ac:dyDescent="0.25">
      <c r="E2940" s="1"/>
      <c r="F2940" s="2"/>
      <c r="H2940" s="1"/>
      <c r="AE2940" s="135"/>
    </row>
    <row r="2941" spans="5:31" x14ac:dyDescent="0.25">
      <c r="E2941" s="1"/>
      <c r="F2941" s="2"/>
      <c r="H2941" s="1"/>
      <c r="AE2941" s="135"/>
    </row>
    <row r="2942" spans="5:31" x14ac:dyDescent="0.25">
      <c r="E2942" s="1"/>
      <c r="F2942" s="2"/>
      <c r="H2942" s="1"/>
      <c r="AE2942" s="135"/>
    </row>
    <row r="2943" spans="5:31" x14ac:dyDescent="0.25">
      <c r="E2943" s="1"/>
      <c r="F2943" s="2"/>
      <c r="H2943" s="1"/>
      <c r="AE2943" s="135"/>
    </row>
    <row r="2944" spans="5:31" x14ac:dyDescent="0.25">
      <c r="E2944" s="1"/>
      <c r="F2944" s="2"/>
      <c r="H2944" s="1"/>
      <c r="AE2944" s="135"/>
    </row>
    <row r="2945" spans="5:31" x14ac:dyDescent="0.25">
      <c r="E2945" s="1"/>
      <c r="F2945" s="2"/>
      <c r="H2945" s="1"/>
      <c r="AE2945" s="135"/>
    </row>
    <row r="2946" spans="5:31" x14ac:dyDescent="0.25">
      <c r="E2946" s="1"/>
      <c r="F2946" s="2"/>
      <c r="H2946" s="1"/>
      <c r="AE2946" s="135"/>
    </row>
    <row r="2947" spans="5:31" x14ac:dyDescent="0.25">
      <c r="E2947" s="1"/>
      <c r="F2947" s="2"/>
      <c r="H2947" s="1"/>
      <c r="AE2947" s="135"/>
    </row>
    <row r="2948" spans="5:31" x14ac:dyDescent="0.25">
      <c r="E2948" s="1"/>
      <c r="F2948" s="2"/>
      <c r="H2948" s="1"/>
      <c r="AE2948" s="135"/>
    </row>
    <row r="2949" spans="5:31" x14ac:dyDescent="0.25">
      <c r="E2949" s="1"/>
      <c r="F2949" s="2"/>
      <c r="H2949" s="1"/>
      <c r="AE2949" s="135"/>
    </row>
    <row r="2950" spans="5:31" x14ac:dyDescent="0.25">
      <c r="E2950" s="1"/>
      <c r="F2950" s="2"/>
      <c r="H2950" s="1"/>
      <c r="AE2950" s="135"/>
    </row>
    <row r="2951" spans="5:31" x14ac:dyDescent="0.25">
      <c r="E2951" s="1"/>
      <c r="F2951" s="2"/>
      <c r="H2951" s="1"/>
      <c r="AE2951" s="135"/>
    </row>
    <row r="2952" spans="5:31" x14ac:dyDescent="0.25">
      <c r="E2952" s="1"/>
      <c r="F2952" s="2"/>
      <c r="H2952" s="1"/>
      <c r="AE2952" s="135"/>
    </row>
    <row r="2953" spans="5:31" x14ac:dyDescent="0.25">
      <c r="E2953" s="1"/>
      <c r="F2953" s="2"/>
      <c r="H2953" s="1"/>
      <c r="AE2953" s="135"/>
    </row>
    <row r="2954" spans="5:31" x14ac:dyDescent="0.25">
      <c r="E2954" s="1"/>
      <c r="F2954" s="2"/>
      <c r="H2954" s="1"/>
      <c r="AE2954" s="135"/>
    </row>
    <row r="2955" spans="5:31" x14ac:dyDescent="0.25">
      <c r="E2955" s="1"/>
      <c r="F2955" s="2"/>
      <c r="H2955" s="1"/>
      <c r="AE2955" s="135"/>
    </row>
    <row r="2956" spans="5:31" x14ac:dyDescent="0.25">
      <c r="E2956" s="1"/>
      <c r="F2956" s="2"/>
      <c r="H2956" s="1"/>
      <c r="AE2956" s="135"/>
    </row>
    <row r="2957" spans="5:31" x14ac:dyDescent="0.25">
      <c r="E2957" s="1"/>
      <c r="F2957" s="2"/>
      <c r="H2957" s="1"/>
      <c r="AE2957" s="135"/>
    </row>
    <row r="2958" spans="5:31" x14ac:dyDescent="0.25">
      <c r="E2958" s="1"/>
      <c r="F2958" s="2"/>
      <c r="H2958" s="1"/>
      <c r="AE2958" s="135"/>
    </row>
    <row r="2959" spans="5:31" x14ac:dyDescent="0.25">
      <c r="E2959" s="1"/>
      <c r="F2959" s="2"/>
      <c r="H2959" s="1"/>
      <c r="AE2959" s="135"/>
    </row>
    <row r="2960" spans="5:31" x14ac:dyDescent="0.25">
      <c r="E2960" s="1"/>
      <c r="F2960" s="2"/>
      <c r="H2960" s="1"/>
      <c r="AE2960" s="135"/>
    </row>
    <row r="2961" spans="5:31" x14ac:dyDescent="0.25">
      <c r="E2961" s="1"/>
      <c r="F2961" s="2"/>
      <c r="H2961" s="1"/>
      <c r="AE2961" s="135"/>
    </row>
    <row r="2962" spans="5:31" x14ac:dyDescent="0.25">
      <c r="E2962" s="1"/>
      <c r="F2962" s="2"/>
      <c r="H2962" s="1"/>
      <c r="AE2962" s="135"/>
    </row>
    <row r="2963" spans="5:31" x14ac:dyDescent="0.25">
      <c r="E2963" s="1"/>
      <c r="F2963" s="2"/>
      <c r="H2963" s="1"/>
      <c r="AE2963" s="135"/>
    </row>
    <row r="2964" spans="5:31" x14ac:dyDescent="0.25">
      <c r="E2964" s="1"/>
      <c r="F2964" s="2"/>
      <c r="H2964" s="1"/>
      <c r="AE2964" s="135"/>
    </row>
    <row r="2965" spans="5:31" x14ac:dyDescent="0.25">
      <c r="E2965" s="1"/>
      <c r="F2965" s="2"/>
      <c r="H2965" s="1"/>
      <c r="AE2965" s="135"/>
    </row>
    <row r="2966" spans="5:31" x14ac:dyDescent="0.25">
      <c r="E2966" s="1"/>
      <c r="F2966" s="2"/>
      <c r="H2966" s="1"/>
      <c r="AE2966" s="135"/>
    </row>
    <row r="2967" spans="5:31" x14ac:dyDescent="0.25">
      <c r="E2967" s="1"/>
      <c r="F2967" s="2"/>
      <c r="H2967" s="1"/>
      <c r="AE2967" s="135"/>
    </row>
    <row r="2968" spans="5:31" x14ac:dyDescent="0.25">
      <c r="E2968" s="1"/>
      <c r="F2968" s="2"/>
      <c r="H2968" s="1"/>
      <c r="AE2968" s="135"/>
    </row>
    <row r="2969" spans="5:31" x14ac:dyDescent="0.25">
      <c r="E2969" s="1"/>
      <c r="F2969" s="2"/>
      <c r="H2969" s="1"/>
      <c r="AE2969" s="135"/>
    </row>
    <row r="2970" spans="5:31" x14ac:dyDescent="0.25">
      <c r="E2970" s="1"/>
      <c r="F2970" s="2"/>
      <c r="H2970" s="1"/>
      <c r="AE2970" s="135"/>
    </row>
    <row r="2971" spans="5:31" x14ac:dyDescent="0.25">
      <c r="E2971" s="1"/>
      <c r="F2971" s="2"/>
      <c r="H2971" s="1"/>
      <c r="AE2971" s="135"/>
    </row>
    <row r="2972" spans="5:31" x14ac:dyDescent="0.25">
      <c r="E2972" s="1"/>
      <c r="F2972" s="2"/>
      <c r="H2972" s="1"/>
      <c r="AE2972" s="135"/>
    </row>
    <row r="2973" spans="5:31" x14ac:dyDescent="0.25">
      <c r="E2973" s="1"/>
      <c r="F2973" s="2"/>
      <c r="H2973" s="1"/>
      <c r="AE2973" s="135"/>
    </row>
    <row r="2974" spans="5:31" x14ac:dyDescent="0.25">
      <c r="E2974" s="1"/>
      <c r="F2974" s="2"/>
      <c r="H2974" s="1"/>
      <c r="AE2974" s="135"/>
    </row>
    <row r="2975" spans="5:31" x14ac:dyDescent="0.25">
      <c r="E2975" s="1"/>
      <c r="F2975" s="2"/>
      <c r="H2975" s="1"/>
      <c r="AE2975" s="135"/>
    </row>
    <row r="2976" spans="5:31" x14ac:dyDescent="0.25">
      <c r="E2976" s="1"/>
      <c r="F2976" s="2"/>
      <c r="H2976" s="1"/>
      <c r="AE2976" s="135"/>
    </row>
    <row r="2977" spans="5:31" x14ac:dyDescent="0.25">
      <c r="E2977" s="1"/>
      <c r="F2977" s="2"/>
      <c r="H2977" s="1"/>
      <c r="AE2977" s="135"/>
    </row>
    <row r="2978" spans="5:31" x14ac:dyDescent="0.25">
      <c r="E2978" s="1"/>
      <c r="F2978" s="2"/>
      <c r="H2978" s="1"/>
      <c r="AE2978" s="135"/>
    </row>
    <row r="2979" spans="5:31" x14ac:dyDescent="0.25">
      <c r="E2979" s="1"/>
      <c r="F2979" s="2"/>
      <c r="H2979" s="1"/>
      <c r="AE2979" s="135"/>
    </row>
    <row r="2980" spans="5:31" x14ac:dyDescent="0.25">
      <c r="E2980" s="1"/>
      <c r="F2980" s="2"/>
      <c r="H2980" s="1"/>
      <c r="AE2980" s="135"/>
    </row>
    <row r="2981" spans="5:31" x14ac:dyDescent="0.25">
      <c r="E2981" s="1"/>
      <c r="F2981" s="2"/>
      <c r="H2981" s="1"/>
      <c r="AE2981" s="135"/>
    </row>
    <row r="2982" spans="5:31" x14ac:dyDescent="0.25">
      <c r="E2982" s="1"/>
      <c r="F2982" s="2"/>
      <c r="H2982" s="1"/>
      <c r="AE2982" s="135"/>
    </row>
    <row r="2983" spans="5:31" x14ac:dyDescent="0.25">
      <c r="E2983" s="1"/>
      <c r="F2983" s="2"/>
      <c r="H2983" s="1"/>
      <c r="AE2983" s="135"/>
    </row>
    <row r="2984" spans="5:31" x14ac:dyDescent="0.25">
      <c r="E2984" s="1"/>
      <c r="F2984" s="2"/>
      <c r="H2984" s="1"/>
      <c r="AE2984" s="135"/>
    </row>
    <row r="2985" spans="5:31" x14ac:dyDescent="0.25">
      <c r="E2985" s="1"/>
      <c r="F2985" s="2"/>
      <c r="H2985" s="1"/>
      <c r="AE2985" s="135"/>
    </row>
    <row r="2986" spans="5:31" x14ac:dyDescent="0.25">
      <c r="E2986" s="1"/>
      <c r="F2986" s="2"/>
      <c r="H2986" s="1"/>
      <c r="AE2986" s="135"/>
    </row>
    <row r="2987" spans="5:31" x14ac:dyDescent="0.25">
      <c r="E2987" s="1"/>
      <c r="F2987" s="2"/>
      <c r="H2987" s="1"/>
      <c r="AE2987" s="135"/>
    </row>
    <row r="2988" spans="5:31" x14ac:dyDescent="0.25">
      <c r="E2988" s="1"/>
      <c r="F2988" s="2"/>
      <c r="H2988" s="1"/>
      <c r="AE2988" s="135"/>
    </row>
    <row r="2989" spans="5:31" x14ac:dyDescent="0.25">
      <c r="E2989" s="1"/>
      <c r="F2989" s="2"/>
      <c r="H2989" s="1"/>
      <c r="AE2989" s="135"/>
    </row>
    <row r="2990" spans="5:31" x14ac:dyDescent="0.25">
      <c r="E2990" s="1"/>
      <c r="F2990" s="2"/>
      <c r="H2990" s="1"/>
      <c r="AE2990" s="135"/>
    </row>
    <row r="2991" spans="5:31" x14ac:dyDescent="0.25">
      <c r="E2991" s="1"/>
      <c r="F2991" s="2"/>
      <c r="H2991" s="1"/>
      <c r="AE2991" s="135"/>
    </row>
    <row r="2992" spans="5:31" x14ac:dyDescent="0.25">
      <c r="E2992" s="1"/>
      <c r="F2992" s="2"/>
      <c r="H2992" s="1"/>
      <c r="AE2992" s="135"/>
    </row>
    <row r="2993" spans="5:31" x14ac:dyDescent="0.25">
      <c r="E2993" s="1"/>
      <c r="F2993" s="2"/>
      <c r="H2993" s="1"/>
      <c r="AE2993" s="135"/>
    </row>
    <row r="2994" spans="5:31" x14ac:dyDescent="0.25">
      <c r="E2994" s="1"/>
      <c r="F2994" s="2"/>
      <c r="H2994" s="1"/>
      <c r="AE2994" s="135"/>
    </row>
    <row r="2995" spans="5:31" x14ac:dyDescent="0.25">
      <c r="E2995" s="1"/>
      <c r="F2995" s="2"/>
      <c r="H2995" s="1"/>
      <c r="AE2995" s="135"/>
    </row>
    <row r="2996" spans="5:31" x14ac:dyDescent="0.25">
      <c r="E2996" s="1"/>
      <c r="F2996" s="2"/>
      <c r="H2996" s="1"/>
      <c r="AE2996" s="135"/>
    </row>
    <row r="2997" spans="5:31" x14ac:dyDescent="0.25">
      <c r="E2997" s="1"/>
      <c r="F2997" s="2"/>
      <c r="H2997" s="1"/>
      <c r="AE2997" s="135"/>
    </row>
    <row r="2998" spans="5:31" x14ac:dyDescent="0.25">
      <c r="E2998" s="1"/>
      <c r="F2998" s="2"/>
      <c r="H2998" s="1"/>
      <c r="AE2998" s="135"/>
    </row>
    <row r="2999" spans="5:31" x14ac:dyDescent="0.25">
      <c r="E2999" s="1"/>
      <c r="F2999" s="2"/>
      <c r="H2999" s="1"/>
      <c r="AE2999" s="135"/>
    </row>
    <row r="3000" spans="5:31" x14ac:dyDescent="0.25">
      <c r="E3000" s="1"/>
      <c r="F3000" s="2"/>
      <c r="H3000" s="1"/>
      <c r="AE3000" s="135"/>
    </row>
    <row r="3001" spans="5:31" x14ac:dyDescent="0.25">
      <c r="E3001" s="1"/>
      <c r="F3001" s="2"/>
      <c r="H3001" s="1"/>
      <c r="AE3001" s="135"/>
    </row>
    <row r="3002" spans="5:31" x14ac:dyDescent="0.25">
      <c r="E3002" s="1"/>
      <c r="F3002" s="2"/>
      <c r="H3002" s="1"/>
      <c r="AE3002" s="135"/>
    </row>
    <row r="3003" spans="5:31" x14ac:dyDescent="0.25">
      <c r="E3003" s="1"/>
      <c r="F3003" s="2"/>
      <c r="H3003" s="1"/>
      <c r="AE3003" s="135"/>
    </row>
    <row r="3004" spans="5:31" x14ac:dyDescent="0.25">
      <c r="E3004" s="1"/>
      <c r="F3004" s="2"/>
      <c r="H3004" s="1"/>
      <c r="AE3004" s="135"/>
    </row>
    <row r="3005" spans="5:31" x14ac:dyDescent="0.25">
      <c r="E3005" s="1"/>
      <c r="F3005" s="2"/>
      <c r="H3005" s="1"/>
      <c r="AE3005" s="135"/>
    </row>
    <row r="3006" spans="5:31" x14ac:dyDescent="0.25">
      <c r="E3006" s="1"/>
      <c r="F3006" s="2"/>
      <c r="H3006" s="1"/>
      <c r="AE3006" s="135"/>
    </row>
    <row r="3007" spans="5:31" x14ac:dyDescent="0.25">
      <c r="E3007" s="1"/>
      <c r="F3007" s="2"/>
      <c r="H3007" s="1"/>
      <c r="AE3007" s="135"/>
    </row>
    <row r="3008" spans="5:31" x14ac:dyDescent="0.25">
      <c r="E3008" s="1"/>
      <c r="F3008" s="2"/>
      <c r="H3008" s="1"/>
      <c r="AE3008" s="135"/>
    </row>
    <row r="3009" spans="5:31" x14ac:dyDescent="0.25">
      <c r="E3009" s="1"/>
      <c r="F3009" s="2"/>
      <c r="H3009" s="1"/>
      <c r="AE3009" s="135"/>
    </row>
    <row r="3010" spans="5:31" x14ac:dyDescent="0.25">
      <c r="E3010" s="1"/>
      <c r="F3010" s="2"/>
      <c r="H3010" s="1"/>
      <c r="AE3010" s="135"/>
    </row>
    <row r="3011" spans="5:31" x14ac:dyDescent="0.25">
      <c r="E3011" s="1"/>
      <c r="F3011" s="2"/>
      <c r="H3011" s="1"/>
      <c r="AE3011" s="135"/>
    </row>
    <row r="3012" spans="5:31" x14ac:dyDescent="0.25">
      <c r="E3012" s="1"/>
      <c r="F3012" s="2"/>
      <c r="H3012" s="1"/>
      <c r="AE3012" s="135"/>
    </row>
    <row r="3013" spans="5:31" x14ac:dyDescent="0.25">
      <c r="E3013" s="1"/>
      <c r="F3013" s="2"/>
      <c r="H3013" s="1"/>
      <c r="AE3013" s="135"/>
    </row>
    <row r="3014" spans="5:31" x14ac:dyDescent="0.25">
      <c r="E3014" s="1"/>
      <c r="F3014" s="2"/>
      <c r="H3014" s="1"/>
      <c r="AE3014" s="135"/>
    </row>
    <row r="3015" spans="5:31" x14ac:dyDescent="0.25">
      <c r="E3015" s="1"/>
      <c r="F3015" s="2"/>
      <c r="H3015" s="1"/>
      <c r="AE3015" s="135"/>
    </row>
    <row r="3016" spans="5:31" x14ac:dyDescent="0.25">
      <c r="E3016" s="1"/>
      <c r="F3016" s="2"/>
      <c r="H3016" s="1"/>
      <c r="AE3016" s="135"/>
    </row>
    <row r="3017" spans="5:31" x14ac:dyDescent="0.25">
      <c r="E3017" s="1"/>
      <c r="F3017" s="2"/>
      <c r="H3017" s="1"/>
      <c r="AE3017" s="135"/>
    </row>
    <row r="3018" spans="5:31" x14ac:dyDescent="0.25">
      <c r="E3018" s="1"/>
      <c r="F3018" s="2"/>
      <c r="H3018" s="1"/>
      <c r="AE3018" s="135"/>
    </row>
    <row r="3019" spans="5:31" x14ac:dyDescent="0.25">
      <c r="E3019" s="1"/>
      <c r="F3019" s="2"/>
      <c r="H3019" s="1"/>
      <c r="AE3019" s="135"/>
    </row>
    <row r="3020" spans="5:31" x14ac:dyDescent="0.25">
      <c r="E3020" s="1"/>
      <c r="F3020" s="2"/>
      <c r="H3020" s="1"/>
      <c r="AE3020" s="135"/>
    </row>
    <row r="3021" spans="5:31" x14ac:dyDescent="0.25">
      <c r="E3021" s="1"/>
      <c r="F3021" s="2"/>
      <c r="H3021" s="1"/>
      <c r="AE3021" s="135"/>
    </row>
    <row r="3022" spans="5:31" x14ac:dyDescent="0.25">
      <c r="E3022" s="1"/>
      <c r="F3022" s="2"/>
      <c r="H3022" s="1"/>
      <c r="AE3022" s="135"/>
    </row>
    <row r="3023" spans="5:31" x14ac:dyDescent="0.25">
      <c r="E3023" s="1"/>
      <c r="F3023" s="2"/>
      <c r="H3023" s="1"/>
      <c r="AE3023" s="135"/>
    </row>
    <row r="3024" spans="5:31" x14ac:dyDescent="0.25">
      <c r="E3024" s="1"/>
      <c r="F3024" s="2"/>
      <c r="H3024" s="1"/>
      <c r="AE3024" s="135"/>
    </row>
    <row r="3025" spans="5:31" x14ac:dyDescent="0.25">
      <c r="E3025" s="1"/>
      <c r="F3025" s="2"/>
      <c r="H3025" s="1"/>
      <c r="AE3025" s="135"/>
    </row>
    <row r="3026" spans="5:31" x14ac:dyDescent="0.25">
      <c r="E3026" s="1"/>
      <c r="F3026" s="2"/>
      <c r="H3026" s="1"/>
      <c r="AE3026" s="135"/>
    </row>
    <row r="3027" spans="5:31" x14ac:dyDescent="0.25">
      <c r="E3027" s="1"/>
      <c r="F3027" s="2"/>
      <c r="H3027" s="1"/>
      <c r="AE3027" s="135"/>
    </row>
    <row r="3028" spans="5:31" x14ac:dyDescent="0.25">
      <c r="E3028" s="1"/>
      <c r="F3028" s="2"/>
      <c r="H3028" s="1"/>
      <c r="AE3028" s="135"/>
    </row>
    <row r="3029" spans="5:31" x14ac:dyDescent="0.25">
      <c r="E3029" s="1"/>
      <c r="F3029" s="2"/>
      <c r="H3029" s="1"/>
      <c r="AE3029" s="135"/>
    </row>
    <row r="3030" spans="5:31" x14ac:dyDescent="0.25">
      <c r="E3030" s="1"/>
      <c r="F3030" s="2"/>
      <c r="H3030" s="1"/>
      <c r="AE3030" s="135"/>
    </row>
    <row r="3031" spans="5:31" x14ac:dyDescent="0.25">
      <c r="E3031" s="1"/>
      <c r="F3031" s="2"/>
      <c r="H3031" s="1"/>
      <c r="AE3031" s="135"/>
    </row>
    <row r="3032" spans="5:31" x14ac:dyDescent="0.25">
      <c r="E3032" s="1"/>
      <c r="F3032" s="2"/>
      <c r="H3032" s="1"/>
      <c r="AE3032" s="135"/>
    </row>
    <row r="3033" spans="5:31" x14ac:dyDescent="0.25">
      <c r="E3033" s="1"/>
      <c r="F3033" s="2"/>
      <c r="H3033" s="1"/>
      <c r="AE3033" s="135"/>
    </row>
    <row r="3034" spans="5:31" x14ac:dyDescent="0.25">
      <c r="E3034" s="1"/>
      <c r="F3034" s="2"/>
      <c r="H3034" s="1"/>
      <c r="AE3034" s="135"/>
    </row>
    <row r="3035" spans="5:31" x14ac:dyDescent="0.25">
      <c r="E3035" s="1"/>
      <c r="F3035" s="2"/>
      <c r="H3035" s="1"/>
      <c r="AE3035" s="135"/>
    </row>
    <row r="3036" spans="5:31" x14ac:dyDescent="0.25">
      <c r="E3036" s="1"/>
      <c r="F3036" s="2"/>
      <c r="H3036" s="1"/>
      <c r="AE3036" s="135"/>
    </row>
    <row r="3037" spans="5:31" x14ac:dyDescent="0.25">
      <c r="E3037" s="1"/>
      <c r="F3037" s="2"/>
      <c r="H3037" s="1"/>
      <c r="AE3037" s="135"/>
    </row>
    <row r="3038" spans="5:31" x14ac:dyDescent="0.25">
      <c r="E3038" s="1"/>
      <c r="F3038" s="2"/>
      <c r="H3038" s="1"/>
      <c r="AE3038" s="135"/>
    </row>
    <row r="3039" spans="5:31" x14ac:dyDescent="0.25">
      <c r="E3039" s="1"/>
      <c r="F3039" s="2"/>
      <c r="H3039" s="1"/>
      <c r="AE3039" s="135"/>
    </row>
    <row r="3040" spans="5:31" x14ac:dyDescent="0.25">
      <c r="E3040" s="1"/>
      <c r="F3040" s="2"/>
      <c r="H3040" s="1"/>
      <c r="AE3040" s="135"/>
    </row>
    <row r="3041" spans="5:31" x14ac:dyDescent="0.25">
      <c r="E3041" s="1"/>
      <c r="F3041" s="2"/>
      <c r="H3041" s="1"/>
      <c r="AE3041" s="135"/>
    </row>
    <row r="3042" spans="5:31" x14ac:dyDescent="0.25">
      <c r="E3042" s="1"/>
      <c r="F3042" s="2"/>
      <c r="H3042" s="1"/>
      <c r="AE3042" s="135"/>
    </row>
    <row r="3043" spans="5:31" x14ac:dyDescent="0.25">
      <c r="E3043" s="1"/>
      <c r="F3043" s="2"/>
      <c r="H3043" s="1"/>
      <c r="AE3043" s="135"/>
    </row>
    <row r="3044" spans="5:31" x14ac:dyDescent="0.25">
      <c r="E3044" s="1"/>
      <c r="F3044" s="2"/>
      <c r="H3044" s="1"/>
      <c r="AE3044" s="135"/>
    </row>
    <row r="3045" spans="5:31" x14ac:dyDescent="0.25">
      <c r="E3045" s="1"/>
      <c r="F3045" s="2"/>
      <c r="H3045" s="1"/>
      <c r="AE3045" s="135"/>
    </row>
    <row r="3046" spans="5:31" x14ac:dyDescent="0.25">
      <c r="E3046" s="1"/>
      <c r="F3046" s="2"/>
      <c r="H3046" s="1"/>
      <c r="AE3046" s="135"/>
    </row>
    <row r="3047" spans="5:31" x14ac:dyDescent="0.25">
      <c r="E3047" s="1"/>
      <c r="F3047" s="2"/>
      <c r="H3047" s="1"/>
      <c r="AE3047" s="135"/>
    </row>
    <row r="3048" spans="5:31" x14ac:dyDescent="0.25">
      <c r="E3048" s="1"/>
      <c r="F3048" s="2"/>
      <c r="H3048" s="1"/>
      <c r="AE3048" s="135"/>
    </row>
    <row r="3049" spans="5:31" x14ac:dyDescent="0.25">
      <c r="E3049" s="1"/>
      <c r="F3049" s="2"/>
      <c r="H3049" s="1"/>
      <c r="AE3049" s="135"/>
    </row>
    <row r="3050" spans="5:31" x14ac:dyDescent="0.25">
      <c r="E3050" s="1"/>
      <c r="F3050" s="2"/>
      <c r="H3050" s="1"/>
      <c r="AE3050" s="135"/>
    </row>
    <row r="3051" spans="5:31" x14ac:dyDescent="0.25">
      <c r="E3051" s="1"/>
      <c r="F3051" s="2"/>
      <c r="H3051" s="1"/>
      <c r="AE3051" s="135"/>
    </row>
    <row r="3052" spans="5:31" x14ac:dyDescent="0.25">
      <c r="E3052" s="1"/>
      <c r="F3052" s="2"/>
      <c r="H3052" s="1"/>
      <c r="AE3052" s="135"/>
    </row>
    <row r="3053" spans="5:31" x14ac:dyDescent="0.25">
      <c r="E3053" s="1"/>
      <c r="F3053" s="2"/>
      <c r="H3053" s="1"/>
      <c r="AE3053" s="135"/>
    </row>
    <row r="3054" spans="5:31" x14ac:dyDescent="0.25">
      <c r="E3054" s="1"/>
      <c r="F3054" s="2"/>
      <c r="H3054" s="1"/>
      <c r="AE3054" s="135"/>
    </row>
    <row r="3055" spans="5:31" x14ac:dyDescent="0.25">
      <c r="E3055" s="1"/>
      <c r="F3055" s="2"/>
      <c r="H3055" s="1"/>
      <c r="AE3055" s="135"/>
    </row>
    <row r="3056" spans="5:31" x14ac:dyDescent="0.25">
      <c r="E3056" s="1"/>
      <c r="F3056" s="2"/>
      <c r="H3056" s="1"/>
      <c r="AE3056" s="135"/>
    </row>
    <row r="3057" spans="5:31" x14ac:dyDescent="0.25">
      <c r="E3057" s="1"/>
      <c r="F3057" s="2"/>
      <c r="H3057" s="1"/>
      <c r="AE3057" s="135"/>
    </row>
    <row r="3058" spans="5:31" x14ac:dyDescent="0.25">
      <c r="E3058" s="1"/>
      <c r="F3058" s="2"/>
      <c r="H3058" s="1"/>
      <c r="AE3058" s="135"/>
    </row>
    <row r="3059" spans="5:31" x14ac:dyDescent="0.25">
      <c r="E3059" s="1"/>
      <c r="F3059" s="2"/>
      <c r="H3059" s="1"/>
      <c r="AE3059" s="135"/>
    </row>
    <row r="3060" spans="5:31" x14ac:dyDescent="0.25">
      <c r="E3060" s="1"/>
      <c r="F3060" s="2"/>
      <c r="H3060" s="1"/>
      <c r="AE3060" s="135"/>
    </row>
    <row r="3061" spans="5:31" x14ac:dyDescent="0.25">
      <c r="E3061" s="1"/>
      <c r="F3061" s="2"/>
      <c r="H3061" s="1"/>
      <c r="AE3061" s="135"/>
    </row>
    <row r="3062" spans="5:31" x14ac:dyDescent="0.25">
      <c r="E3062" s="1"/>
      <c r="F3062" s="2"/>
      <c r="H3062" s="1"/>
      <c r="AE3062" s="135"/>
    </row>
    <row r="3063" spans="5:31" x14ac:dyDescent="0.25">
      <c r="E3063" s="1"/>
      <c r="F3063" s="2"/>
      <c r="H3063" s="1"/>
      <c r="AE3063" s="135"/>
    </row>
    <row r="3064" spans="5:31" x14ac:dyDescent="0.25">
      <c r="E3064" s="1"/>
      <c r="F3064" s="2"/>
      <c r="H3064" s="1"/>
      <c r="AE3064" s="135"/>
    </row>
    <row r="3065" spans="5:31" x14ac:dyDescent="0.25">
      <c r="E3065" s="1"/>
      <c r="F3065" s="2"/>
      <c r="H3065" s="1"/>
      <c r="AE3065" s="135"/>
    </row>
    <row r="3066" spans="5:31" x14ac:dyDescent="0.25">
      <c r="E3066" s="1"/>
      <c r="F3066" s="2"/>
      <c r="H3066" s="1"/>
      <c r="AE3066" s="135"/>
    </row>
    <row r="3067" spans="5:31" x14ac:dyDescent="0.25">
      <c r="E3067" s="1"/>
      <c r="F3067" s="2"/>
      <c r="H3067" s="1"/>
      <c r="AE3067" s="135"/>
    </row>
    <row r="3068" spans="5:31" x14ac:dyDescent="0.25">
      <c r="E3068" s="1"/>
      <c r="F3068" s="2"/>
      <c r="H3068" s="1"/>
      <c r="AE3068" s="135"/>
    </row>
    <row r="3069" spans="5:31" x14ac:dyDescent="0.25">
      <c r="E3069" s="1"/>
      <c r="F3069" s="2"/>
      <c r="H3069" s="1"/>
      <c r="AE3069" s="135"/>
    </row>
    <row r="3070" spans="5:31" x14ac:dyDescent="0.25">
      <c r="E3070" s="1"/>
      <c r="F3070" s="2"/>
      <c r="H3070" s="1"/>
      <c r="AE3070" s="135"/>
    </row>
    <row r="3071" spans="5:31" x14ac:dyDescent="0.25">
      <c r="E3071" s="1"/>
      <c r="F3071" s="2"/>
      <c r="H3071" s="1"/>
      <c r="AE3071" s="135"/>
    </row>
    <row r="3072" spans="5:31" x14ac:dyDescent="0.25">
      <c r="E3072" s="1"/>
      <c r="F3072" s="2"/>
      <c r="H3072" s="1"/>
      <c r="AE3072" s="135"/>
    </row>
    <row r="3073" spans="5:31" x14ac:dyDescent="0.25">
      <c r="E3073" s="1"/>
      <c r="F3073" s="2"/>
      <c r="H3073" s="1"/>
      <c r="AE3073" s="135"/>
    </row>
    <row r="3074" spans="5:31" x14ac:dyDescent="0.25">
      <c r="E3074" s="1"/>
      <c r="F3074" s="2"/>
      <c r="H3074" s="1"/>
      <c r="AE3074" s="135"/>
    </row>
    <row r="3075" spans="5:31" x14ac:dyDescent="0.25">
      <c r="E3075" s="1"/>
      <c r="F3075" s="2"/>
      <c r="H3075" s="1"/>
      <c r="AE3075" s="135"/>
    </row>
    <row r="3076" spans="5:31" x14ac:dyDescent="0.25">
      <c r="E3076" s="1"/>
      <c r="F3076" s="2"/>
      <c r="H3076" s="1"/>
      <c r="AE3076" s="135"/>
    </row>
    <row r="3077" spans="5:31" x14ac:dyDescent="0.25">
      <c r="E3077" s="1"/>
      <c r="F3077" s="2"/>
      <c r="H3077" s="1"/>
      <c r="AE3077" s="135"/>
    </row>
    <row r="3078" spans="5:31" x14ac:dyDescent="0.25">
      <c r="E3078" s="1"/>
      <c r="F3078" s="2"/>
      <c r="H3078" s="1"/>
      <c r="AE3078" s="135"/>
    </row>
    <row r="3079" spans="5:31" x14ac:dyDescent="0.25">
      <c r="E3079" s="1"/>
      <c r="F3079" s="2"/>
      <c r="H3079" s="1"/>
      <c r="AE3079" s="135"/>
    </row>
    <row r="3080" spans="5:31" x14ac:dyDescent="0.25">
      <c r="E3080" s="1"/>
      <c r="F3080" s="2"/>
      <c r="H3080" s="1"/>
      <c r="AE3080" s="135"/>
    </row>
    <row r="3081" spans="5:31" x14ac:dyDescent="0.25">
      <c r="E3081" s="1"/>
      <c r="F3081" s="2"/>
      <c r="H3081" s="1"/>
      <c r="AE3081" s="135"/>
    </row>
    <row r="3082" spans="5:31" x14ac:dyDescent="0.25">
      <c r="E3082" s="1"/>
      <c r="F3082" s="2"/>
      <c r="H3082" s="1"/>
      <c r="AE3082" s="135"/>
    </row>
    <row r="3083" spans="5:31" x14ac:dyDescent="0.25">
      <c r="E3083" s="1"/>
      <c r="F3083" s="2"/>
      <c r="H3083" s="1"/>
      <c r="AE3083" s="135"/>
    </row>
    <row r="3084" spans="5:31" x14ac:dyDescent="0.25">
      <c r="E3084" s="1"/>
      <c r="F3084" s="2"/>
      <c r="H3084" s="1"/>
      <c r="AE3084" s="135"/>
    </row>
    <row r="3085" spans="5:31" x14ac:dyDescent="0.25">
      <c r="E3085" s="1"/>
      <c r="F3085" s="2"/>
      <c r="H3085" s="1"/>
      <c r="AE3085" s="135"/>
    </row>
    <row r="3086" spans="5:31" x14ac:dyDescent="0.25">
      <c r="E3086" s="1"/>
      <c r="F3086" s="2"/>
      <c r="H3086" s="1"/>
      <c r="AE3086" s="135"/>
    </row>
    <row r="3087" spans="5:31" x14ac:dyDescent="0.25">
      <c r="E3087" s="1"/>
      <c r="F3087" s="2"/>
      <c r="H3087" s="1"/>
      <c r="AE3087" s="135"/>
    </row>
    <row r="3088" spans="5:31" x14ac:dyDescent="0.25">
      <c r="E3088" s="1"/>
      <c r="F3088" s="2"/>
      <c r="H3088" s="1"/>
      <c r="AE3088" s="135"/>
    </row>
    <row r="3089" spans="5:31" x14ac:dyDescent="0.25">
      <c r="E3089" s="1"/>
      <c r="F3089" s="2"/>
      <c r="H3089" s="1"/>
      <c r="AE3089" s="135"/>
    </row>
    <row r="3090" spans="5:31" x14ac:dyDescent="0.25">
      <c r="E3090" s="1"/>
      <c r="F3090" s="2"/>
      <c r="H3090" s="1"/>
      <c r="AE3090" s="135"/>
    </row>
    <row r="3091" spans="5:31" x14ac:dyDescent="0.25">
      <c r="E3091" s="1"/>
      <c r="F3091" s="2"/>
      <c r="H3091" s="1"/>
      <c r="AE3091" s="135"/>
    </row>
    <row r="3092" spans="5:31" x14ac:dyDescent="0.25">
      <c r="E3092" s="1"/>
      <c r="F3092" s="2"/>
      <c r="H3092" s="1"/>
      <c r="AE3092" s="135"/>
    </row>
    <row r="3093" spans="5:31" x14ac:dyDescent="0.25">
      <c r="E3093" s="1"/>
      <c r="F3093" s="2"/>
      <c r="H3093" s="1"/>
      <c r="AE3093" s="135"/>
    </row>
    <row r="3094" spans="5:31" x14ac:dyDescent="0.25">
      <c r="E3094" s="1"/>
      <c r="F3094" s="2"/>
      <c r="H3094" s="1"/>
      <c r="AE3094" s="135"/>
    </row>
    <row r="3095" spans="5:31" x14ac:dyDescent="0.25">
      <c r="E3095" s="1"/>
      <c r="F3095" s="2"/>
      <c r="H3095" s="1"/>
      <c r="AE3095" s="135"/>
    </row>
    <row r="3096" spans="5:31" x14ac:dyDescent="0.25">
      <c r="E3096" s="1"/>
      <c r="F3096" s="2"/>
      <c r="H3096" s="1"/>
      <c r="AE3096" s="135"/>
    </row>
    <row r="3097" spans="5:31" x14ac:dyDescent="0.25">
      <c r="E3097" s="1"/>
      <c r="F3097" s="2"/>
      <c r="H3097" s="1"/>
      <c r="AE3097" s="135"/>
    </row>
    <row r="3098" spans="5:31" x14ac:dyDescent="0.25">
      <c r="E3098" s="1"/>
      <c r="F3098" s="2"/>
      <c r="H3098" s="1"/>
      <c r="AE3098" s="135"/>
    </row>
    <row r="3099" spans="5:31" x14ac:dyDescent="0.25">
      <c r="E3099" s="1"/>
      <c r="F3099" s="2"/>
      <c r="H3099" s="1"/>
      <c r="AE3099" s="135"/>
    </row>
    <row r="3100" spans="5:31" x14ac:dyDescent="0.25">
      <c r="E3100" s="1"/>
      <c r="F3100" s="2"/>
      <c r="H3100" s="1"/>
      <c r="AE3100" s="135"/>
    </row>
    <row r="3101" spans="5:31" x14ac:dyDescent="0.25">
      <c r="E3101" s="1"/>
      <c r="F3101" s="2"/>
      <c r="H3101" s="1"/>
      <c r="AE3101" s="135"/>
    </row>
    <row r="3102" spans="5:31" x14ac:dyDescent="0.25">
      <c r="E3102" s="1"/>
      <c r="F3102" s="2"/>
      <c r="H3102" s="1"/>
      <c r="AE3102" s="135"/>
    </row>
    <row r="3103" spans="5:31" x14ac:dyDescent="0.25">
      <c r="E3103" s="1"/>
      <c r="F3103" s="2"/>
      <c r="H3103" s="1"/>
      <c r="AE3103" s="135"/>
    </row>
    <row r="3104" spans="5:31" x14ac:dyDescent="0.25">
      <c r="E3104" s="1"/>
      <c r="F3104" s="2"/>
      <c r="H3104" s="1"/>
      <c r="AE3104" s="135"/>
    </row>
    <row r="3105" spans="5:31" x14ac:dyDescent="0.25">
      <c r="E3105" s="1"/>
      <c r="F3105" s="2"/>
      <c r="H3105" s="1"/>
      <c r="AE3105" s="135"/>
    </row>
    <row r="3106" spans="5:31" x14ac:dyDescent="0.25">
      <c r="E3106" s="1"/>
      <c r="F3106" s="2"/>
      <c r="H3106" s="1"/>
      <c r="AE3106" s="135"/>
    </row>
    <row r="3107" spans="5:31" x14ac:dyDescent="0.25">
      <c r="E3107" s="1"/>
      <c r="F3107" s="2"/>
      <c r="H3107" s="1"/>
      <c r="AE3107" s="135"/>
    </row>
    <row r="3108" spans="5:31" x14ac:dyDescent="0.25">
      <c r="E3108" s="1"/>
      <c r="F3108" s="2"/>
      <c r="H3108" s="1"/>
      <c r="AE3108" s="135"/>
    </row>
    <row r="3109" spans="5:31" x14ac:dyDescent="0.25">
      <c r="E3109" s="1"/>
      <c r="F3109" s="2"/>
      <c r="H3109" s="1"/>
      <c r="AE3109" s="135"/>
    </row>
    <row r="3110" spans="5:31" x14ac:dyDescent="0.25">
      <c r="E3110" s="1"/>
      <c r="F3110" s="2"/>
      <c r="H3110" s="1"/>
      <c r="AE3110" s="135"/>
    </row>
    <row r="3111" spans="5:31" x14ac:dyDescent="0.25">
      <c r="E3111" s="1"/>
      <c r="F3111" s="2"/>
      <c r="H3111" s="1"/>
      <c r="AE3111" s="135"/>
    </row>
    <row r="3112" spans="5:31" x14ac:dyDescent="0.25">
      <c r="E3112" s="1"/>
      <c r="F3112" s="2"/>
      <c r="H3112" s="1"/>
      <c r="AE3112" s="135"/>
    </row>
    <row r="3113" spans="5:31" x14ac:dyDescent="0.25">
      <c r="E3113" s="1"/>
      <c r="F3113" s="2"/>
      <c r="H3113" s="1"/>
      <c r="AE3113" s="135"/>
    </row>
    <row r="3114" spans="5:31" x14ac:dyDescent="0.25">
      <c r="E3114" s="1"/>
      <c r="F3114" s="2"/>
      <c r="H3114" s="1"/>
      <c r="AE3114" s="135"/>
    </row>
    <row r="3115" spans="5:31" x14ac:dyDescent="0.25">
      <c r="E3115" s="1"/>
      <c r="F3115" s="2"/>
      <c r="H3115" s="1"/>
      <c r="AE3115" s="135"/>
    </row>
    <row r="3116" spans="5:31" x14ac:dyDescent="0.25">
      <c r="E3116" s="1"/>
      <c r="F3116" s="2"/>
      <c r="H3116" s="1"/>
      <c r="AE3116" s="135"/>
    </row>
    <row r="3117" spans="5:31" x14ac:dyDescent="0.25">
      <c r="E3117" s="1"/>
      <c r="F3117" s="2"/>
      <c r="H3117" s="1"/>
      <c r="AE3117" s="135"/>
    </row>
    <row r="3118" spans="5:31" x14ac:dyDescent="0.25">
      <c r="E3118" s="1"/>
      <c r="F3118" s="2"/>
      <c r="H3118" s="1"/>
      <c r="AE3118" s="135"/>
    </row>
    <row r="3119" spans="5:31" x14ac:dyDescent="0.25">
      <c r="E3119" s="1"/>
      <c r="F3119" s="2"/>
      <c r="H3119" s="1"/>
      <c r="AE3119" s="135"/>
    </row>
    <row r="3120" spans="5:31" x14ac:dyDescent="0.25">
      <c r="E3120" s="1"/>
      <c r="F3120" s="2"/>
      <c r="H3120" s="1"/>
      <c r="AE3120" s="135"/>
    </row>
    <row r="3121" spans="5:31" x14ac:dyDescent="0.25">
      <c r="E3121" s="1"/>
      <c r="F3121" s="2"/>
      <c r="H3121" s="1"/>
      <c r="AE3121" s="135"/>
    </row>
    <row r="3122" spans="5:31" x14ac:dyDescent="0.25">
      <c r="E3122" s="1"/>
      <c r="F3122" s="2"/>
      <c r="H3122" s="1"/>
      <c r="AE3122" s="135"/>
    </row>
    <row r="3123" spans="5:31" x14ac:dyDescent="0.25">
      <c r="E3123" s="1"/>
      <c r="F3123" s="2"/>
      <c r="H3123" s="1"/>
      <c r="AE3123" s="135"/>
    </row>
    <row r="3124" spans="5:31" x14ac:dyDescent="0.25">
      <c r="E3124" s="1"/>
      <c r="F3124" s="2"/>
      <c r="H3124" s="1"/>
      <c r="AE3124" s="135"/>
    </row>
    <row r="3125" spans="5:31" x14ac:dyDescent="0.25">
      <c r="E3125" s="1"/>
      <c r="F3125" s="2"/>
      <c r="H3125" s="1"/>
      <c r="AE3125" s="135"/>
    </row>
    <row r="3126" spans="5:31" x14ac:dyDescent="0.25">
      <c r="E3126" s="1"/>
      <c r="F3126" s="2"/>
      <c r="H3126" s="1"/>
      <c r="AE3126" s="135"/>
    </row>
    <row r="3127" spans="5:31" x14ac:dyDescent="0.25">
      <c r="E3127" s="1"/>
      <c r="F3127" s="2"/>
      <c r="H3127" s="1"/>
      <c r="AE3127" s="135"/>
    </row>
    <row r="3128" spans="5:31" x14ac:dyDescent="0.25">
      <c r="E3128" s="1"/>
      <c r="F3128" s="2"/>
      <c r="H3128" s="1"/>
      <c r="AE3128" s="135"/>
    </row>
    <row r="3129" spans="5:31" x14ac:dyDescent="0.25">
      <c r="E3129" s="1"/>
      <c r="F3129" s="2"/>
      <c r="H3129" s="1"/>
      <c r="AE3129" s="135"/>
    </row>
    <row r="3130" spans="5:31" x14ac:dyDescent="0.25">
      <c r="E3130" s="1"/>
      <c r="F3130" s="2"/>
      <c r="H3130" s="1"/>
      <c r="AE3130" s="135"/>
    </row>
    <row r="3131" spans="5:31" x14ac:dyDescent="0.25">
      <c r="E3131" s="1"/>
      <c r="F3131" s="2"/>
      <c r="H3131" s="1"/>
      <c r="AE3131" s="135"/>
    </row>
    <row r="3132" spans="5:31" x14ac:dyDescent="0.25">
      <c r="E3132" s="1"/>
      <c r="F3132" s="2"/>
      <c r="H3132" s="1"/>
      <c r="AE3132" s="135"/>
    </row>
    <row r="3133" spans="5:31" x14ac:dyDescent="0.25">
      <c r="E3133" s="1"/>
      <c r="F3133" s="2"/>
      <c r="H3133" s="1"/>
      <c r="AE3133" s="135"/>
    </row>
    <row r="3134" spans="5:31" x14ac:dyDescent="0.25">
      <c r="E3134" s="1"/>
      <c r="F3134" s="2"/>
      <c r="H3134" s="1"/>
      <c r="AE3134" s="135"/>
    </row>
    <row r="3135" spans="5:31" x14ac:dyDescent="0.25">
      <c r="E3135" s="1"/>
      <c r="F3135" s="2"/>
      <c r="H3135" s="1"/>
      <c r="AE3135" s="135"/>
    </row>
    <row r="3136" spans="5:31" x14ac:dyDescent="0.25">
      <c r="E3136" s="1"/>
      <c r="F3136" s="2"/>
      <c r="H3136" s="1"/>
      <c r="AE3136" s="135"/>
    </row>
    <row r="3137" spans="5:31" x14ac:dyDescent="0.25">
      <c r="E3137" s="1"/>
      <c r="F3137" s="2"/>
      <c r="H3137" s="1"/>
      <c r="AE3137" s="135"/>
    </row>
    <row r="3138" spans="5:31" x14ac:dyDescent="0.25">
      <c r="E3138" s="1"/>
      <c r="F3138" s="2"/>
      <c r="H3138" s="1"/>
      <c r="AE3138" s="135"/>
    </row>
    <row r="3139" spans="5:31" x14ac:dyDescent="0.25">
      <c r="E3139" s="1"/>
      <c r="F3139" s="2"/>
      <c r="H3139" s="1"/>
      <c r="AE3139" s="135"/>
    </row>
    <row r="3140" spans="5:31" x14ac:dyDescent="0.25">
      <c r="E3140" s="1"/>
      <c r="F3140" s="2"/>
      <c r="H3140" s="1"/>
      <c r="AE3140" s="135"/>
    </row>
    <row r="3141" spans="5:31" x14ac:dyDescent="0.25">
      <c r="E3141" s="1"/>
      <c r="F3141" s="2"/>
      <c r="H3141" s="1"/>
      <c r="AE3141" s="135"/>
    </row>
    <row r="3142" spans="5:31" x14ac:dyDescent="0.25">
      <c r="E3142" s="1"/>
      <c r="F3142" s="2"/>
      <c r="H3142" s="1"/>
      <c r="AE3142" s="135"/>
    </row>
    <row r="3143" spans="5:31" x14ac:dyDescent="0.25">
      <c r="E3143" s="1"/>
      <c r="F3143" s="2"/>
      <c r="H3143" s="1"/>
      <c r="AE3143" s="135"/>
    </row>
    <row r="3144" spans="5:31" x14ac:dyDescent="0.25">
      <c r="E3144" s="1"/>
      <c r="F3144" s="2"/>
      <c r="H3144" s="1"/>
      <c r="AE3144" s="135"/>
    </row>
    <row r="3145" spans="5:31" x14ac:dyDescent="0.25">
      <c r="E3145" s="1"/>
      <c r="F3145" s="2"/>
      <c r="H3145" s="1"/>
      <c r="AE3145" s="135"/>
    </row>
    <row r="3146" spans="5:31" x14ac:dyDescent="0.25">
      <c r="E3146" s="1"/>
      <c r="F3146" s="2"/>
      <c r="H3146" s="1"/>
      <c r="AE3146" s="135"/>
    </row>
    <row r="3147" spans="5:31" x14ac:dyDescent="0.25">
      <c r="E3147" s="1"/>
      <c r="F3147" s="2"/>
      <c r="H3147" s="1"/>
      <c r="AE3147" s="135"/>
    </row>
    <row r="3148" spans="5:31" x14ac:dyDescent="0.25">
      <c r="E3148" s="1"/>
      <c r="F3148" s="2"/>
      <c r="H3148" s="1"/>
      <c r="AE3148" s="135"/>
    </row>
    <row r="3149" spans="5:31" x14ac:dyDescent="0.25">
      <c r="E3149" s="1"/>
      <c r="F3149" s="2"/>
      <c r="H3149" s="1"/>
      <c r="AE3149" s="135"/>
    </row>
    <row r="3150" spans="5:31" x14ac:dyDescent="0.25">
      <c r="E3150" s="1"/>
      <c r="F3150" s="2"/>
      <c r="H3150" s="1"/>
      <c r="AE3150" s="135"/>
    </row>
    <row r="3151" spans="5:31" x14ac:dyDescent="0.25">
      <c r="E3151" s="1"/>
      <c r="F3151" s="2"/>
      <c r="H3151" s="1"/>
      <c r="AE3151" s="135"/>
    </row>
    <row r="3152" spans="5:31" x14ac:dyDescent="0.25">
      <c r="E3152" s="1"/>
      <c r="F3152" s="2"/>
      <c r="H3152" s="1"/>
      <c r="AE3152" s="135"/>
    </row>
    <row r="3153" spans="5:31" x14ac:dyDescent="0.25">
      <c r="E3153" s="1"/>
      <c r="F3153" s="2"/>
      <c r="H3153" s="1"/>
      <c r="AE3153" s="135"/>
    </row>
    <row r="3154" spans="5:31" x14ac:dyDescent="0.25">
      <c r="E3154" s="1"/>
      <c r="F3154" s="2"/>
      <c r="H3154" s="1"/>
      <c r="AE3154" s="135"/>
    </row>
    <row r="3155" spans="5:31" x14ac:dyDescent="0.25">
      <c r="E3155" s="1"/>
      <c r="F3155" s="2"/>
      <c r="H3155" s="1"/>
      <c r="AE3155" s="135"/>
    </row>
    <row r="3156" spans="5:31" x14ac:dyDescent="0.25">
      <c r="E3156" s="1"/>
      <c r="F3156" s="2"/>
      <c r="H3156" s="1"/>
      <c r="AE3156" s="135"/>
    </row>
    <row r="3157" spans="5:31" x14ac:dyDescent="0.25">
      <c r="E3157" s="1"/>
      <c r="F3157" s="2"/>
      <c r="H3157" s="1"/>
      <c r="AE3157" s="135"/>
    </row>
    <row r="3158" spans="5:31" x14ac:dyDescent="0.25">
      <c r="E3158" s="1"/>
      <c r="F3158" s="2"/>
      <c r="H3158" s="1"/>
      <c r="AE3158" s="135"/>
    </row>
    <row r="3159" spans="5:31" x14ac:dyDescent="0.25">
      <c r="E3159" s="1"/>
      <c r="F3159" s="2"/>
      <c r="H3159" s="1"/>
      <c r="AE3159" s="135"/>
    </row>
    <row r="3160" spans="5:31" x14ac:dyDescent="0.25">
      <c r="E3160" s="1"/>
      <c r="F3160" s="2"/>
      <c r="H3160" s="1"/>
      <c r="AE3160" s="135"/>
    </row>
    <row r="3161" spans="5:31" x14ac:dyDescent="0.25">
      <c r="E3161" s="1"/>
      <c r="F3161" s="2"/>
      <c r="H3161" s="1"/>
      <c r="AE3161" s="135"/>
    </row>
    <row r="3162" spans="5:31" x14ac:dyDescent="0.25">
      <c r="E3162" s="1"/>
      <c r="F3162" s="2"/>
      <c r="H3162" s="1"/>
      <c r="AE3162" s="135"/>
    </row>
    <row r="3163" spans="5:31" x14ac:dyDescent="0.25">
      <c r="E3163" s="1"/>
      <c r="F3163" s="2"/>
      <c r="H3163" s="1"/>
      <c r="AE3163" s="135"/>
    </row>
    <row r="3164" spans="5:31" x14ac:dyDescent="0.25">
      <c r="E3164" s="1"/>
      <c r="F3164" s="2"/>
      <c r="H3164" s="1"/>
      <c r="AE3164" s="135"/>
    </row>
    <row r="3165" spans="5:31" x14ac:dyDescent="0.25">
      <c r="E3165" s="1"/>
      <c r="F3165" s="2"/>
      <c r="H3165" s="1"/>
      <c r="AE3165" s="135"/>
    </row>
    <row r="3166" spans="5:31" x14ac:dyDescent="0.25">
      <c r="E3166" s="1"/>
      <c r="F3166" s="2"/>
      <c r="H3166" s="1"/>
      <c r="AE3166" s="135"/>
    </row>
    <row r="3167" spans="5:31" x14ac:dyDescent="0.25">
      <c r="E3167" s="1"/>
      <c r="F3167" s="2"/>
      <c r="H3167" s="1"/>
      <c r="AE3167" s="135"/>
    </row>
    <row r="3168" spans="5:31" x14ac:dyDescent="0.25">
      <c r="E3168" s="1"/>
      <c r="F3168" s="2"/>
      <c r="H3168" s="1"/>
      <c r="AE3168" s="135"/>
    </row>
    <row r="3169" spans="5:31" x14ac:dyDescent="0.25">
      <c r="E3169" s="1"/>
      <c r="F3169" s="2"/>
      <c r="H3169" s="1"/>
      <c r="AE3169" s="135"/>
    </row>
    <row r="3170" spans="5:31" x14ac:dyDescent="0.25">
      <c r="E3170" s="1"/>
      <c r="F3170" s="2"/>
      <c r="H3170" s="1"/>
      <c r="AE3170" s="135"/>
    </row>
    <row r="3171" spans="5:31" x14ac:dyDescent="0.25">
      <c r="E3171" s="1"/>
      <c r="F3171" s="2"/>
      <c r="H3171" s="1"/>
      <c r="AE3171" s="135"/>
    </row>
    <row r="3172" spans="5:31" x14ac:dyDescent="0.25">
      <c r="E3172" s="1"/>
      <c r="F3172" s="2"/>
      <c r="H3172" s="1"/>
      <c r="AE3172" s="135"/>
    </row>
    <row r="3173" spans="5:31" x14ac:dyDescent="0.25">
      <c r="E3173" s="1"/>
      <c r="F3173" s="2"/>
      <c r="H3173" s="1"/>
      <c r="AE3173" s="135"/>
    </row>
    <row r="3174" spans="5:31" x14ac:dyDescent="0.25">
      <c r="E3174" s="1"/>
      <c r="F3174" s="2"/>
      <c r="H3174" s="1"/>
      <c r="AE3174" s="135"/>
    </row>
    <row r="3175" spans="5:31" x14ac:dyDescent="0.25">
      <c r="E3175" s="1"/>
      <c r="F3175" s="2"/>
      <c r="H3175" s="1"/>
      <c r="AE3175" s="135"/>
    </row>
    <row r="3176" spans="5:31" x14ac:dyDescent="0.25">
      <c r="E3176" s="1"/>
      <c r="F3176" s="2"/>
      <c r="H3176" s="1"/>
      <c r="AE3176" s="135"/>
    </row>
    <row r="3177" spans="5:31" x14ac:dyDescent="0.25">
      <c r="E3177" s="1"/>
      <c r="F3177" s="2"/>
      <c r="H3177" s="1"/>
      <c r="AE3177" s="135"/>
    </row>
    <row r="3178" spans="5:31" x14ac:dyDescent="0.25">
      <c r="E3178" s="1"/>
      <c r="F3178" s="2"/>
      <c r="H3178" s="1"/>
      <c r="AE3178" s="135"/>
    </row>
    <row r="3179" spans="5:31" x14ac:dyDescent="0.25">
      <c r="E3179" s="1"/>
      <c r="F3179" s="2"/>
      <c r="H3179" s="1"/>
      <c r="AE3179" s="135"/>
    </row>
    <row r="3180" spans="5:31" x14ac:dyDescent="0.25">
      <c r="E3180" s="1"/>
      <c r="F3180" s="2"/>
      <c r="H3180" s="1"/>
      <c r="AE3180" s="135"/>
    </row>
    <row r="3181" spans="5:31" x14ac:dyDescent="0.25">
      <c r="E3181" s="1"/>
      <c r="F3181" s="2"/>
      <c r="H3181" s="1"/>
      <c r="AE3181" s="135"/>
    </row>
    <row r="3182" spans="5:31" x14ac:dyDescent="0.25">
      <c r="E3182" s="1"/>
      <c r="F3182" s="2"/>
      <c r="H3182" s="1"/>
      <c r="AE3182" s="135"/>
    </row>
    <row r="3183" spans="5:31" x14ac:dyDescent="0.25">
      <c r="E3183" s="1"/>
      <c r="F3183" s="2"/>
      <c r="H3183" s="1"/>
      <c r="AE3183" s="135"/>
    </row>
    <row r="3184" spans="5:31" x14ac:dyDescent="0.25">
      <c r="E3184" s="1"/>
      <c r="F3184" s="2"/>
      <c r="H3184" s="1"/>
      <c r="AE3184" s="135"/>
    </row>
    <row r="3185" spans="5:31" x14ac:dyDescent="0.25">
      <c r="E3185" s="1"/>
      <c r="F3185" s="2"/>
      <c r="H3185" s="1"/>
      <c r="AE3185" s="135"/>
    </row>
    <row r="3186" spans="5:31" x14ac:dyDescent="0.25">
      <c r="E3186" s="1"/>
      <c r="F3186" s="2"/>
      <c r="H3186" s="1"/>
      <c r="AE3186" s="135"/>
    </row>
    <row r="3187" spans="5:31" x14ac:dyDescent="0.25">
      <c r="E3187" s="1"/>
      <c r="F3187" s="2"/>
      <c r="H3187" s="1"/>
      <c r="AE3187" s="135"/>
    </row>
    <row r="3188" spans="5:31" x14ac:dyDescent="0.25">
      <c r="E3188" s="1"/>
      <c r="F3188" s="2"/>
      <c r="H3188" s="1"/>
      <c r="AE3188" s="135"/>
    </row>
    <row r="3189" spans="5:31" x14ac:dyDescent="0.25">
      <c r="E3189" s="1"/>
      <c r="F3189" s="2"/>
      <c r="H3189" s="1"/>
      <c r="AE3189" s="135"/>
    </row>
    <row r="3190" spans="5:31" x14ac:dyDescent="0.25">
      <c r="E3190" s="1"/>
      <c r="F3190" s="2"/>
      <c r="H3190" s="1"/>
      <c r="AE3190" s="135"/>
    </row>
    <row r="3191" spans="5:31" x14ac:dyDescent="0.25">
      <c r="E3191" s="1"/>
      <c r="F3191" s="2"/>
      <c r="H3191" s="1"/>
      <c r="AE3191" s="135"/>
    </row>
    <row r="3192" spans="5:31" x14ac:dyDescent="0.25">
      <c r="E3192" s="1"/>
      <c r="F3192" s="2"/>
      <c r="H3192" s="1"/>
      <c r="AE3192" s="135"/>
    </row>
    <row r="3193" spans="5:31" x14ac:dyDescent="0.25">
      <c r="E3193" s="1"/>
      <c r="F3193" s="2"/>
      <c r="H3193" s="1"/>
      <c r="AE3193" s="135"/>
    </row>
    <row r="3194" spans="5:31" x14ac:dyDescent="0.25">
      <c r="E3194" s="1"/>
      <c r="F3194" s="2"/>
      <c r="H3194" s="1"/>
      <c r="AE3194" s="135"/>
    </row>
    <row r="3195" spans="5:31" x14ac:dyDescent="0.25">
      <c r="E3195" s="1"/>
      <c r="F3195" s="2"/>
      <c r="H3195" s="1"/>
      <c r="AE3195" s="135"/>
    </row>
    <row r="3196" spans="5:31" x14ac:dyDescent="0.25">
      <c r="E3196" s="1"/>
      <c r="F3196" s="2"/>
      <c r="H3196" s="1"/>
      <c r="AE3196" s="135"/>
    </row>
    <row r="3197" spans="5:31" x14ac:dyDescent="0.25">
      <c r="E3197" s="1"/>
      <c r="F3197" s="2"/>
      <c r="H3197" s="1"/>
      <c r="AE3197" s="135"/>
    </row>
    <row r="3198" spans="5:31" x14ac:dyDescent="0.25">
      <c r="E3198" s="1"/>
      <c r="F3198" s="2"/>
      <c r="H3198" s="1"/>
      <c r="AE3198" s="135"/>
    </row>
    <row r="3199" spans="5:31" x14ac:dyDescent="0.25">
      <c r="E3199" s="1"/>
      <c r="F3199" s="2"/>
      <c r="H3199" s="1"/>
      <c r="AE3199" s="135"/>
    </row>
    <row r="3200" spans="5:31" x14ac:dyDescent="0.25">
      <c r="E3200" s="1"/>
      <c r="F3200" s="2"/>
      <c r="H3200" s="1"/>
      <c r="AE3200" s="135"/>
    </row>
    <row r="3201" spans="5:31" x14ac:dyDescent="0.25">
      <c r="E3201" s="1"/>
      <c r="F3201" s="2"/>
      <c r="H3201" s="1"/>
      <c r="AE3201" s="135"/>
    </row>
    <row r="3202" spans="5:31" x14ac:dyDescent="0.25">
      <c r="E3202" s="1"/>
      <c r="F3202" s="2"/>
      <c r="H3202" s="1"/>
      <c r="AE3202" s="135"/>
    </row>
    <row r="3203" spans="5:31" x14ac:dyDescent="0.25">
      <c r="E3203" s="1"/>
      <c r="F3203" s="2"/>
      <c r="H3203" s="1"/>
      <c r="AE3203" s="135"/>
    </row>
    <row r="3204" spans="5:31" x14ac:dyDescent="0.25">
      <c r="AE3204" s="135"/>
    </row>
    <row r="3205" spans="5:31" x14ac:dyDescent="0.25">
      <c r="AE3205" s="135"/>
    </row>
    <row r="3206" spans="5:31" x14ac:dyDescent="0.25">
      <c r="AE3206" s="135"/>
    </row>
    <row r="3207" spans="5:31" x14ac:dyDescent="0.25">
      <c r="AE3207" s="135"/>
    </row>
    <row r="3208" spans="5:31" x14ac:dyDescent="0.25">
      <c r="AE3208" s="135"/>
    </row>
    <row r="3209" spans="5:31" x14ac:dyDescent="0.25">
      <c r="AE3209" s="135"/>
    </row>
    <row r="3210" spans="5:31" x14ac:dyDescent="0.25">
      <c r="AE3210" s="135"/>
    </row>
    <row r="3211" spans="5:31" x14ac:dyDescent="0.25">
      <c r="AE3211" s="135"/>
    </row>
    <row r="3212" spans="5:31" x14ac:dyDescent="0.25">
      <c r="AE3212" s="135"/>
    </row>
    <row r="3213" spans="5:31" x14ac:dyDescent="0.25">
      <c r="AE3213" s="135"/>
    </row>
    <row r="3214" spans="5:31" x14ac:dyDescent="0.25">
      <c r="AE3214" s="135"/>
    </row>
    <row r="3215" spans="5:31" x14ac:dyDescent="0.25">
      <c r="AE3215" s="135"/>
    </row>
    <row r="3216" spans="5:31" x14ac:dyDescent="0.25">
      <c r="AE3216" s="135"/>
    </row>
    <row r="3217" spans="31:31" x14ac:dyDescent="0.25">
      <c r="AE3217" s="135"/>
    </row>
    <row r="3218" spans="31:31" x14ac:dyDescent="0.25">
      <c r="AE3218" s="135"/>
    </row>
    <row r="3219" spans="31:31" x14ac:dyDescent="0.25">
      <c r="AE3219" s="135"/>
    </row>
    <row r="3220" spans="31:31" x14ac:dyDescent="0.25">
      <c r="AE3220" s="135"/>
    </row>
    <row r="3221" spans="31:31" x14ac:dyDescent="0.25">
      <c r="AE3221" s="135"/>
    </row>
    <row r="3222" spans="31:31" x14ac:dyDescent="0.25">
      <c r="AE3222" s="135"/>
    </row>
    <row r="3223" spans="31:31" x14ac:dyDescent="0.25">
      <c r="AE3223" s="135"/>
    </row>
    <row r="3224" spans="31:31" x14ac:dyDescent="0.25">
      <c r="AE3224" s="135"/>
    </row>
    <row r="3225" spans="31:31" x14ac:dyDescent="0.25">
      <c r="AE3225" s="135"/>
    </row>
    <row r="3226" spans="31:31" x14ac:dyDescent="0.25">
      <c r="AE3226" s="135"/>
    </row>
    <row r="3227" spans="31:31" x14ac:dyDescent="0.25">
      <c r="AE3227" s="135"/>
    </row>
    <row r="3228" spans="31:31" x14ac:dyDescent="0.25">
      <c r="AE3228" s="135"/>
    </row>
    <row r="3229" spans="31:31" x14ac:dyDescent="0.25">
      <c r="AE3229" s="135"/>
    </row>
    <row r="3230" spans="31:31" x14ac:dyDescent="0.25">
      <c r="AE3230" s="135"/>
    </row>
    <row r="3231" spans="31:31" x14ac:dyDescent="0.25">
      <c r="AE3231" s="135"/>
    </row>
    <row r="3232" spans="31:31" x14ac:dyDescent="0.25">
      <c r="AE3232" s="135"/>
    </row>
    <row r="3233" spans="31:47" x14ac:dyDescent="0.25">
      <c r="AE3233" s="135"/>
    </row>
    <row r="3234" spans="31:47" x14ac:dyDescent="0.25">
      <c r="AE3234" s="135"/>
    </row>
    <row r="3235" spans="31:47" x14ac:dyDescent="0.25">
      <c r="AE3235" s="135"/>
    </row>
    <row r="3236" spans="31:47" x14ac:dyDescent="0.25">
      <c r="AE3236" s="135"/>
    </row>
    <row r="3237" spans="31:47" x14ac:dyDescent="0.25">
      <c r="AE3237" s="135"/>
    </row>
    <row r="3238" spans="31:47" x14ac:dyDescent="0.25">
      <c r="AE3238" s="135"/>
    </row>
    <row r="3239" spans="31:47" x14ac:dyDescent="0.25">
      <c r="AE3239" s="135"/>
    </row>
    <row r="3240" spans="31:47" x14ac:dyDescent="0.25">
      <c r="AE3240" s="135"/>
    </row>
    <row r="3241" spans="31:47" x14ac:dyDescent="0.25">
      <c r="AE3241" s="135"/>
    </row>
    <row r="3242" spans="31:47" x14ac:dyDescent="0.25">
      <c r="AE3242" s="135"/>
    </row>
    <row r="3243" spans="31:47" x14ac:dyDescent="0.25">
      <c r="AE3243" s="135"/>
    </row>
    <row r="3244" spans="31:47" x14ac:dyDescent="0.25">
      <c r="AE3244" s="135"/>
    </row>
    <row r="3245" spans="31:47" x14ac:dyDescent="0.25">
      <c r="AE3245" s="135"/>
    </row>
    <row r="3246" spans="31:47" x14ac:dyDescent="0.25">
      <c r="AE3246" s="135" t="e">
        <f>TIME(#REF!,#REF!,#REF!)</f>
        <v>#REF!</v>
      </c>
      <c r="AU3246" t="e">
        <f>#REF!-12</f>
        <v>#REF!</v>
      </c>
    </row>
    <row r="3247" spans="31:47" x14ac:dyDescent="0.25">
      <c r="AE3247" s="135" t="e">
        <f>TIME(#REF!,#REF!,#REF!)</f>
        <v>#REF!</v>
      </c>
      <c r="AU3247" t="e">
        <f>#REF!-12</f>
        <v>#REF!</v>
      </c>
    </row>
    <row r="3248" spans="31:47" x14ac:dyDescent="0.25">
      <c r="AE3248" s="135" t="e">
        <f>TIME(#REF!,#REF!,#REF!)</f>
        <v>#REF!</v>
      </c>
      <c r="AU3248" t="e">
        <f>#REF!-12</f>
        <v>#REF!</v>
      </c>
    </row>
    <row r="3249" spans="31:47" x14ac:dyDescent="0.25">
      <c r="AE3249" s="135" t="e">
        <f>TIME(#REF!,#REF!,#REF!)</f>
        <v>#REF!</v>
      </c>
      <c r="AU3249" t="e">
        <f>#REF!-12</f>
        <v>#REF!</v>
      </c>
    </row>
    <row r="3250" spans="31:47" x14ac:dyDescent="0.25">
      <c r="AE3250" s="135" t="e">
        <f>TIME(#REF!,#REF!,#REF!)</f>
        <v>#REF!</v>
      </c>
      <c r="AU3250" t="e">
        <f>#REF!-12</f>
        <v>#REF!</v>
      </c>
    </row>
    <row r="3251" spans="31:47" x14ac:dyDescent="0.25">
      <c r="AE3251" s="135" t="e">
        <f>TIME(#REF!,#REF!,#REF!)</f>
        <v>#REF!</v>
      </c>
      <c r="AU3251" t="e">
        <f>#REF!-12</f>
        <v>#REF!</v>
      </c>
    </row>
    <row r="3252" spans="31:47" x14ac:dyDescent="0.25">
      <c r="AE3252" s="135" t="e">
        <f>TIME(#REF!,#REF!,#REF!)</f>
        <v>#REF!</v>
      </c>
      <c r="AU3252" t="e">
        <f>#REF!-12</f>
        <v>#REF!</v>
      </c>
    </row>
    <row r="3253" spans="31:47" x14ac:dyDescent="0.25">
      <c r="AE3253" s="135" t="e">
        <f>TIME(#REF!,#REF!,#REF!)</f>
        <v>#REF!</v>
      </c>
      <c r="AU3253" t="e">
        <f>#REF!-12</f>
        <v>#REF!</v>
      </c>
    </row>
    <row r="3254" spans="31:47" x14ac:dyDescent="0.25">
      <c r="AE3254" s="135" t="e">
        <f>TIME(#REF!,#REF!,#REF!)</f>
        <v>#REF!</v>
      </c>
      <c r="AU3254" t="e">
        <f>#REF!-12</f>
        <v>#REF!</v>
      </c>
    </row>
  </sheetData>
  <autoFilter ref="A1:AU1027201" xr:uid="{10BD213D-2CA1-4091-BBE8-E227A4621266}"/>
  <mergeCells count="5">
    <mergeCell ref="AW36:BJ36"/>
    <mergeCell ref="AW37:BJ37"/>
    <mergeCell ref="AW38:BI38"/>
    <mergeCell ref="AW39:BJ39"/>
    <mergeCell ref="AW40:BJ40"/>
  </mergeCells>
  <conditionalFormatting sqref="BA3:BB32 BH3:BI32">
    <cfRule type="cellIs" dxfId="13" priority="6" operator="greaterThan">
      <formula>0</formula>
    </cfRule>
  </conditionalFormatting>
  <conditionalFormatting sqref="BD33">
    <cfRule type="cellIs" dxfId="12" priority="4" operator="greaterThan">
      <formula>49.99</formula>
    </cfRule>
  </conditionalFormatting>
  <conditionalFormatting sqref="BD33:BD34">
    <cfRule type="cellIs" dxfId="11" priority="3" operator="greaterThan">
      <formula>49.99</formula>
    </cfRule>
  </conditionalFormatting>
  <conditionalFormatting sqref="BE33:BG33">
    <cfRule type="cellIs" dxfId="10" priority="5" operator="greaterThan">
      <formula>5.99</formula>
    </cfRule>
    <cfRule type="cellIs" dxfId="9" priority="7" operator="greaterThan">
      <formula>5.99</formula>
    </cfRule>
  </conditionalFormatting>
  <conditionalFormatting sqref="BE33:BG34">
    <cfRule type="cellIs" dxfId="8" priority="2" operator="greaterThan">
      <formula>5.99</formula>
    </cfRule>
  </conditionalFormatting>
  <conditionalFormatting sqref="BH3:BI34">
    <cfRule type="cellIs" dxfId="7" priority="1" operator="greaterThan">
      <formula>0</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2DF8-ABC3-4892-B3FB-E6FFE0CE2D5B}">
  <dimension ref="A1:J11"/>
  <sheetViews>
    <sheetView tabSelected="1" workbookViewId="0">
      <selection sqref="A1:J11"/>
    </sheetView>
  </sheetViews>
  <sheetFormatPr defaultRowHeight="12.5" x14ac:dyDescent="0.25"/>
  <cols>
    <col min="1" max="1" width="22.90625" bestFit="1" customWidth="1"/>
    <col min="2" max="2" width="15.1796875" customWidth="1"/>
    <col min="3" max="10" width="5.7265625" customWidth="1"/>
  </cols>
  <sheetData>
    <row r="1" spans="1:10" ht="105.5" x14ac:dyDescent="0.25">
      <c r="A1" s="162" t="s">
        <v>241</v>
      </c>
      <c r="B1" s="162" t="s">
        <v>242</v>
      </c>
      <c r="C1" s="163" t="s">
        <v>245</v>
      </c>
      <c r="D1" s="164" t="s">
        <v>247</v>
      </c>
      <c r="E1" s="164" t="s">
        <v>248</v>
      </c>
      <c r="F1" s="164" t="s">
        <v>249</v>
      </c>
      <c r="G1" s="164" t="s">
        <v>250</v>
      </c>
      <c r="H1" s="164" t="s">
        <v>251</v>
      </c>
      <c r="I1" s="162" t="s">
        <v>252</v>
      </c>
      <c r="J1" s="164" t="s">
        <v>253</v>
      </c>
    </row>
    <row r="2" spans="1:10" ht="23" x14ac:dyDescent="0.25">
      <c r="A2" s="174" t="s">
        <v>280</v>
      </c>
      <c r="B2" s="175" t="s">
        <v>6338</v>
      </c>
      <c r="C2" s="173">
        <v>354</v>
      </c>
      <c r="D2" s="90">
        <v>0.82325581395348835</v>
      </c>
      <c r="E2" s="91">
        <v>118</v>
      </c>
      <c r="F2" s="176">
        <v>14.75</v>
      </c>
      <c r="G2" s="177">
        <v>0.43571759259259263</v>
      </c>
      <c r="H2" s="177">
        <v>0.6236342592592593</v>
      </c>
      <c r="I2" s="178">
        <v>66</v>
      </c>
      <c r="J2" s="178">
        <v>15</v>
      </c>
    </row>
    <row r="3" spans="1:10" ht="34.5" x14ac:dyDescent="0.25">
      <c r="A3" s="172" t="s">
        <v>323</v>
      </c>
      <c r="B3" s="175" t="s">
        <v>6343</v>
      </c>
      <c r="C3" s="173"/>
      <c r="D3" s="90"/>
      <c r="E3" s="91"/>
      <c r="F3" s="176"/>
      <c r="G3" s="177"/>
      <c r="H3" s="177"/>
      <c r="I3" s="178"/>
      <c r="J3" s="178"/>
    </row>
    <row r="4" spans="1:10" ht="23" x14ac:dyDescent="0.25">
      <c r="A4" s="143" t="s">
        <v>309</v>
      </c>
      <c r="B4" s="138" t="s">
        <v>6339</v>
      </c>
      <c r="C4" s="140">
        <v>2</v>
      </c>
      <c r="D4" s="48">
        <v>4.6511627906976744E-3</v>
      </c>
      <c r="E4" s="49">
        <v>0.66666666666666663</v>
      </c>
      <c r="F4" s="50">
        <v>8.3333333333333329E-2</v>
      </c>
      <c r="G4" s="144">
        <v>0.49763888888888891</v>
      </c>
      <c r="H4" s="144">
        <v>0.50326388888888884</v>
      </c>
      <c r="I4" s="145">
        <v>0</v>
      </c>
      <c r="J4" s="145">
        <v>0</v>
      </c>
    </row>
    <row r="5" spans="1:10" ht="23" x14ac:dyDescent="0.25">
      <c r="A5" s="146" t="s">
        <v>268</v>
      </c>
      <c r="B5" s="137" t="s">
        <v>6340</v>
      </c>
      <c r="C5" s="139">
        <v>2</v>
      </c>
      <c r="D5" s="15">
        <v>4.6511627906976744E-3</v>
      </c>
      <c r="E5" s="16">
        <v>0.66666666666666663</v>
      </c>
      <c r="F5" s="17">
        <v>8.3333333333333329E-2</v>
      </c>
      <c r="G5" s="141">
        <v>0.54043981481481485</v>
      </c>
      <c r="H5" s="141">
        <v>0.5567361111111111</v>
      </c>
      <c r="I5" s="142">
        <v>0</v>
      </c>
      <c r="J5" s="142">
        <v>2</v>
      </c>
    </row>
    <row r="6" spans="1:10" x14ac:dyDescent="0.25">
      <c r="A6" s="172" t="s">
        <v>323</v>
      </c>
      <c r="B6" s="188" t="s">
        <v>6341</v>
      </c>
      <c r="C6" s="173">
        <v>72</v>
      </c>
      <c r="D6" s="90">
        <v>0.16744186046511628</v>
      </c>
      <c r="E6" s="91">
        <v>24</v>
      </c>
      <c r="F6" s="91">
        <v>3</v>
      </c>
      <c r="G6" s="177">
        <v>0.43587962962962962</v>
      </c>
      <c r="H6" s="177">
        <v>0.58967592592592599</v>
      </c>
      <c r="I6" s="179">
        <v>3</v>
      </c>
      <c r="J6" s="178">
        <v>0</v>
      </c>
    </row>
    <row r="7" spans="1:10" x14ac:dyDescent="0.25">
      <c r="A7" s="147">
        <v>1</v>
      </c>
      <c r="B7" s="148" t="s">
        <v>358</v>
      </c>
      <c r="C7" s="165"/>
      <c r="D7" s="166"/>
      <c r="E7" s="149">
        <v>143.33333333333334</v>
      </c>
      <c r="F7" s="149">
        <v>17.916666666666668</v>
      </c>
      <c r="G7" s="150"/>
      <c r="H7" s="150"/>
      <c r="I7" s="150">
        <v>69</v>
      </c>
      <c r="J7" s="151">
        <v>17</v>
      </c>
    </row>
    <row r="8" spans="1:10" x14ac:dyDescent="0.25">
      <c r="A8" s="152">
        <v>3</v>
      </c>
      <c r="B8" s="153" t="s">
        <v>362</v>
      </c>
      <c r="C8" s="157"/>
      <c r="D8" s="167"/>
      <c r="E8" s="154" t="s">
        <v>367</v>
      </c>
      <c r="F8" s="154" t="s">
        <v>368</v>
      </c>
      <c r="G8" s="154"/>
      <c r="H8" s="154"/>
      <c r="I8" s="154" t="s">
        <v>369</v>
      </c>
      <c r="J8" s="155" t="s">
        <v>370</v>
      </c>
    </row>
    <row r="9" spans="1:10" x14ac:dyDescent="0.25">
      <c r="A9" s="152">
        <v>8</v>
      </c>
      <c r="B9" s="153" t="s">
        <v>366</v>
      </c>
      <c r="C9" s="168"/>
      <c r="D9" s="168"/>
      <c r="E9" s="156"/>
      <c r="F9" s="157"/>
      <c r="G9" s="157"/>
      <c r="H9" s="157"/>
      <c r="I9" s="157"/>
      <c r="J9" s="158"/>
    </row>
    <row r="10" spans="1:10" x14ac:dyDescent="0.25">
      <c r="A10" s="152" t="s">
        <v>6344</v>
      </c>
      <c r="B10" s="168"/>
      <c r="C10" s="153"/>
      <c r="D10" s="153"/>
      <c r="E10" s="168"/>
      <c r="F10" s="168"/>
      <c r="G10" s="159"/>
      <c r="H10" s="168"/>
      <c r="I10" s="168"/>
      <c r="J10" s="169"/>
    </row>
    <row r="11" spans="1:10" x14ac:dyDescent="0.25">
      <c r="A11" s="187" t="s">
        <v>6342</v>
      </c>
      <c r="B11" s="170"/>
      <c r="C11" s="160"/>
      <c r="D11" s="160"/>
      <c r="E11" s="170"/>
      <c r="F11" s="170"/>
      <c r="G11" s="161"/>
      <c r="H11" s="170"/>
      <c r="I11" s="170"/>
      <c r="J11" s="171"/>
    </row>
  </sheetData>
  <conditionalFormatting sqref="C2:C8 I2:J8">
    <cfRule type="cellIs" dxfId="6" priority="6" operator="greaterThan">
      <formula>0</formula>
    </cfRule>
  </conditionalFormatting>
  <conditionalFormatting sqref="E7 G9">
    <cfRule type="cellIs" dxfId="5" priority="3" operator="greaterThan">
      <formula>49.99</formula>
    </cfRule>
  </conditionalFormatting>
  <conditionalFormatting sqref="F7:H7 H9:J9">
    <cfRule type="cellIs" dxfId="4" priority="2" operator="greaterThan">
      <formula>5.99</formula>
    </cfRule>
  </conditionalFormatting>
  <conditionalFormatting sqref="G9">
    <cfRule type="cellIs" dxfId="3" priority="4" operator="greaterThan">
      <formula>49.99</formula>
    </cfRule>
  </conditionalFormatting>
  <conditionalFormatting sqref="H9:J9">
    <cfRule type="cellIs" dxfId="2" priority="5" operator="greaterThan">
      <formula>5.99</formula>
    </cfRule>
    <cfRule type="cellIs" dxfId="1" priority="7" operator="greaterThan">
      <formula>5.99</formula>
    </cfRule>
  </conditionalFormatting>
  <conditionalFormatting sqref="I2:J7">
    <cfRule type="cellIs" dxfId="0" priority="1" operator="greaterThan">
      <formula>0</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Kommentar xmlns="3cf6ac99-c545-4f05-9765-61f333b3627f" xsi:nil="true"/>
    <lcf76f155ced4ddcb4097134ff3c332f xmlns="3cf6ac99-c545-4f05-9765-61f333b3627f">
      <Terms xmlns="http://schemas.microsoft.com/office/infopath/2007/PartnerControls"/>
    </lcf76f155ced4ddcb4097134ff3c332f>
    <TaxCatchAll xmlns="d6140928-31a2-4d4f-b23f-b270e8c53dd2" xsi:nil="true"/>
  </documentManagement>
</p:properties>
</file>

<file path=customXml/item3.xml><?xml version="1.0" encoding="utf-8"?>
<TemplafyFormConfiguration><![CDATA[{"formFields":[],"formDataEntries":[]}]]></TemplafyFormConfiguration>
</file>

<file path=customXml/item4.xml><?xml version="1.0" encoding="utf-8"?>
<TemplafyTemplateConfiguration><![CDATA[{"transformationConfigurations":[{"colorTheme":"{{DataSources.ColorThemes[\"Sweco\"].ColorTheme}}","disableUpdates":false,"type":"colorTheme"}],"templateName":"Blank","templateDescription":"","enableDocumentContentUpdater":false,"version":"2.0"}]]></TemplafyTemplateConfiguration>
</file>

<file path=customXml/item5.xml><?xml version="1.0" encoding="utf-8"?>
<ct:contentTypeSchema xmlns:ct="http://schemas.microsoft.com/office/2006/metadata/contentType" xmlns:ma="http://schemas.microsoft.com/office/2006/metadata/properties/metaAttributes" ct:_="" ma:_="" ma:contentTypeName="Document" ma:contentTypeID="0x010100025CCE57D8688A4C86B18CCBE6A1EBDC" ma:contentTypeVersion="17" ma:contentTypeDescription="Create a new document." ma:contentTypeScope="" ma:versionID="9af01a3ed625a5310d3bcc0e92547977">
  <xsd:schema xmlns:xsd="http://www.w3.org/2001/XMLSchema" xmlns:xs="http://www.w3.org/2001/XMLSchema" xmlns:p="http://schemas.microsoft.com/office/2006/metadata/properties" xmlns:ns2="3cf6ac99-c545-4f05-9765-61f333b3627f" xmlns:ns3="d6140928-31a2-4d4f-b23f-b270e8c53dd2" targetNamespace="http://schemas.microsoft.com/office/2006/metadata/properties" ma:root="true" ma:fieldsID="fd42231f4829af8faa109a9bde177814" ns2:_="" ns3:_="">
    <xsd:import namespace="3cf6ac99-c545-4f05-9765-61f333b3627f"/>
    <xsd:import namespace="d6140928-31a2-4d4f-b23f-b270e8c53dd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f6ac99-c545-4f05-9765-61f333b36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dd7e011-bb30-4412-ae0c-25ab964016f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Kommentar" ma:index="24"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6140928-31a2-4d4f-b23f-b270e8c53dd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fd917e3-bafc-4465-ab6f-bdb8f9ca6373}" ma:internalName="TaxCatchAll" ma:showField="CatchAllData" ma:web="d6140928-31a2-4d4f-b23f-b270e8c53d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FEF7B6-62D6-485B-9C7D-3BA746AC269A}">
  <ds:schemaRefs>
    <ds:schemaRef ds:uri="http://schemas.microsoft.com/DataMashup"/>
  </ds:schemaRefs>
</ds:datastoreItem>
</file>

<file path=customXml/itemProps2.xml><?xml version="1.0" encoding="utf-8"?>
<ds:datastoreItem xmlns:ds="http://schemas.openxmlformats.org/officeDocument/2006/customXml" ds:itemID="{79BD3FF0-C90B-4BBB-AF14-2B7944CED71E}">
  <ds:schemaRefs>
    <ds:schemaRef ds:uri="http://schemas.microsoft.com/office/2006/metadata/properties"/>
    <ds:schemaRef ds:uri="http://schemas.microsoft.com/office/infopath/2007/PartnerControls"/>
    <ds:schemaRef ds:uri="3cf6ac99-c545-4f05-9765-61f333b3627f"/>
    <ds:schemaRef ds:uri="d6140928-31a2-4d4f-b23f-b270e8c53dd2"/>
  </ds:schemaRefs>
</ds:datastoreItem>
</file>

<file path=customXml/itemProps3.xml><?xml version="1.0" encoding="utf-8"?>
<ds:datastoreItem xmlns:ds="http://schemas.openxmlformats.org/officeDocument/2006/customXml" ds:itemID="{69C2894E-68C9-476D-803E-814AC6EBDDB7}">
  <ds:schemaRefs/>
</ds:datastoreItem>
</file>

<file path=customXml/itemProps4.xml><?xml version="1.0" encoding="utf-8"?>
<ds:datastoreItem xmlns:ds="http://schemas.openxmlformats.org/officeDocument/2006/customXml" ds:itemID="{DDDE50B2-2507-4A17-8842-A7EE75090943}">
  <ds:schemaRefs/>
</ds:datastoreItem>
</file>

<file path=customXml/itemProps5.xml><?xml version="1.0" encoding="utf-8"?>
<ds:datastoreItem xmlns:ds="http://schemas.openxmlformats.org/officeDocument/2006/customXml" ds:itemID="{818ED6F2-810E-4EDA-B0D6-9C8DE6CEE4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f6ac99-c545-4f05-9765-61f333b3627f"/>
    <ds:schemaRef ds:uri="d6140928-31a2-4d4f-b23f-b270e8c53d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xml><?xml version="1.0" encoding="utf-8"?>
<ds:datastoreItem xmlns:ds="http://schemas.openxmlformats.org/officeDocument/2006/customXml" ds:itemID="{B094B8C0-0888-4622-A87D-10D4D23C20D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2</vt:i4>
      </vt:variant>
    </vt:vector>
  </HeadingPairs>
  <TitlesOfParts>
    <vt:vector size="2" baseType="lpstr">
      <vt:lpstr>Halmstad Box 4 30 jul-3 juli</vt:lpstr>
      <vt:lpstr>Blad1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2024-08-28T08:46:57Z</dcterms:created>
  <dcterms:modified xsi:type="dcterms:W3CDTF">2025-07-30T09:56:48Z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weco_Language">
    <vt:lpwstr>SV</vt:lpwstr>
  </property>
  <property fmtid="{D5CDD505-2E9C-101B-9397-08002B2CF9AE}" pid="3" name="Sweco_CompanyNo">
    <vt:lpwstr>101</vt:lpwstr>
  </property>
  <property fmtid="{D5CDD505-2E9C-101B-9397-08002B2CF9AE}" pid="4" name="ContentTypeId">
    <vt:lpwstr>0x010100025CCE57D8688A4C86B18CCBE6A1EBDC</vt:lpwstr>
  </property>
  <property fmtid="{D5CDD505-2E9C-101B-9397-08002B2CF9AE}" pid="5" name="MSIP_Label_43f08ec5-d6d9-4227-8387-ccbfcb3632c4_Enabled">
    <vt:lpwstr>true</vt:lpwstr>
  </property>
  <property fmtid="{D5CDD505-2E9C-101B-9397-08002B2CF9AE}" pid="6" name="MSIP_Label_43f08ec5-d6d9-4227-8387-ccbfcb3632c4_ActionId">
    <vt:lpwstr>6f48d779-09bb-446c-b0b6-7912ac56a1d3</vt:lpwstr>
  </property>
  <property fmtid="{D5CDD505-2E9C-101B-9397-08002B2CF9AE}" pid="7" name="MSIP_Label_43f08ec5-d6d9-4227-8387-ccbfcb3632c4_Name">
    <vt:lpwstr>Sweco Restricted</vt:lpwstr>
  </property>
  <property fmtid="{D5CDD505-2E9C-101B-9397-08002B2CF9AE}" pid="8" name="MSIP_Label_43f08ec5-d6d9-4227-8387-ccbfcb3632c4_ContentBits">
    <vt:lpwstr>0</vt:lpwstr>
  </property>
  <property fmtid="{D5CDD505-2E9C-101B-9397-08002B2CF9AE}" pid="9" name="MSIP_Label_43f08ec5-d6d9-4227-8387-ccbfcb3632c4_SetDate">
    <vt:lpwstr>2021-09-10T20:13:53Z</vt:lpwstr>
  </property>
  <property fmtid="{D5CDD505-2E9C-101B-9397-08002B2CF9AE}" pid="10" name="MSIP_Label_43f08ec5-d6d9-4227-8387-ccbfcb3632c4_SiteId">
    <vt:lpwstr>b7872ef0-9a00-4c18-8a4a-c7d25c778a9e</vt:lpwstr>
  </property>
  <property fmtid="{D5CDD505-2E9C-101B-9397-08002B2CF9AE}" pid="11" name="MSIP_Label_43f08ec5-d6d9-4227-8387-ccbfcb3632c4_Method">
    <vt:lpwstr>Standard</vt:lpwstr>
  </property>
  <property fmtid="{D5CDD505-2E9C-101B-9397-08002B2CF9AE}" pid="12" name="MSIP_Label_459ef8e5-3aaa-41a0-b30c-a77b6f506147_Enabled">
    <vt:lpwstr>true</vt:lpwstr>
  </property>
  <property fmtid="{D5CDD505-2E9C-101B-9397-08002B2CF9AE}" pid="13" name="MSIP_Label_459ef8e5-3aaa-41a0-b30c-a77b6f506147_SetDate">
    <vt:lpwstr>2024-01-18T13:55:15Z</vt:lpwstr>
  </property>
  <property fmtid="{D5CDD505-2E9C-101B-9397-08002B2CF9AE}" pid="14" name="MSIP_Label_459ef8e5-3aaa-41a0-b30c-a77b6f506147_Method">
    <vt:lpwstr>Standard</vt:lpwstr>
  </property>
  <property fmtid="{D5CDD505-2E9C-101B-9397-08002B2CF9AE}" pid="15" name="MSIP_Label_459ef8e5-3aaa-41a0-b30c-a77b6f506147_Name">
    <vt:lpwstr>Internal</vt:lpwstr>
  </property>
  <property fmtid="{D5CDD505-2E9C-101B-9397-08002B2CF9AE}" pid="16" name="MSIP_Label_459ef8e5-3aaa-41a0-b30c-a77b6f506147_SiteId">
    <vt:lpwstr>9343c96b-27bb-4092-add6-977870612481</vt:lpwstr>
  </property>
  <property fmtid="{D5CDD505-2E9C-101B-9397-08002B2CF9AE}" pid="17" name="MSIP_Label_459ef8e5-3aaa-41a0-b30c-a77b6f506147_ActionId">
    <vt:lpwstr>32c4f577-6183-4b47-912c-9229140068d7</vt:lpwstr>
  </property>
  <property fmtid="{D5CDD505-2E9C-101B-9397-08002B2CF9AE}" pid="18" name="MSIP_Label_459ef8e5-3aaa-41a0-b30c-a77b6f506147_ContentBits">
    <vt:lpwstr>0</vt:lpwstr>
  </property>
  <property fmtid="{D5CDD505-2E9C-101B-9397-08002B2CF9AE}" pid="19" name="TemplafyTenantId">
    <vt:lpwstr>sweco</vt:lpwstr>
  </property>
  <property fmtid="{D5CDD505-2E9C-101B-9397-08002B2CF9AE}" pid="20" name="TemplafyTemplateId">
    <vt:lpwstr>831724936121548818</vt:lpwstr>
  </property>
  <property fmtid="{D5CDD505-2E9C-101B-9397-08002B2CF9AE}" pid="21" name="TemplafyUserProfileId">
    <vt:lpwstr>637994344021845453</vt:lpwstr>
  </property>
  <property fmtid="{D5CDD505-2E9C-101B-9397-08002B2CF9AE}" pid="22" name="TemplafyLanguageCode">
    <vt:lpwstr>sv-SE</vt:lpwstr>
  </property>
  <property fmtid="{D5CDD505-2E9C-101B-9397-08002B2CF9AE}" pid="23" name="TemplafyFromBlank">
    <vt:bool>true</vt:bool>
  </property>
  <property fmtid="{D5CDD505-2E9C-101B-9397-08002B2CF9AE}" pid="24" name="MediaServiceImageTags">
    <vt:lpwstr/>
  </property>
  <property fmtid="{D5CDD505-2E9C-101B-9397-08002B2CF9AE}" pid="25" name="Folder_Number">
    <vt:lpwstr/>
  </property>
  <property fmtid="{D5CDD505-2E9C-101B-9397-08002B2CF9AE}" pid="26" name="Folder_Code">
    <vt:lpwstr/>
  </property>
  <property fmtid="{D5CDD505-2E9C-101B-9397-08002B2CF9AE}" pid="27" name="Folder_Name">
    <vt:lpwstr/>
  </property>
  <property fmtid="{D5CDD505-2E9C-101B-9397-08002B2CF9AE}" pid="28" name="Folder_Description">
    <vt:lpwstr/>
  </property>
  <property fmtid="{D5CDD505-2E9C-101B-9397-08002B2CF9AE}" pid="29" name="/Folder_Name/">
    <vt:lpwstr/>
  </property>
  <property fmtid="{D5CDD505-2E9C-101B-9397-08002B2CF9AE}" pid="30" name="/Folder_Description/">
    <vt:lpwstr/>
  </property>
  <property fmtid="{D5CDD505-2E9C-101B-9397-08002B2CF9AE}" pid="31" name="Folder_Version">
    <vt:lpwstr/>
  </property>
  <property fmtid="{D5CDD505-2E9C-101B-9397-08002B2CF9AE}" pid="32" name="Folder_VersionSeq">
    <vt:lpwstr/>
  </property>
  <property fmtid="{D5CDD505-2E9C-101B-9397-08002B2CF9AE}" pid="33" name="Folder_Manager">
    <vt:lpwstr/>
  </property>
  <property fmtid="{D5CDD505-2E9C-101B-9397-08002B2CF9AE}" pid="34" name="Folder_ManagerDesc">
    <vt:lpwstr/>
  </property>
  <property fmtid="{D5CDD505-2E9C-101B-9397-08002B2CF9AE}" pid="35" name="Folder_Storage">
    <vt:lpwstr/>
  </property>
  <property fmtid="{D5CDD505-2E9C-101B-9397-08002B2CF9AE}" pid="36" name="Folder_StorageDesc">
    <vt:lpwstr/>
  </property>
  <property fmtid="{D5CDD505-2E9C-101B-9397-08002B2CF9AE}" pid="37" name="Folder_Creator">
    <vt:lpwstr/>
  </property>
  <property fmtid="{D5CDD505-2E9C-101B-9397-08002B2CF9AE}" pid="38" name="Folder_CreatorDesc">
    <vt:lpwstr/>
  </property>
  <property fmtid="{D5CDD505-2E9C-101B-9397-08002B2CF9AE}" pid="39" name="Folder_CreateDate">
    <vt:lpwstr/>
  </property>
  <property fmtid="{D5CDD505-2E9C-101B-9397-08002B2CF9AE}" pid="40" name="Folder_Updater">
    <vt:lpwstr/>
  </property>
  <property fmtid="{D5CDD505-2E9C-101B-9397-08002B2CF9AE}" pid="41" name="Folder_UpdaterDesc">
    <vt:lpwstr/>
  </property>
  <property fmtid="{D5CDD505-2E9C-101B-9397-08002B2CF9AE}" pid="42" name="Folder_UpdateDate">
    <vt:lpwstr/>
  </property>
  <property fmtid="{D5CDD505-2E9C-101B-9397-08002B2CF9AE}" pid="43" name="Document_Number">
    <vt:lpwstr/>
  </property>
  <property fmtid="{D5CDD505-2E9C-101B-9397-08002B2CF9AE}" pid="44" name="Document_Name">
    <vt:lpwstr/>
  </property>
  <property fmtid="{D5CDD505-2E9C-101B-9397-08002B2CF9AE}" pid="45" name="Document_FileName">
    <vt:lpwstr/>
  </property>
  <property fmtid="{D5CDD505-2E9C-101B-9397-08002B2CF9AE}" pid="46" name="Document_Version">
    <vt:lpwstr/>
  </property>
  <property fmtid="{D5CDD505-2E9C-101B-9397-08002B2CF9AE}" pid="47" name="Document_VersionSeq">
    <vt:lpwstr/>
  </property>
  <property fmtid="{D5CDD505-2E9C-101B-9397-08002B2CF9AE}" pid="48" name="Document_Creator">
    <vt:lpwstr/>
  </property>
  <property fmtid="{D5CDD505-2E9C-101B-9397-08002B2CF9AE}" pid="49" name="Document_CreatorDesc">
    <vt:lpwstr/>
  </property>
  <property fmtid="{D5CDD505-2E9C-101B-9397-08002B2CF9AE}" pid="50" name="Document_CreateDate">
    <vt:lpwstr/>
  </property>
  <property fmtid="{D5CDD505-2E9C-101B-9397-08002B2CF9AE}" pid="51" name="Document_Updater">
    <vt:lpwstr/>
  </property>
  <property fmtid="{D5CDD505-2E9C-101B-9397-08002B2CF9AE}" pid="52" name="Document_UpdaterDesc">
    <vt:lpwstr/>
  </property>
  <property fmtid="{D5CDD505-2E9C-101B-9397-08002B2CF9AE}" pid="53" name="Document_UpdateDate">
    <vt:lpwstr/>
  </property>
  <property fmtid="{D5CDD505-2E9C-101B-9397-08002B2CF9AE}" pid="54" name="Document_Size">
    <vt:lpwstr/>
  </property>
  <property fmtid="{D5CDD505-2E9C-101B-9397-08002B2CF9AE}" pid="55" name="Document_Storage">
    <vt:lpwstr/>
  </property>
  <property fmtid="{D5CDD505-2E9C-101B-9397-08002B2CF9AE}" pid="56" name="Document_StorageDesc">
    <vt:lpwstr/>
  </property>
  <property fmtid="{D5CDD505-2E9C-101B-9397-08002B2CF9AE}" pid="57" name="Document_Department">
    <vt:lpwstr/>
  </property>
  <property fmtid="{D5CDD505-2E9C-101B-9397-08002B2CF9AE}" pid="58" name="Document_DepartmentDesc">
    <vt:lpwstr/>
  </property>
</Properties>
</file>